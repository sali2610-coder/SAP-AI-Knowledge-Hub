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</sheets>
  <definedNames>
    <definedName name="_xlnm.Print_Area" localSheetId="0">'מסך ניווט מרכזי'!$A$1:$O$60</definedName>
    <definedName name="_xlnm.Print_Titles" localSheetId="1">'1. מבנה ארגוני ותשתית'!$1:$2</definedName>
    <definedName name="_xlnm.Print_Area" localSheetId="1">'1. מבנה ארגוני ותשתית'!$A$1:$P$53</definedName>
    <definedName name="_xlnm.Print_Titles" localSheetId="2">'2. ציוד ונתוני מאסטר'!$1:$2</definedName>
    <definedName name="_xlnm.Print_Area" localSheetId="2">'2. ציוד ונתוני מאסטר'!$A$1:$P$40</definedName>
    <definedName name="_xlnm.Print_Titles" localSheetId="3">'3. עצי מוצר של אחזקה (BOM)'!$1:$2</definedName>
    <definedName name="_xlnm.Print_Area" localSheetId="3">'3. עצי מוצר של אחזקה (BOM)'!$A$1:$P$44</definedName>
    <definedName name="_xlnm.Print_Titles" localSheetId="4">'4. נקודות מדידה ומונים'!$1:$2</definedName>
    <definedName name="_xlnm.Print_Area" localSheetId="4">'4. נקודות מדידה ומונים'!$A$1:$P$26</definedName>
    <definedName name="_xlnm.Print_Titles" localSheetId="5">'5. קטלוגים, קודים ופרופילים'!$1:$2</definedName>
    <definedName name="_xlnm.Print_Area" localSheetId="5">'5. קטלוגים, קודים ופרופילים'!$A$1:$P$32</definedName>
    <definedName name="_xlnm.Print_Titles" localSheetId="6">'6. הודעות אחזקה (Notifications)'!$1:$2</definedName>
    <definedName name="_xlnm.Print_Area" localSheetId="6">'6. הודעות אחזקה (Notifications)'!$A$1:$P$48</definedName>
    <definedName name="_xlnm.Print_Titles" localSheetId="7">'7. פקודות עבודה (פק"ע)'!$1:$2</definedName>
    <definedName name="_xlnm.Print_Area" localSheetId="7">'7. פקודות עבודה (פק"ע)'!$A$1:$P$58</definedName>
    <definedName name="_xlnm.Print_Titles" localSheetId="8">'8. ניהול סטטוסים (Status Mgmt)'!$1:$2</definedName>
    <definedName name="_xlnm.Print_Area" localSheetId="8">'8. ניהול סטטוסים (Status Mgmt)'!$A$1:$P$34</definedName>
    <definedName name="_xlnm.Print_Titles" localSheetId="9">'9. אינטגרציית מלאי ורכש (PM-MM)'!$1:$2</definedName>
    <definedName name="_xlnm.Print_Area" localSheetId="9">'9. אינטגרציית מלאי ורכש (PM-MM)'!$A$1:$P$50</definedName>
    <definedName name="_xlnm.Print_Titles" localSheetId="10">'10. עלויות והתחשבנות (PM-CO)'!$1:$2</definedName>
    <definedName name="_xlnm.Print_Area" localSheetId="10">'10. עלויות והתחשבנות (PM-CO)'!$A$1:$P$38</definedName>
    <definedName name="_xlnm.Print_Titles" localSheetId="11">'11. אחזקה מונעת ותוכניות'!$1:$2</definedName>
    <definedName name="_xlnm.Print_Area" localSheetId="11">'11. אחזקה מונעת ותוכניות'!$A$1:$P$53</definedName>
    <definedName name="_xlnm.Print_Titles" localSheetId="12">'12. היסטוריה וארכיון'!$1:$2</definedName>
    <definedName name="_xlnm.Print_Area" localSheetId="12">'12. היסטוריה וארכיון'!$A$1:$P$29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מיגרציה'!$A$1:$L$56</definedName>
    <definedName name="_xlnm.Print_Titles" localSheetId="15">'Custom Code Check'!$1:$2</definedName>
    <definedName name="_xlnm.Print_Area" localSheetId="15">'Custom Code Check'!$A$1:$I$48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color rgb="009AA3AF"/>
      <sz val="10"/>
    </font>
    <font>
      <name val="Segoe UI"/>
      <b val="1"/>
      <color rgb="001E1E24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B01722"/>
      <sz val="10"/>
    </font>
    <font>
      <name val="Segoe UI"/>
      <color rgb="000563C1"/>
      <sz val="9"/>
      <u val="single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b val="1"/>
      <color rgb="00D62027"/>
      <sz val="18"/>
    </font>
    <font>
      <name val="Segoe UI"/>
      <b val="1"/>
      <color rgb="0064748B"/>
      <sz val="10"/>
    </font>
    <font>
      <name val="Segoe UI"/>
      <b val="1"/>
      <color rgb="00FFFFFF"/>
      <sz val="12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1E5A44"/>
      <sz val="9"/>
    </font>
    <font>
      <name val="Segoe UI"/>
      <b val="1"/>
      <color rgb="002A4A57"/>
      <sz val="20"/>
    </font>
    <font>
      <name val="Segoe UI"/>
      <b val="1"/>
      <color rgb="002A4A57"/>
      <sz val="9"/>
    </font>
    <font>
      <name val="Segoe UI"/>
      <b val="1"/>
      <color rgb="0037474F"/>
      <sz val="20"/>
    </font>
    <font>
      <name val="Segoe UI"/>
      <b val="1"/>
      <color rgb="0037474F"/>
      <sz val="9"/>
    </font>
    <font>
      <name val="Segoe UI"/>
      <b val="1"/>
      <color rgb="00B01722"/>
      <sz val="20"/>
    </font>
    <font>
      <name val="Segoe UI"/>
      <b val="1"/>
      <color rgb="00B01722"/>
      <sz val="9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FCE4E6"/>
      </patternFill>
    </fill>
    <fill>
      <patternFill patternType="solid">
        <fgColor rgb="00ECEFF1"/>
      </patternFill>
    </fill>
    <fill>
      <patternFill patternType="solid">
        <fgColor rgb="00E1E6EA"/>
      </patternFill>
    </fill>
    <fill>
      <patternFill patternType="solid">
        <fgColor rgb="00DCE6EC"/>
      </patternFill>
    </fill>
    <fill>
      <patternFill patternType="solid">
        <fgColor rgb="00DCEFE0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BE3E4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49" fillId="14" borderId="0" pivotButton="0" quotePrefix="0" xfId="0"/>
    <xf numFmtId="0" fontId="50" fillId="2" borderId="0" applyAlignment="1" pivotButton="0" quotePrefix="0" xfId="0">
      <alignment horizontal="right"/>
    </xf>
    <xf numFmtId="0" fontId="22" fillId="14" borderId="0" applyAlignment="1" pivotButton="0" quotePrefix="0" xfId="0">
      <alignment horizontal="right"/>
    </xf>
    <xf numFmtId="0" fontId="49" fillId="0" borderId="0" pivotButton="0" quotePrefix="0" xfId="0"/>
    <xf numFmtId="0" fontId="24" fillId="3" borderId="6" applyAlignment="1" pivotButton="0" quotePrefix="0" xfId="0">
      <alignment horizontal="center" vertical="center" wrapText="1"/>
    </xf>
    <xf numFmtId="0" fontId="49" fillId="0" borderId="6" pivotButton="0" quotePrefix="0" xfId="0"/>
    <xf numFmtId="0" fontId="51" fillId="0" borderId="0" applyAlignment="1" pivotButton="0" quotePrefix="0" xfId="0">
      <alignment horizontal="right"/>
    </xf>
    <xf numFmtId="0" fontId="52" fillId="0" borderId="0" applyAlignment="1" pivotButton="0" quotePrefix="0" xfId="0">
      <alignment horizontal="right"/>
    </xf>
    <xf numFmtId="0" fontId="53" fillId="0" borderId="0" applyAlignment="1" pivotButton="0" quotePrefix="0" xfId="0">
      <alignment horizontal="right"/>
    </xf>
    <xf numFmtId="0" fontId="23" fillId="14" borderId="0" applyAlignment="1" pivotButton="0" quotePrefix="0" xfId="0">
      <alignment horizontal="right"/>
    </xf>
    <xf numFmtId="0" fontId="24" fillId="3" borderId="0" applyAlignment="1" pivotButton="0" quotePrefix="0" xfId="0">
      <alignment horizontal="right"/>
    </xf>
    <xf numFmtId="0" fontId="25" fillId="9" borderId="2" applyAlignment="1" pivotButton="0" quotePrefix="0" xfId="0">
      <alignment horizontal="center" vertical="center"/>
    </xf>
    <xf numFmtId="0" fontId="26" fillId="12" borderId="2" applyAlignment="1" pivotButton="0" quotePrefix="0" xfId="0">
      <alignment horizontal="center" vertical="center"/>
    </xf>
    <xf numFmtId="0" fontId="28" fillId="11" borderId="2" applyAlignment="1" pivotButton="0" quotePrefix="0" xfId="0">
      <alignment horizontal="center" vertical="center"/>
    </xf>
    <xf numFmtId="0" fontId="30" fillId="10" borderId="2" applyAlignment="1" pivotButton="0" quotePrefix="0" xfId="0">
      <alignment horizontal="center" vertical="center"/>
    </xf>
    <xf numFmtId="0" fontId="32" fillId="8" borderId="2" applyAlignment="1" pivotButton="0" quotePrefix="0" xfId="0">
      <alignment horizontal="center" vertical="center"/>
    </xf>
    <xf numFmtId="9" fontId="34" fillId="15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 vertical="center" wrapText="1"/>
    </xf>
    <xf numFmtId="0" fontId="27" fillId="12" borderId="2" applyAlignment="1" pivotButton="0" quotePrefix="0" xfId="0">
      <alignment horizontal="center" vertical="center" wrapText="1"/>
    </xf>
    <xf numFmtId="0" fontId="29" fillId="11" borderId="2" applyAlignment="1" pivotButton="0" quotePrefix="0" xfId="0">
      <alignment horizontal="center" vertical="center" wrapText="1"/>
    </xf>
    <xf numFmtId="0" fontId="31" fillId="10" borderId="2" applyAlignment="1" pivotButton="0" quotePrefix="0" xfId="0">
      <alignment horizontal="center" vertical="center" wrapText="1"/>
    </xf>
    <xf numFmtId="0" fontId="33" fillId="8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24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49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37" fillId="14" borderId="0" applyAlignment="1" pivotButton="0" quotePrefix="0" xfId="0">
      <alignment horizontal="right"/>
    </xf>
    <xf numFmtId="0" fontId="54" fillId="14" borderId="0" applyAlignment="1" pivotButton="0" quotePrefix="0" xfId="0">
      <alignment horizontal="right"/>
    </xf>
    <xf numFmtId="0" fontId="55" fillId="8" borderId="7" pivotButton="0" quotePrefix="0" xfId="0"/>
    <xf numFmtId="0" fontId="56" fillId="2" borderId="2" applyAlignment="1" pivotButton="0" quotePrefix="0" xfId="0">
      <alignment horizontal="center"/>
    </xf>
    <xf numFmtId="0" fontId="57" fillId="14" borderId="0" applyAlignment="1" pivotButton="0" quotePrefix="0" xfId="0">
      <alignment horizontal="right"/>
    </xf>
    <xf numFmtId="0" fontId="48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9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49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49" fillId="0" borderId="5" pivotButton="0" quotePrefix="0" xfId="0"/>
    <xf numFmtId="0" fontId="9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right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4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right"/>
    </xf>
    <xf numFmtId="0" fontId="17" fillId="0" borderId="2" applyAlignment="1" pivotButton="0" quotePrefix="0" xfId="0">
      <alignment horizontal="center"/>
    </xf>
    <xf numFmtId="0" fontId="6" fillId="6" borderId="2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right"/>
    </xf>
    <xf numFmtId="0" fontId="19" fillId="10" borderId="2" applyAlignment="1" pivotButton="0" quotePrefix="0" xfId="0">
      <alignment horizontal="right"/>
    </xf>
    <xf numFmtId="0" fontId="20" fillId="11" borderId="2" applyAlignment="1" pivotButton="0" quotePrefix="0" xfId="0">
      <alignment horizontal="right"/>
    </xf>
    <xf numFmtId="0" fontId="21" fillId="12" borderId="2" applyAlignment="1" pivotButton="0" quotePrefix="0" xfId="0">
      <alignment horizontal="right"/>
    </xf>
    <xf numFmtId="0" fontId="1" fillId="13" borderId="2" applyAlignment="1" pivotButton="0" quotePrefix="0" xfId="0">
      <alignment horizontal="right"/>
    </xf>
    <xf numFmtId="0" fontId="9" fillId="0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798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מיגרציה'!$C$3:$C$56)</f>
        <v/>
      </c>
      <c r="C6" s="13">
        <f>COUNTIF('Cockpit מעקב מיגרציה'!$D$3:$D$56,"Done")</f>
        <v/>
      </c>
      <c r="D6" s="14">
        <f>COUNTIF('Cockpit מעקב מיגרציה'!$D$3:$D$56,"Tested")</f>
        <v/>
      </c>
      <c r="E6" s="15">
        <f>(COUNTIF('Cockpit מעקב מיגרציה'!$D$3:$D$56,"In analysis")+COUNTIF('Cockpit מעקב מיגרציה'!$D$3:$D$56,"In conversion"))</f>
        <v/>
      </c>
      <c r="F6" s="16">
        <f>COUNTIF('Cockpit מעקב מיגרציה'!$D$3:$D$56,"Not started")</f>
        <v/>
      </c>
      <c r="G6" s="17">
        <f>IFERROR((COUNTIF('Cockpit מעקב מיגרציה'!$D$3:$D$56,"Done"))/(COUNTA('Cockpit מעקב מיגרציה'!$C$3:$C$56)),0)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IFLOS</t>
        </is>
      </c>
      <c r="R21" s="7" t="inlineStr">
        <is>
          <t>תוויות מיקום פונקציונלי (Labels - טבלת ילד של IFLOT)</t>
        </is>
      </c>
      <c r="S21" s="7" t="inlineStr">
        <is>
          <t>Functional location labels (child of IFLOT)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9" t="inlineStr">
        <is>
          <t>מקרא מותג CBC:  אדום=תנועתי/עוגני-על | צפחה=נתוני אב וכותרות | כסף=אינטגרציה ועמודות S/4HANA</t>
        </is>
      </c>
      <c r="C22" s="4" t="n"/>
      <c r="D22" s="4" t="n"/>
      <c r="E22" s="4" t="n"/>
      <c r="F22" s="4" t="n"/>
      <c r="G22" s="4" t="n"/>
      <c r="H22" s="4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TPLNR</t>
        </is>
      </c>
      <c r="R22" s="7" t="inlineStr">
        <is>
          <t>מיקום פונקציונלי (פנימי) - מצטרף ל-IFLOT</t>
        </is>
      </c>
      <c r="S22" s="7" t="inlineStr">
        <is>
          <t>Functional location (internal) - joins IFLOT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STRNO</t>
        </is>
      </c>
      <c r="R23" s="7" t="inlineStr">
        <is>
          <t>מספר תווית חיצוני / מובנה</t>
        </is>
      </c>
      <c r="S23" s="7" t="inlineStr">
        <is>
          <t>External / structured label number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24" t="inlineStr">
        <is>
          <t>🔍 חיפוש גלובלי  (טבלה / טרנזקציה / שדה / פונקציה - עברית או 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TPLKZ</t>
        </is>
      </c>
      <c r="R24" s="7" t="inlineStr">
        <is>
          <t>מחוון מבנה</t>
        </is>
      </c>
      <c r="S24" s="7" t="inlineStr">
        <is>
          <t>Structure indicator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 ht="26" customHeight="1">
      <c r="A25" s="1" t="n"/>
      <c r="B25" s="30" t="inlineStr">
        <is>
          <t>הקלד כאן:</t>
        </is>
      </c>
      <c r="C25" s="31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TPLVL</t>
        </is>
      </c>
      <c r="R25" s="7" t="inlineStr">
        <is>
          <t>רמת היררכיה של התווית</t>
        </is>
      </c>
      <c r="S25" s="7" t="inlineStr">
        <is>
          <t>Hierarchy level of label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BEGRU</t>
        </is>
      </c>
      <c r="R26" s="7" t="inlineStr">
        <is>
          <t>קבוצת הרשאה</t>
        </is>
      </c>
      <c r="S26" s="7" t="inlineStr">
        <is>
          <t>Authorization group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32" t="inlineStr">
        <is>
          <t>קישור</t>
        </is>
      </c>
      <c r="C27" s="32" t="inlineStr">
        <is>
          <t>קוד / שם טכני</t>
        </is>
      </c>
      <c r="D27" s="32" t="inlineStr">
        <is>
          <t>פירוש בעברית</t>
        </is>
      </c>
      <c r="E27" s="32" t="inlineStr">
        <is>
          <t>English</t>
        </is>
      </c>
      <c r="F27" s="32" t="inlineStr">
        <is>
          <t>גיליון</t>
        </is>
      </c>
      <c r="G27" s="32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טרנזקציה</t>
        </is>
      </c>
      <c r="Q27" s="8" t="inlineStr">
        <is>
          <t>IL01</t>
        </is>
      </c>
      <c r="R27" s="7" t="inlineStr">
        <is>
          <t>תוויות מיקום פונקציונלי (Labels - טבלת ילד של IFLOT)</t>
        </is>
      </c>
      <c r="S27" s="7" t="inlineStr">
        <is>
          <t>Functional location labels (child of IFLOT)</t>
        </is>
      </c>
      <c r="T27" s="7" t="inlineStr">
        <is>
          <t>1. מבנה ארגוני ותשתית</t>
        </is>
      </c>
      <c r="U27" s="7" t="inlineStr">
        <is>
          <t>A12</t>
        </is>
      </c>
      <c r="V27" s="9">
        <f>HYPERLINK("#'"&amp;T27&amp;"'!"&amp;U27,"➜ פתח")</f>
        <v/>
      </c>
    </row>
    <row r="28">
      <c r="A28" s="1" t="n"/>
      <c r="B28" s="33">
        <f>IF(C25="","הקלד מונח בתא הצהוב למעלה - והתוצאות יופיעו כאן מיד (כולל קישור לחיץ)...",IFERROR(_xlfn._xlws.FILTER(CHOOSE({1,2,3,4,5,6},$V$2:$V$798,$Q$2:$Q$798,$R$2:$R$798,$S$2:$S$798,$T$2:$T$798,$U$2:$U$798),(ISNUMBER(SEARCH(C25,$Q$2:$Q$798)))+(ISNUMBER(SEARCH(C25,$R$2:$R$798)))+(ISNUMBER(SEARCH(C25,$S$2:$S$798)))+(ISNUMBER(SEARCH(C25,$P$2:$P$798)))&gt;0),"לא נמצאו תוצאות - נסה מונח אחר"))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תוויות מיקום פונקציונלי (Labels - טבלת ילד של IFLOT)</t>
        </is>
      </c>
      <c r="S28" s="7" t="inlineStr">
        <is>
          <t>Functional location labels (child of IFLOT)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IL03</t>
        </is>
      </c>
      <c r="R29" s="7" t="inlineStr">
        <is>
          <t>תוויות מיקום פונקציונלי (Labels - טבלת ילד של IFLOT)</t>
        </is>
      </c>
      <c r="S29" s="7" t="inlineStr">
        <is>
          <t>Functional location labels (child of IFLOT)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טרנזקציה</t>
        </is>
      </c>
      <c r="Q30" s="8" t="inlineStr">
        <is>
          <t>IH06</t>
        </is>
      </c>
      <c r="R30" s="7" t="inlineStr">
        <is>
          <t>תוויות מיקום פונקציונלי (Labels - טבלת ילד של IFLOT)</t>
        </is>
      </c>
      <c r="S30" s="7" t="inlineStr">
        <is>
          <t>Functional location labels (child of IFLOT)</t>
        </is>
      </c>
      <c r="T30" s="7" t="inlineStr">
        <is>
          <t>1. מבנה ארגוני ותשתית</t>
        </is>
      </c>
      <c r="U30" s="7" t="inlineStr">
        <is>
          <t>A12</t>
        </is>
      </c>
      <c r="V30" s="9">
        <f>HYPERLINK("#'"&amp;T30&amp;"'!"&amp;U30,"➜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BAPI_FUNCLOC_GETDETAIL</t>
        </is>
      </c>
      <c r="R31" s="7" t="inlineStr">
        <is>
          <t>שליפת פרטי מיקום כולל תוויות</t>
        </is>
      </c>
      <c r="S31" s="7" t="inlineStr">
        <is>
          <t>Functional location labels (child of IFLOT)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FUNC_LOCATION_LABEL_READ</t>
        </is>
      </c>
      <c r="R32" s="7" t="inlineStr">
        <is>
          <t>קריאת תווית מיקום פונקציונלי</t>
        </is>
      </c>
      <c r="S32" s="7" t="inlineStr">
        <is>
          <t>Functional location labels (child of IFLOT)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RIIFLO20</t>
        </is>
      </c>
      <c r="R33" s="7" t="inlineStr">
        <is>
          <t>רשימת מיקומים ותוויות (IH06)</t>
        </is>
      </c>
      <c r="S33" s="7" t="inlineStr">
        <is>
          <t>Functional location labels (child of IFLOT)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תוויות מיקום פונקציונלי (Labels - טבלת ילד של IFLOT)</t>
        </is>
      </c>
      <c r="S34" s="7" t="inlineStr">
        <is>
          <t>Functional location labels (child of IFLOT)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ILOA</t>
        </is>
      </c>
      <c r="R35" s="7" t="inlineStr">
        <is>
          <t>נתוני מיקום וחיוב משותפים</t>
        </is>
      </c>
      <c r="S35" s="7" t="inlineStr">
        <is>
          <t>PM object location &amp; account assignment</t>
        </is>
      </c>
      <c r="T35" s="7" t="inlineStr">
        <is>
          <t>1. מבנה ארגוני ותשתית</t>
        </is>
      </c>
      <c r="U35" s="7" t="inlineStr">
        <is>
          <t>A18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ILOAN</t>
        </is>
      </c>
      <c r="R36" s="7" t="inlineStr">
        <is>
          <t>מפתח נתוני מיקום/חיוב</t>
        </is>
      </c>
      <c r="S36" s="7" t="inlineStr">
        <is>
          <t>Location &amp; account assignment key</t>
        </is>
      </c>
      <c r="T36" s="7" t="inlineStr">
        <is>
          <t>1. מבנה ארגוני ותשתית</t>
        </is>
      </c>
      <c r="U36" s="7" t="inlineStr">
        <is>
          <t>D19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KOSTL</t>
        </is>
      </c>
      <c r="R37" s="7" t="inlineStr">
        <is>
          <t>מרכז עלות</t>
        </is>
      </c>
      <c r="S37" s="7" t="inlineStr">
        <is>
          <t>Cost center</t>
        </is>
      </c>
      <c r="T37" s="7" t="inlineStr">
        <is>
          <t>1. מבנה ארגוני ותשתית</t>
        </is>
      </c>
      <c r="U37" s="7" t="inlineStr">
        <is>
          <t>D20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SWERK</t>
        </is>
      </c>
      <c r="R38" s="7" t="inlineStr">
        <is>
          <t>מפעל אחזקה</t>
        </is>
      </c>
      <c r="S38" s="7" t="inlineStr">
        <is>
          <t>Maintenance plant</t>
        </is>
      </c>
      <c r="T38" s="7" t="inlineStr">
        <is>
          <t>1. מבנה ארגוני ותשתית</t>
        </is>
      </c>
      <c r="U38" s="7" t="inlineStr">
        <is>
          <t>D21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INGRP</t>
        </is>
      </c>
      <c r="R39" s="7" t="inlineStr">
        <is>
          <t>קבוצת תכנון</t>
        </is>
      </c>
      <c r="S39" s="7" t="inlineStr">
        <is>
          <t>Planner group</t>
        </is>
      </c>
      <c r="T39" s="7" t="inlineStr">
        <is>
          <t>1. מבנה ארגוני ותשתית</t>
        </is>
      </c>
      <c r="U39" s="7" t="inlineStr">
        <is>
          <t>D22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GEWRK</t>
        </is>
      </c>
      <c r="R40" s="7" t="inlineStr">
        <is>
          <t>מרכז עבודה ראשי</t>
        </is>
      </c>
      <c r="S40" s="7" t="inlineStr">
        <is>
          <t>Main work center</t>
        </is>
      </c>
      <c r="T40" s="7" t="inlineStr">
        <is>
          <t>1. מבנה ארגוני ותשתית</t>
        </is>
      </c>
      <c r="U40" s="7" t="inlineStr">
        <is>
          <t>D23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TPLNR</t>
        </is>
      </c>
      <c r="R41" s="7" t="inlineStr">
        <is>
          <t>מיקום פונקציונלי</t>
        </is>
      </c>
      <c r="S41" s="7" t="inlineStr">
        <is>
          <t>Functional location</t>
        </is>
      </c>
      <c r="T41" s="7" t="inlineStr">
        <is>
          <t>1. מבנה ארגוני ותשתית</t>
        </is>
      </c>
      <c r="U41" s="7" t="inlineStr">
        <is>
          <t>D24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IL02</t>
        </is>
      </c>
      <c r="R42" s="7" t="inlineStr">
        <is>
          <t>נתוני מיקום וחיוב משותפים</t>
        </is>
      </c>
      <c r="S42" s="7" t="inlineStr">
        <is>
          <t>PM object location &amp; account assignment</t>
        </is>
      </c>
      <c r="T42" s="7" t="inlineStr">
        <is>
          <t>1. מבנה ארגוני ותשתית</t>
        </is>
      </c>
      <c r="U42" s="7" t="inlineStr">
        <is>
          <t>A19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IE02 (ירושה)</t>
        </is>
      </c>
      <c r="R43" s="7" t="inlineStr">
        <is>
          <t>נתוני מיקום וחיוב משותפים</t>
        </is>
      </c>
      <c r="S43" s="7" t="inlineStr">
        <is>
          <t>PM object location &amp; account assignment</t>
        </is>
      </c>
      <c r="T43" s="7" t="inlineStr">
        <is>
          <t>1. מבנה ארגוני ותשתית</t>
        </is>
      </c>
      <c r="U43" s="7" t="inlineStr">
        <is>
          <t>A19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פונקציה</t>
        </is>
      </c>
      <c r="Q44" s="8" t="inlineStr">
        <is>
          <t>ILOA_READ</t>
        </is>
      </c>
      <c r="R44" s="7" t="inlineStr">
        <is>
          <t>קריאת נתוני מיקום/חיוב</t>
        </is>
      </c>
      <c r="S44" s="7" t="inlineStr">
        <is>
          <t>PM object location &amp; account assignment</t>
        </is>
      </c>
      <c r="T44" s="7" t="inlineStr">
        <is>
          <t>1. מבנה ארגוני ותשתית</t>
        </is>
      </c>
      <c r="U44" s="7" t="inlineStr">
        <is>
          <t>G19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פונקציה</t>
        </is>
      </c>
      <c r="Q45" s="8" t="inlineStr">
        <is>
          <t>ILOA_UPDATE</t>
        </is>
      </c>
      <c r="R45" s="7" t="inlineStr">
        <is>
          <t>עדכון נתוני מיקום/חיוב</t>
        </is>
      </c>
      <c r="S45" s="7" t="inlineStr">
        <is>
          <t>PM object location &amp; account assignment</t>
        </is>
      </c>
      <c r="T45" s="7" t="inlineStr">
        <is>
          <t>1. מבנה ארגוני ותשתית</t>
        </is>
      </c>
      <c r="U45" s="7" t="inlineStr">
        <is>
          <t>G19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פונקציה</t>
        </is>
      </c>
      <c r="Q46" s="8" t="inlineStr">
        <is>
          <t>ILOA_INHERIT_FROM_FUNCLOC</t>
        </is>
      </c>
      <c r="R46" s="7" t="inlineStr">
        <is>
          <t>ירושת נתונים מהמיקום לציוד</t>
        </is>
      </c>
      <c r="S46" s="7" t="inlineStr">
        <is>
          <t>PM object location &amp; account assignment</t>
        </is>
      </c>
      <c r="T46" s="7" t="inlineStr">
        <is>
          <t>1. מבנה ארגוני ותשתית</t>
        </is>
      </c>
      <c r="U46" s="7" t="inlineStr">
        <is>
          <t>G19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תוכנית</t>
        </is>
      </c>
      <c r="Q47" s="8" t="inlineStr">
        <is>
          <t>RILOAA00</t>
        </is>
      </c>
      <c r="R47" s="7" t="inlineStr">
        <is>
          <t>התאמת נתוני מיקום/חיוב באובייקטים</t>
        </is>
      </c>
      <c r="S47" s="7" t="inlineStr">
        <is>
          <t>PM object location &amp; account assignment</t>
        </is>
      </c>
      <c r="T47" s="7" t="inlineStr">
        <is>
          <t>1. מבנה ארגוני ותשתית</t>
        </is>
      </c>
      <c r="U47" s="7" t="inlineStr">
        <is>
          <t>I19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Fiori</t>
        </is>
      </c>
      <c r="Q48" s="8" t="inlineStr">
        <is>
          <t>Manage Technical Objects (F2079)</t>
        </is>
      </c>
      <c r="R48" s="7" t="inlineStr">
        <is>
          <t>נתוני מיקום וחיוב משותפים</t>
        </is>
      </c>
      <c r="S48" s="7" t="inlineStr">
        <is>
          <t>PM object location &amp; account assignment</t>
        </is>
      </c>
      <c r="T48" s="7" t="inlineStr">
        <is>
          <t>1. מבנה ארגוני ותשתית</t>
        </is>
      </c>
      <c r="U48" s="7" t="inlineStr">
        <is>
          <t>N19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טבלה</t>
        </is>
      </c>
      <c r="Q49" s="8" t="inlineStr">
        <is>
          <t>CRHD</t>
        </is>
      </c>
      <c r="R49" s="7" t="inlineStr">
        <is>
          <t>כותרת מרכז עבודה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A26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שדה</t>
        </is>
      </c>
      <c r="Q50" s="8" t="inlineStr">
        <is>
          <t>OBJID</t>
        </is>
      </c>
      <c r="R50" s="7" t="inlineStr">
        <is>
          <t>מזהה אובייקט פנימי</t>
        </is>
      </c>
      <c r="S50" s="7" t="inlineStr">
        <is>
          <t>Internal work center object ID</t>
        </is>
      </c>
      <c r="T50" s="7" t="inlineStr">
        <is>
          <t>1. מבנה ארגוני ותשתית</t>
        </is>
      </c>
      <c r="U50" s="7" t="inlineStr">
        <is>
          <t>D27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שדה</t>
        </is>
      </c>
      <c r="Q51" s="8" t="inlineStr">
        <is>
          <t>ARBPL</t>
        </is>
      </c>
      <c r="R51" s="7" t="inlineStr">
        <is>
          <t>קוד מרכז עבודה</t>
        </is>
      </c>
      <c r="S51" s="7" t="inlineStr">
        <is>
          <t>Work center code</t>
        </is>
      </c>
      <c r="T51" s="7" t="inlineStr">
        <is>
          <t>1. מבנה ארגוני ותשתית</t>
        </is>
      </c>
      <c r="U51" s="7" t="inlineStr">
        <is>
          <t>D28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OBJTY</t>
        </is>
      </c>
      <c r="R52" s="7" t="inlineStr">
        <is>
          <t>סוג אובייקט</t>
        </is>
      </c>
      <c r="S52" s="7" t="inlineStr">
        <is>
          <t>Object type ('A'=work center)</t>
        </is>
      </c>
      <c r="T52" s="7" t="inlineStr">
        <is>
          <t>1. מבנה ארגוני ותשתית</t>
        </is>
      </c>
      <c r="U52" s="7" t="inlineStr">
        <is>
          <t>D29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WERKS</t>
        </is>
      </c>
      <c r="R53" s="7" t="inlineStr">
        <is>
          <t>מפעל</t>
        </is>
      </c>
      <c r="S53" s="7" t="inlineStr">
        <is>
          <t>Plant</t>
        </is>
      </c>
      <c r="T53" s="7" t="inlineStr">
        <is>
          <t>1. מבנה ארגוני ותשתית</t>
        </is>
      </c>
      <c r="U53" s="7" t="inlineStr">
        <is>
          <t>D30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VERWE</t>
        </is>
      </c>
      <c r="R54" s="7" t="inlineStr">
        <is>
          <t>שימוש מרכז עבודה</t>
        </is>
      </c>
      <c r="S54" s="7" t="inlineStr">
        <is>
          <t>Work center usage</t>
        </is>
      </c>
      <c r="T54" s="7" t="inlineStr">
        <is>
          <t>1. מבנה ארגוני ותשתית</t>
        </is>
      </c>
      <c r="U54" s="7" t="inlineStr">
        <is>
          <t>D31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שדה</t>
        </is>
      </c>
      <c r="Q55" s="8" t="inlineStr">
        <is>
          <t>VERAN</t>
        </is>
      </c>
      <c r="R55" s="7" t="inlineStr">
        <is>
          <t>אחראי</t>
        </is>
      </c>
      <c r="S55" s="7" t="inlineStr">
        <is>
          <t>Person responsible</t>
        </is>
      </c>
      <c r="T55" s="7" t="inlineStr">
        <is>
          <t>1. מבנה ארגוני ותשתית</t>
        </is>
      </c>
      <c r="U55" s="7" t="inlineStr">
        <is>
          <t>D32</t>
        </is>
      </c>
      <c r="V55" s="9">
        <f>HYPERLINK("#'"&amp;T55&amp;"'!"&amp;U55,"➜ פתח")</f>
        <v/>
      </c>
    </row>
    <row r="56">
      <c r="A56" s="1" t="n"/>
      <c r="B56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IR01</t>
        </is>
      </c>
      <c r="R56" s="7" t="inlineStr">
        <is>
          <t>כותרת מרכז עבודה</t>
        </is>
      </c>
      <c r="S56" s="7" t="inlineStr">
        <is>
          <t>Work center header</t>
        </is>
      </c>
      <c r="T56" s="7" t="inlineStr">
        <is>
          <t>1. מבנה ארגוני ותשתית</t>
        </is>
      </c>
      <c r="U56" s="7" t="inlineStr">
        <is>
          <t>A27</t>
        </is>
      </c>
      <c r="V56" s="9">
        <f>HYPERLINK("#'"&amp;T56&amp;"'!"&amp;U56,"➜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טרנזקציה</t>
        </is>
      </c>
      <c r="Q57" s="8" t="inlineStr">
        <is>
          <t>IR02</t>
        </is>
      </c>
      <c r="R57" s="7" t="inlineStr">
        <is>
          <t>כותרת מרכז עבודה</t>
        </is>
      </c>
      <c r="S57" s="7" t="inlineStr">
        <is>
          <t>Work center header</t>
        </is>
      </c>
      <c r="T57" s="7" t="inlineStr">
        <is>
          <t>1. מבנה ארגוני ותשתית</t>
        </is>
      </c>
      <c r="U57" s="7" t="inlineStr">
        <is>
          <t>A27</t>
        </is>
      </c>
      <c r="V57" s="9">
        <f>HYPERLINK("#'"&amp;T57&amp;"'!"&amp;U57,"➜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טרנזקציה</t>
        </is>
      </c>
      <c r="Q58" s="8" t="inlineStr">
        <is>
          <t>IR03</t>
        </is>
      </c>
      <c r="R58" s="7" t="inlineStr">
        <is>
          <t>כותרת מרכז עבודה</t>
        </is>
      </c>
      <c r="S58" s="7" t="inlineStr">
        <is>
          <t>Work center header</t>
        </is>
      </c>
      <c r="T58" s="7" t="inlineStr">
        <is>
          <t>1. מבנה ארגוני ותשתית</t>
        </is>
      </c>
      <c r="U58" s="7" t="inlineStr">
        <is>
          <t>A27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טרנזקציה</t>
        </is>
      </c>
      <c r="Q59" s="8" t="inlineStr">
        <is>
          <t>CR05</t>
        </is>
      </c>
      <c r="R59" s="7" t="inlineStr">
        <is>
          <t>כותרת מרכז עבודה</t>
        </is>
      </c>
      <c r="S59" s="7" t="inlineStr">
        <is>
          <t>Work center header</t>
        </is>
      </c>
      <c r="T59" s="7" t="inlineStr">
        <is>
          <t>1. מבנה ארגוני ותשתית</t>
        </is>
      </c>
      <c r="U59" s="7" t="inlineStr">
        <is>
          <t>A27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טרנזקציה</t>
        </is>
      </c>
      <c r="Q60" s="8" t="inlineStr">
        <is>
          <t>CR06</t>
        </is>
      </c>
      <c r="R60" s="7" t="inlineStr">
        <is>
          <t>כותרת מרכז עבודה</t>
        </is>
      </c>
      <c r="S60" s="7" t="inlineStr">
        <is>
          <t>Work center header</t>
        </is>
      </c>
      <c r="T60" s="7" t="inlineStr">
        <is>
          <t>1. מבנה ארגוני ותשתית</t>
        </is>
      </c>
      <c r="U60" s="7" t="inlineStr">
        <is>
          <t>A27</t>
        </is>
      </c>
      <c r="V60" s="9">
        <f>HYPERLINK("#'"&amp;T60&amp;"'!"&amp;U60,"➜ פתח")</f>
        <v/>
      </c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פונקציה</t>
        </is>
      </c>
      <c r="Q61" s="8" t="inlineStr">
        <is>
          <t>CR_WORKCENTER_READ</t>
        </is>
      </c>
      <c r="R61" s="7" t="inlineStr">
        <is>
          <t>קריאת נתוני מרכז עבודה</t>
        </is>
      </c>
      <c r="S61" s="7" t="inlineStr">
        <is>
          <t>Work center header</t>
        </is>
      </c>
      <c r="T61" s="7" t="inlineStr">
        <is>
          <t>1. מבנה ארגוני ותשתית</t>
        </is>
      </c>
      <c r="U61" s="7" t="inlineStr">
        <is>
          <t>G27</t>
        </is>
      </c>
      <c r="V61" s="9">
        <f>HYPERLINK("#'"&amp;T61&amp;"'!"&amp;U61,"➜ פתח")</f>
        <v/>
      </c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פונקציה</t>
        </is>
      </c>
      <c r="Q62" s="8" t="inlineStr">
        <is>
          <t>CRAP_WORKCENTER_GET_DETAIL</t>
        </is>
      </c>
      <c r="R62" s="7" t="inlineStr">
        <is>
          <t>שליפת פרטי מרכז עבודה</t>
        </is>
      </c>
      <c r="S62" s="7" t="inlineStr">
        <is>
          <t>Work center header</t>
        </is>
      </c>
      <c r="T62" s="7" t="inlineStr">
        <is>
          <t>1. מבנה ארגוני ותשתית</t>
        </is>
      </c>
      <c r="U62" s="7" t="inlineStr">
        <is>
          <t>G27</t>
        </is>
      </c>
      <c r="V62" s="9">
        <f>HYPERLINK("#'"&amp;T62&amp;"'!"&amp;U62,"➜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7" t="inlineStr">
        <is>
          <t>תוכנית</t>
        </is>
      </c>
      <c r="Q63" s="8" t="inlineStr">
        <is>
          <t>RCRACO00</t>
        </is>
      </c>
      <c r="R63" s="7" t="inlineStr">
        <is>
          <t>דוח מרכזי עבודה וקיבולות</t>
        </is>
      </c>
      <c r="S63" s="7" t="inlineStr">
        <is>
          <t>Work center header</t>
        </is>
      </c>
      <c r="T63" s="7" t="inlineStr">
        <is>
          <t>1. מבנה ארגוני ותשתית</t>
        </is>
      </c>
      <c r="U63" s="7" t="inlineStr">
        <is>
          <t>I27</t>
        </is>
      </c>
      <c r="V63" s="9">
        <f>HYPERLINK("#'"&amp;T63&amp;"'!"&amp;U63,"➜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7" t="inlineStr">
        <is>
          <t>Fiori</t>
        </is>
      </c>
      <c r="Q64" s="8" t="inlineStr">
        <is>
          <t>Manage Work Centers (אמת ID)</t>
        </is>
      </c>
      <c r="R64" s="7" t="inlineStr">
        <is>
          <t>כותרת מרכז עבודה</t>
        </is>
      </c>
      <c r="S64" s="7" t="inlineStr">
        <is>
          <t>Work center header</t>
        </is>
      </c>
      <c r="T64" s="7" t="inlineStr">
        <is>
          <t>1. מבנה ארגוני ותשתית</t>
        </is>
      </c>
      <c r="U64" s="7" t="inlineStr">
        <is>
          <t>N27</t>
        </is>
      </c>
      <c r="V64" s="9">
        <f>HYPERLINK("#'"&amp;T64&amp;"'!"&amp;U64,"➜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7" t="inlineStr">
        <is>
          <t>טבלה</t>
        </is>
      </c>
      <c r="Q65" s="8" t="inlineStr">
        <is>
          <t>CRTX</t>
        </is>
      </c>
      <c r="R65" s="7" t="inlineStr">
        <is>
          <t>טקסטים של מרכז עבודה</t>
        </is>
      </c>
      <c r="S65" s="7" t="inlineStr">
        <is>
          <t>Work center texts</t>
        </is>
      </c>
      <c r="T65" s="7" t="inlineStr">
        <is>
          <t>1. מבנה ארגוני ותשתית</t>
        </is>
      </c>
      <c r="U65" s="7" t="inlineStr">
        <is>
          <t>A34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שדה</t>
        </is>
      </c>
      <c r="Q66" s="8" t="inlineStr">
        <is>
          <t>OBJID</t>
        </is>
      </c>
      <c r="R66" s="7" t="inlineStr">
        <is>
          <t>מזהה אובייקט</t>
        </is>
      </c>
      <c r="S66" s="7" t="inlineStr">
        <is>
          <t>Work center object ID</t>
        </is>
      </c>
      <c r="T66" s="7" t="inlineStr">
        <is>
          <t>1. מבנה ארגוני ותשתית</t>
        </is>
      </c>
      <c r="U66" s="7" t="inlineStr">
        <is>
          <t>D35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שדה</t>
        </is>
      </c>
      <c r="Q67" s="8" t="inlineStr">
        <is>
          <t>SPRAS</t>
        </is>
      </c>
      <c r="R67" s="7" t="inlineStr">
        <is>
          <t>שפה</t>
        </is>
      </c>
      <c r="S67" s="7" t="inlineStr">
        <is>
          <t>Language key</t>
        </is>
      </c>
      <c r="T67" s="7" t="inlineStr">
        <is>
          <t>1. מבנה ארגוני ותשתית</t>
        </is>
      </c>
      <c r="U67" s="7" t="inlineStr">
        <is>
          <t>D36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שדה</t>
        </is>
      </c>
      <c r="Q68" s="8" t="inlineStr">
        <is>
          <t>KTEXT</t>
        </is>
      </c>
      <c r="R68" s="7" t="inlineStr">
        <is>
          <t>תיאור מרכז עבודה</t>
        </is>
      </c>
      <c r="S68" s="7" t="inlineStr">
        <is>
          <t>Work center description</t>
        </is>
      </c>
      <c r="T68" s="7" t="inlineStr">
        <is>
          <t>1. מבנה ארגוני ותשתית</t>
        </is>
      </c>
      <c r="U68" s="7" t="inlineStr">
        <is>
          <t>D37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טרנזקציה</t>
        </is>
      </c>
      <c r="Q69" s="8" t="inlineStr">
        <is>
          <t>IR02</t>
        </is>
      </c>
      <c r="R69" s="7" t="inlineStr">
        <is>
          <t>טקסטים של מרכז עבודה</t>
        </is>
      </c>
      <c r="S69" s="7" t="inlineStr">
        <is>
          <t>Work center texts</t>
        </is>
      </c>
      <c r="T69" s="7" t="inlineStr">
        <is>
          <t>1. מבנה ארגוני ותשתית</t>
        </is>
      </c>
      <c r="U69" s="7" t="inlineStr">
        <is>
          <t>A35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טרנזקציה</t>
        </is>
      </c>
      <c r="Q70" s="8" t="inlineStr">
        <is>
          <t>IR03</t>
        </is>
      </c>
      <c r="R70" s="7" t="inlineStr">
        <is>
          <t>טקסטים של מרכז עבודה</t>
        </is>
      </c>
      <c r="S70" s="7" t="inlineStr">
        <is>
          <t>Work center texts</t>
        </is>
      </c>
      <c r="T70" s="7" t="inlineStr">
        <is>
          <t>1. מבנה ארגוני ותשתית</t>
        </is>
      </c>
      <c r="U70" s="7" t="inlineStr">
        <is>
          <t>A35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פונקציה</t>
        </is>
      </c>
      <c r="Q71" s="8" t="inlineStr">
        <is>
          <t>CR_TEXT_READ</t>
        </is>
      </c>
      <c r="R71" s="7" t="inlineStr">
        <is>
          <t>קריאת טקסט מרכז עבודה</t>
        </is>
      </c>
      <c r="S71" s="7" t="inlineStr">
        <is>
          <t>Work center texts</t>
        </is>
      </c>
      <c r="T71" s="7" t="inlineStr">
        <is>
          <t>1. מבנה ארגוני ותשתית</t>
        </is>
      </c>
      <c r="U71" s="7" t="inlineStr">
        <is>
          <t>G35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תוכנית</t>
        </is>
      </c>
      <c r="Q72" s="8" t="inlineStr">
        <is>
          <t>RCRACO00</t>
        </is>
      </c>
      <c r="R72" s="7" t="inlineStr">
        <is>
          <t>דוח מרכזי עבודה</t>
        </is>
      </c>
      <c r="S72" s="7" t="inlineStr">
        <is>
          <t>Work center texts</t>
        </is>
      </c>
      <c r="T72" s="7" t="inlineStr">
        <is>
          <t>1. מבנה ארגוני ותשתית</t>
        </is>
      </c>
      <c r="U72" s="7" t="inlineStr">
        <is>
          <t>I35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Fiori</t>
        </is>
      </c>
      <c r="Q73" s="8" t="inlineStr">
        <is>
          <t>Manage Work Centers (אמת ID)</t>
        </is>
      </c>
      <c r="R73" s="7" t="inlineStr">
        <is>
          <t>טקסטים של מרכז עבודה</t>
        </is>
      </c>
      <c r="S73" s="7" t="inlineStr">
        <is>
          <t>Work center texts</t>
        </is>
      </c>
      <c r="T73" s="7" t="inlineStr">
        <is>
          <t>1. מבנה ארגוני ותשתית</t>
        </is>
      </c>
      <c r="U73" s="7" t="inlineStr">
        <is>
          <t>N35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T370T</t>
        </is>
      </c>
      <c r="R74" s="7" t="inlineStr">
        <is>
          <t>טבלת טקסט להגדרות מבנה/קטגוריות PM (Customizing)</t>
        </is>
      </c>
      <c r="S74" s="7" t="inlineStr">
        <is>
          <t>PM structure/category customizing text table</t>
        </is>
      </c>
      <c r="T74" s="7" t="inlineStr">
        <is>
          <t>1. מבנה ארגוני ותשתית</t>
        </is>
      </c>
      <c r="U74" s="7" t="inlineStr">
        <is>
          <t>A39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SPRAS</t>
        </is>
      </c>
      <c r="R75" s="7" t="inlineStr">
        <is>
          <t>שפה</t>
        </is>
      </c>
      <c r="S75" s="7" t="inlineStr">
        <is>
          <t>Language key</t>
        </is>
      </c>
      <c r="T75" s="7" t="inlineStr">
        <is>
          <t>1. מבנה ארגוני ותשתית</t>
        </is>
      </c>
      <c r="U75" s="7" t="inlineStr">
        <is>
          <t>D40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FLTYP</t>
        </is>
      </c>
      <c r="R76" s="7" t="inlineStr">
        <is>
          <t>קטגוריית מיקום</t>
        </is>
      </c>
      <c r="S76" s="7" t="inlineStr">
        <is>
          <t>Functional location category</t>
        </is>
      </c>
      <c r="T76" s="7" t="inlineStr">
        <is>
          <t>1. מבנה ארגוני ותשתית</t>
        </is>
      </c>
      <c r="U76" s="7" t="inlineStr">
        <is>
          <t>D41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FLTYPT</t>
        </is>
      </c>
      <c r="R77" s="7" t="inlineStr">
        <is>
          <t>תיאור קטגוריה</t>
        </is>
      </c>
      <c r="S77" s="7" t="inlineStr">
        <is>
          <t>Category description</t>
        </is>
      </c>
      <c r="T77" s="7" t="inlineStr">
        <is>
          <t>1. מבנה ארגוני ותשתית</t>
        </is>
      </c>
      <c r="U77" s="7" t="inlineStr">
        <is>
          <t>D42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טרנזקציה</t>
        </is>
      </c>
      <c r="Q78" s="8" t="inlineStr">
        <is>
          <t>SPRO</t>
        </is>
      </c>
      <c r="R78" s="7" t="inlineStr">
        <is>
          <t>טבלת טקסט להגדרות מבנה/קטגוריות PM (Customizing)</t>
        </is>
      </c>
      <c r="S78" s="7" t="inlineStr">
        <is>
          <t>PM structure/category customizing text table</t>
        </is>
      </c>
      <c r="T78" s="7" t="inlineStr">
        <is>
          <t>1. מבנה ארגוני ותשתית</t>
        </is>
      </c>
      <c r="U78" s="7" t="inlineStr">
        <is>
          <t>A40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טרנזקציה</t>
        </is>
      </c>
      <c r="Q79" s="8" t="inlineStr">
        <is>
          <t>OIA1</t>
        </is>
      </c>
      <c r="R79" s="7" t="inlineStr">
        <is>
          <t>טבלת טקסט להגדרות מבנה/קטגוריות PM (Customizing)</t>
        </is>
      </c>
      <c r="S79" s="7" t="inlineStr">
        <is>
          <t>PM structure/category customizing text table</t>
        </is>
      </c>
      <c r="T79" s="7" t="inlineStr">
        <is>
          <t>1. מבנה ארגוני ותשתית</t>
        </is>
      </c>
      <c r="U79" s="7" t="inlineStr">
        <is>
          <t>A40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טרנזקציה</t>
        </is>
      </c>
      <c r="Q80" s="8" t="inlineStr">
        <is>
          <t>OIMR</t>
        </is>
      </c>
      <c r="R80" s="7" t="inlineStr">
        <is>
          <t>טבלת טקסט להגדרות מבנה/קטגוריות PM (Customizing)</t>
        </is>
      </c>
      <c r="S80" s="7" t="inlineStr">
        <is>
          <t>PM structure/category customizing text table</t>
        </is>
      </c>
      <c r="T80" s="7" t="inlineStr">
        <is>
          <t>1. מבנה ארגוני ותשתית</t>
        </is>
      </c>
      <c r="U80" s="7" t="inlineStr">
        <is>
          <t>A40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פונקציה</t>
        </is>
      </c>
      <c r="Q81" s="8" t="inlineStr">
        <is>
          <t>STRUCTURE_INDICATOR_READ</t>
        </is>
      </c>
      <c r="R81" s="7" t="inlineStr">
        <is>
          <t>קריאת מחוון מבנה והגדרותיו</t>
        </is>
      </c>
      <c r="S81" s="7" t="inlineStr">
        <is>
          <t>PM structure/category customizing text table</t>
        </is>
      </c>
      <c r="T81" s="7" t="inlineStr">
        <is>
          <t>1. מבנה ארגוני ותשתית</t>
        </is>
      </c>
      <c r="U81" s="7" t="inlineStr">
        <is>
          <t>G40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תוכנית</t>
        </is>
      </c>
      <c r="Q82" s="8" t="inlineStr">
        <is>
          <t>RIFLET00</t>
        </is>
      </c>
      <c r="R82" s="7" t="inlineStr">
        <is>
          <t>תחזוקת קטגוריות ומסיכות עריכה</t>
        </is>
      </c>
      <c r="S82" s="7" t="inlineStr">
        <is>
          <t>PM structure/category customizing text table</t>
        </is>
      </c>
      <c r="T82" s="7" t="inlineStr">
        <is>
          <t>1. מבנה ארגוני ותשתית</t>
        </is>
      </c>
      <c r="U82" s="7" t="inlineStr">
        <is>
          <t>I40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Fiori</t>
        </is>
      </c>
      <c r="Q83" s="8" t="inlineStr">
        <is>
          <t>אין Fiori ייעודי (Customizing)</t>
        </is>
      </c>
      <c r="R83" s="7" t="inlineStr">
        <is>
          <t>טבלת טקסט להגדרות מבנה/קטגוריות PM (Customizing)</t>
        </is>
      </c>
      <c r="S83" s="7" t="inlineStr">
        <is>
          <t>PM structure/category customizing text table</t>
        </is>
      </c>
      <c r="T83" s="7" t="inlineStr">
        <is>
          <t>1. מבנה ארגוני ותשתית</t>
        </is>
      </c>
      <c r="U83" s="7" t="inlineStr">
        <is>
          <t>N40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User Exit</t>
        </is>
      </c>
      <c r="Q84" s="8" t="inlineStr">
        <is>
          <t>ITOB0001</t>
        </is>
      </c>
      <c r="R84" s="7" t="inlineStr">
        <is>
          <t>הרחבת לקוח לאובייקטים טכניים (מיקום/ציוד) - שדות נוספים ובדיקות</t>
        </is>
      </c>
      <c r="S84" s="7" t="inlineStr"/>
      <c r="T84" s="7" t="inlineStr">
        <is>
          <t>1. מבנה ארגוני ותשתית</t>
        </is>
      </c>
      <c r="U84" s="7" t="inlineStr">
        <is>
          <t>A47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User Exit</t>
        </is>
      </c>
      <c r="Q85" s="8" t="inlineStr">
        <is>
          <t>IBIP0001</t>
        </is>
      </c>
      <c r="R85" s="7" t="inlineStr">
        <is>
          <t>ממשק יצירה אצווה (Batch Input/Direct Input) לאובייקטים טכניים</t>
        </is>
      </c>
      <c r="S85" s="7" t="inlineStr"/>
      <c r="T85" s="7" t="inlineStr">
        <is>
          <t>1. מבנה ארגוני ותשתית</t>
        </is>
      </c>
      <c r="U85" s="7" t="inlineStr">
        <is>
          <t>A48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BAdI</t>
        </is>
      </c>
      <c r="Q86" s="8" t="inlineStr">
        <is>
          <t>BADI_EAM_TECHNICAL_OBJECT</t>
        </is>
      </c>
      <c r="R86" s="7" t="inlineStr">
        <is>
          <t>BAdI מרכזי להרחבת לוגיקת אובייקטים טכניים ב-S/4HANA</t>
        </is>
      </c>
      <c r="S86" s="7" t="inlineStr"/>
      <c r="T86" s="7" t="inlineStr">
        <is>
          <t>1. מבנה ארגוני ותשתית</t>
        </is>
      </c>
      <c r="U86" s="7" t="inlineStr">
        <is>
          <t>A49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BAdI</t>
        </is>
      </c>
      <c r="Q87" s="8" t="inlineStr">
        <is>
          <t>BADI_EAM_SINGLE_LEVEL_LIST</t>
        </is>
      </c>
      <c r="R87" s="7" t="inlineStr">
        <is>
          <t>התאמת רשימות אובייקטים חד-רמתיות (IH06/IH08)</t>
        </is>
      </c>
      <c r="S87" s="7" t="inlineStr"/>
      <c r="T87" s="7" t="inlineStr">
        <is>
          <t>1. מבנה ארגוני ותשתית</t>
        </is>
      </c>
      <c r="U87" s="7" t="inlineStr">
        <is>
          <t>A50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טבלה</t>
        </is>
      </c>
      <c r="Q88" s="8" t="inlineStr">
        <is>
          <t>EQUI</t>
        </is>
      </c>
      <c r="R88" s="7" t="inlineStr">
        <is>
          <t>רשומת אב של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A3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שדה</t>
        </is>
      </c>
      <c r="Q89" s="8" t="inlineStr">
        <is>
          <t>EQUNR</t>
        </is>
      </c>
      <c r="R89" s="7" t="inlineStr">
        <is>
          <t>מספר ציוד</t>
        </is>
      </c>
      <c r="S89" s="7" t="inlineStr">
        <is>
          <t>Equipment number</t>
        </is>
      </c>
      <c r="T89" s="7" t="inlineStr">
        <is>
          <t>2. ציוד ונתוני מאסטר</t>
        </is>
      </c>
      <c r="U89" s="7" t="inlineStr">
        <is>
          <t>D4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שדה</t>
        </is>
      </c>
      <c r="Q90" s="8" t="inlineStr">
        <is>
          <t>EQTYP</t>
        </is>
      </c>
      <c r="R90" s="7" t="inlineStr">
        <is>
          <t>קטגוריית ציוד</t>
        </is>
      </c>
      <c r="S90" s="7" t="inlineStr">
        <is>
          <t>Equipment category</t>
        </is>
      </c>
      <c r="T90" s="7" t="inlineStr">
        <is>
          <t>2. ציוד ונתוני מאסטר</t>
        </is>
      </c>
      <c r="U90" s="7" t="inlineStr">
        <is>
          <t>D5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שדה</t>
        </is>
      </c>
      <c r="Q91" s="8" t="inlineStr">
        <is>
          <t>EQART</t>
        </is>
      </c>
      <c r="R91" s="7" t="inlineStr">
        <is>
          <t>סוג טכני</t>
        </is>
      </c>
      <c r="S91" s="7" t="inlineStr">
        <is>
          <t>Technical object type</t>
        </is>
      </c>
      <c r="T91" s="7" t="inlineStr">
        <is>
          <t>2. ציוד ונתוני מאסטר</t>
        </is>
      </c>
      <c r="U91" s="7" t="inlineStr">
        <is>
          <t>D6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שדה</t>
        </is>
      </c>
      <c r="Q92" s="8" t="inlineStr">
        <is>
          <t>HERST</t>
        </is>
      </c>
      <c r="R92" s="7" t="inlineStr">
        <is>
          <t>יצרן</t>
        </is>
      </c>
      <c r="S92" s="7" t="inlineStr">
        <is>
          <t>Manufacturer</t>
        </is>
      </c>
      <c r="T92" s="7" t="inlineStr">
        <is>
          <t>2. ציוד ונתוני מאסטר</t>
        </is>
      </c>
      <c r="U92" s="7" t="inlineStr">
        <is>
          <t>D7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שדה</t>
        </is>
      </c>
      <c r="Q93" s="8" t="inlineStr">
        <is>
          <t>TYPBZ</t>
        </is>
      </c>
      <c r="R93" s="7" t="inlineStr">
        <is>
          <t>דגם היצרן</t>
        </is>
      </c>
      <c r="S93" s="7" t="inlineStr">
        <is>
          <t>Manufacturer model number</t>
        </is>
      </c>
      <c r="T93" s="7" t="inlineStr">
        <is>
          <t>2. ציוד ונתוני מאסטר</t>
        </is>
      </c>
      <c r="U93" s="7" t="inlineStr">
        <is>
          <t>D8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OBJNR</t>
        </is>
      </c>
      <c r="R94" s="7" t="inlineStr">
        <is>
          <t>מפתח אובייקט לסטטוס</t>
        </is>
      </c>
      <c r="S94" s="7" t="inlineStr">
        <is>
          <t>Object number (status)</t>
        </is>
      </c>
      <c r="T94" s="7" t="inlineStr">
        <is>
          <t>2. ציוד ונתוני מאסטר</t>
        </is>
      </c>
      <c r="U94" s="7" t="inlineStr">
        <is>
          <t>D9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טרנזקציה</t>
        </is>
      </c>
      <c r="Q95" s="8" t="inlineStr">
        <is>
          <t>IE01</t>
        </is>
      </c>
      <c r="R95" s="7" t="inlineStr">
        <is>
          <t>רשומת אב של ציוד</t>
        </is>
      </c>
      <c r="S95" s="7" t="inlineStr">
        <is>
          <t>Equipment master record</t>
        </is>
      </c>
      <c r="T95" s="7" t="inlineStr">
        <is>
          <t>2. ציוד ונתוני מאסטר</t>
        </is>
      </c>
      <c r="U95" s="7" t="inlineStr">
        <is>
          <t>A4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טרנזקציה</t>
        </is>
      </c>
      <c r="Q96" s="8" t="inlineStr">
        <is>
          <t>IE02</t>
        </is>
      </c>
      <c r="R96" s="7" t="inlineStr">
        <is>
          <t>רשומת אב של ציוד</t>
        </is>
      </c>
      <c r="S96" s="7" t="inlineStr">
        <is>
          <t>Equipment master record</t>
        </is>
      </c>
      <c r="T96" s="7" t="inlineStr">
        <is>
          <t>2. ציוד ונתוני מאסטר</t>
        </is>
      </c>
      <c r="U96" s="7" t="inlineStr">
        <is>
          <t>A4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IE03</t>
        </is>
      </c>
      <c r="R97" s="7" t="inlineStr">
        <is>
          <t>רשומת אב של ציוד</t>
        </is>
      </c>
      <c r="S97" s="7" t="inlineStr">
        <is>
          <t>Equipment master record</t>
        </is>
      </c>
      <c r="T97" s="7" t="inlineStr">
        <is>
          <t>2. ציוד ונתוני מאסטר</t>
        </is>
      </c>
      <c r="U97" s="7" t="inlineStr">
        <is>
          <t>A4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IH08</t>
        </is>
      </c>
      <c r="R98" s="7" t="inlineStr">
        <is>
          <t>רשומת אב של ציוד</t>
        </is>
      </c>
      <c r="S98" s="7" t="inlineStr">
        <is>
          <t>Equipment master record</t>
        </is>
      </c>
      <c r="T98" s="7" t="inlineStr">
        <is>
          <t>2. ציוד ונתוני מאסטר</t>
        </is>
      </c>
      <c r="U98" s="7" t="inlineStr">
        <is>
          <t>A4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טרנזקציה</t>
        </is>
      </c>
      <c r="Q99" s="8" t="inlineStr">
        <is>
          <t>IE05</t>
        </is>
      </c>
      <c r="R99" s="7" t="inlineStr">
        <is>
          <t>רשומת אב של ציוד</t>
        </is>
      </c>
      <c r="S99" s="7" t="inlineStr">
        <is>
          <t>Equipment master record</t>
        </is>
      </c>
      <c r="T99" s="7" t="inlineStr">
        <is>
          <t>2. ציוד ונתוני מאסטר</t>
        </is>
      </c>
      <c r="U99" s="7" t="inlineStr">
        <is>
          <t>A4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פונקציה</t>
        </is>
      </c>
      <c r="Q100" s="8" t="inlineStr">
        <is>
          <t>BAPI_EQUI_CREATE</t>
        </is>
      </c>
      <c r="R100" s="7" t="inlineStr">
        <is>
          <t>יצירת ציוד דרך ממשק תקני</t>
        </is>
      </c>
      <c r="S100" s="7" t="inlineStr">
        <is>
          <t>Equipment master record</t>
        </is>
      </c>
      <c r="T100" s="7" t="inlineStr">
        <is>
          <t>2. ציוד ונתוני מאסטר</t>
        </is>
      </c>
      <c r="U100" s="7" t="inlineStr">
        <is>
          <t>G4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פונקציה</t>
        </is>
      </c>
      <c r="Q101" s="8" t="inlineStr">
        <is>
          <t>BAPI_EQUI_CHANGE</t>
        </is>
      </c>
      <c r="R101" s="7" t="inlineStr">
        <is>
          <t>שינוי ציוד</t>
        </is>
      </c>
      <c r="S101" s="7" t="inlineStr">
        <is>
          <t>Equipment master record</t>
        </is>
      </c>
      <c r="T101" s="7" t="inlineStr">
        <is>
          <t>2. ציוד ונתוני מאסטר</t>
        </is>
      </c>
      <c r="U101" s="7" t="inlineStr">
        <is>
          <t>G4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פונקציה</t>
        </is>
      </c>
      <c r="Q102" s="8" t="inlineStr">
        <is>
          <t>BAPI_EQUI_GETDETAIL</t>
        </is>
      </c>
      <c r="R102" s="7" t="inlineStr">
        <is>
          <t>שליפת פרטי ציוד</t>
        </is>
      </c>
      <c r="S102" s="7" t="inlineStr">
        <is>
          <t>Equipment master record</t>
        </is>
      </c>
      <c r="T102" s="7" t="inlineStr">
        <is>
          <t>2. ציוד ונתוני מאסטר</t>
        </is>
      </c>
      <c r="U102" s="7" t="inlineStr">
        <is>
          <t>G4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פונקציה</t>
        </is>
      </c>
      <c r="Q103" s="8" t="inlineStr">
        <is>
          <t>BAPI_EQMT_INSTALL</t>
        </is>
      </c>
      <c r="R103" s="7" t="inlineStr">
        <is>
          <t>התקנת ציוד במיקום/ציוד אב</t>
        </is>
      </c>
      <c r="S103" s="7" t="inlineStr">
        <is>
          <t>Equipment master record</t>
        </is>
      </c>
      <c r="T103" s="7" t="inlineStr">
        <is>
          <t>2. ציוד ונתוני מאסטר</t>
        </is>
      </c>
      <c r="U103" s="7" t="inlineStr">
        <is>
          <t>G4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תוכנית</t>
        </is>
      </c>
      <c r="Q104" s="8" t="inlineStr">
        <is>
          <t>RIEQUI20</t>
        </is>
      </c>
      <c r="R104" s="7" t="inlineStr">
        <is>
          <t>רשימת ציוד (IH08)</t>
        </is>
      </c>
      <c r="S104" s="7" t="inlineStr">
        <is>
          <t>Equipment master record</t>
        </is>
      </c>
      <c r="T104" s="7" t="inlineStr">
        <is>
          <t>2. ציוד ונתוני מאסטר</t>
        </is>
      </c>
      <c r="U104" s="7" t="inlineStr">
        <is>
          <t>I4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תוכנית</t>
        </is>
      </c>
      <c r="Q105" s="8" t="inlineStr">
        <is>
          <t>RIEQUI00</t>
        </is>
      </c>
      <c r="R105" s="7" t="inlineStr">
        <is>
          <t>ניתוח היסטוריית התקנות הציוד</t>
        </is>
      </c>
      <c r="S105" s="7" t="inlineStr">
        <is>
          <t>Equipment master record</t>
        </is>
      </c>
      <c r="T105" s="7" t="inlineStr">
        <is>
          <t>2. ציוד ונתוני מאסטר</t>
        </is>
      </c>
      <c r="U105" s="7" t="inlineStr">
        <is>
          <t>I4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Fiori</t>
        </is>
      </c>
      <c r="Q106" s="8" t="inlineStr">
        <is>
          <t>Manage Technical Objects (F2079)</t>
        </is>
      </c>
      <c r="R106" s="7" t="inlineStr">
        <is>
          <t>רשומת אב של ציוד</t>
        </is>
      </c>
      <c r="S106" s="7" t="inlineStr">
        <is>
          <t>Equipment master record</t>
        </is>
      </c>
      <c r="T106" s="7" t="inlineStr">
        <is>
          <t>2. ציוד ונתוני מאסטר</t>
        </is>
      </c>
      <c r="U106" s="7" t="inlineStr">
        <is>
          <t>N4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טבלה</t>
        </is>
      </c>
      <c r="Q107" s="8" t="inlineStr">
        <is>
          <t>EQKT</t>
        </is>
      </c>
      <c r="R107" s="7" t="inlineStr">
        <is>
          <t>טקסטים (תיאורים) של ציוד</t>
        </is>
      </c>
      <c r="S107" s="7" t="inlineStr">
        <is>
          <t>Equipment short texts</t>
        </is>
      </c>
      <c r="T107" s="7" t="inlineStr">
        <is>
          <t>2. ציוד ונתוני מאסטר</t>
        </is>
      </c>
      <c r="U107" s="7" t="inlineStr">
        <is>
          <t>A11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שדה</t>
        </is>
      </c>
      <c r="Q108" s="8" t="inlineStr">
        <is>
          <t>EQUNR</t>
        </is>
      </c>
      <c r="R108" s="7" t="inlineStr">
        <is>
          <t>מספר ציוד</t>
        </is>
      </c>
      <c r="S108" s="7" t="inlineStr">
        <is>
          <t>Equipment number</t>
        </is>
      </c>
      <c r="T108" s="7" t="inlineStr">
        <is>
          <t>2. ציוד ונתוני מאסטר</t>
        </is>
      </c>
      <c r="U108" s="7" t="inlineStr">
        <is>
          <t>D12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שדה</t>
        </is>
      </c>
      <c r="Q109" s="8" t="inlineStr">
        <is>
          <t>SPRAS</t>
        </is>
      </c>
      <c r="R109" s="7" t="inlineStr">
        <is>
          <t>שפה</t>
        </is>
      </c>
      <c r="S109" s="7" t="inlineStr">
        <is>
          <t>Language key</t>
        </is>
      </c>
      <c r="T109" s="7" t="inlineStr">
        <is>
          <t>2. ציוד ונתוני מאסטר</t>
        </is>
      </c>
      <c r="U109" s="7" t="inlineStr">
        <is>
          <t>D13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שדה</t>
        </is>
      </c>
      <c r="Q110" s="8" t="inlineStr">
        <is>
          <t>EQKTX</t>
        </is>
      </c>
      <c r="R110" s="7" t="inlineStr">
        <is>
          <t>תיאור הציוד</t>
        </is>
      </c>
      <c r="S110" s="7" t="inlineStr">
        <is>
          <t>Equipment description</t>
        </is>
      </c>
      <c r="T110" s="7" t="inlineStr">
        <is>
          <t>2. ציוד ונתוני מאסטר</t>
        </is>
      </c>
      <c r="U110" s="7" t="inlineStr">
        <is>
          <t>D14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טרנזקציה</t>
        </is>
      </c>
      <c r="Q111" s="8" t="inlineStr">
        <is>
          <t>IE02</t>
        </is>
      </c>
      <c r="R111" s="7" t="inlineStr">
        <is>
          <t>טקסטים (תיאורים) של ציוד</t>
        </is>
      </c>
      <c r="S111" s="7" t="inlineStr">
        <is>
          <t>Equipment short texts</t>
        </is>
      </c>
      <c r="T111" s="7" t="inlineStr">
        <is>
          <t>2. ציוד ונתוני מאסטר</t>
        </is>
      </c>
      <c r="U111" s="7" t="inlineStr">
        <is>
          <t>A12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טרנזקציה</t>
        </is>
      </c>
      <c r="Q112" s="8" t="inlineStr">
        <is>
          <t>IE03</t>
        </is>
      </c>
      <c r="R112" s="7" t="inlineStr">
        <is>
          <t>טקסטים (תיאורים) של ציוד</t>
        </is>
      </c>
      <c r="S112" s="7" t="inlineStr">
        <is>
          <t>Equipment short texts</t>
        </is>
      </c>
      <c r="T112" s="7" t="inlineStr">
        <is>
          <t>2. ציוד ונתוני מאסטר</t>
        </is>
      </c>
      <c r="U112" s="7" t="inlineStr">
        <is>
          <t>A12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פונקציה</t>
        </is>
      </c>
      <c r="Q113" s="8" t="inlineStr">
        <is>
          <t>EQUIPMENT_TEXT_READ</t>
        </is>
      </c>
      <c r="R113" s="7" t="inlineStr">
        <is>
          <t>קריאת טקסט ציוד</t>
        </is>
      </c>
      <c r="S113" s="7" t="inlineStr">
        <is>
          <t>Equipment short texts</t>
        </is>
      </c>
      <c r="T113" s="7" t="inlineStr">
        <is>
          <t>2. ציוד ונתוני מאסטר</t>
        </is>
      </c>
      <c r="U113" s="7" t="inlineStr">
        <is>
          <t>G12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תוכנית</t>
        </is>
      </c>
      <c r="Q114" s="8" t="inlineStr">
        <is>
          <t>RIEQUI20</t>
        </is>
      </c>
      <c r="R114" s="7" t="inlineStr">
        <is>
          <t>רשימת ציוד עם תיאורים</t>
        </is>
      </c>
      <c r="S114" s="7" t="inlineStr">
        <is>
          <t>Equipment short texts</t>
        </is>
      </c>
      <c r="T114" s="7" t="inlineStr">
        <is>
          <t>2. ציוד ונתוני מאסטר</t>
        </is>
      </c>
      <c r="U114" s="7" t="inlineStr">
        <is>
          <t>I12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Fiori</t>
        </is>
      </c>
      <c r="Q115" s="8" t="inlineStr">
        <is>
          <t>Manage Technical Objects (F2079)</t>
        </is>
      </c>
      <c r="R115" s="7" t="inlineStr">
        <is>
          <t>טקסטים (תיאורים) של ציוד</t>
        </is>
      </c>
      <c r="S115" s="7" t="inlineStr">
        <is>
          <t>Equipment short texts</t>
        </is>
      </c>
      <c r="T115" s="7" t="inlineStr">
        <is>
          <t>2. ציוד ונתוני מאסטר</t>
        </is>
      </c>
      <c r="U115" s="7" t="inlineStr">
        <is>
          <t>N12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טבלה</t>
        </is>
      </c>
      <c r="Q116" s="8" t="inlineStr">
        <is>
          <t>EQUZ</t>
        </is>
      </c>
      <c r="R116" s="7" t="inlineStr">
        <is>
          <t>פלח זמן של ציוד (התקנות/שיוך)</t>
        </is>
      </c>
      <c r="S116" s="7" t="inlineStr">
        <is>
          <t>Equipment time segment</t>
        </is>
      </c>
      <c r="T116" s="7" t="inlineStr">
        <is>
          <t>2. ציוד ונתוני מאסטר</t>
        </is>
      </c>
      <c r="U116" s="7" t="inlineStr">
        <is>
          <t>A16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D17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DATBI</t>
        </is>
      </c>
      <c r="R118" s="7" t="inlineStr">
        <is>
          <t>תקף עד</t>
        </is>
      </c>
      <c r="S118" s="7" t="inlineStr">
        <is>
          <t>Valid-to date of segment</t>
        </is>
      </c>
      <c r="T118" s="7" t="inlineStr">
        <is>
          <t>2. ציוד ונתוני מאסטר</t>
        </is>
      </c>
      <c r="U118" s="7" t="inlineStr">
        <is>
          <t>D18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HEQUI</t>
        </is>
      </c>
      <c r="R119" s="7" t="inlineStr">
        <is>
          <t>ציוד עליון</t>
        </is>
      </c>
      <c r="S119" s="7" t="inlineStr">
        <is>
          <t>Superior equipment</t>
        </is>
      </c>
      <c r="T119" s="7" t="inlineStr">
        <is>
          <t>2. ציוד ונתוני מאסטר</t>
        </is>
      </c>
      <c r="U119" s="7" t="inlineStr">
        <is>
          <t>D19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ILOAN</t>
        </is>
      </c>
      <c r="R120" s="7" t="inlineStr">
        <is>
          <t>מפתח מיקום/חיוב</t>
        </is>
      </c>
      <c r="S120" s="7" t="inlineStr">
        <is>
          <t>Location/account key</t>
        </is>
      </c>
      <c r="T120" s="7" t="inlineStr">
        <is>
          <t>2. ציוד ונתוני מאסטר</t>
        </is>
      </c>
      <c r="U120" s="7" t="inlineStr">
        <is>
          <t>D20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שדה</t>
        </is>
      </c>
      <c r="Q121" s="8" t="inlineStr">
        <is>
          <t>EQLFN</t>
        </is>
      </c>
      <c r="R121" s="7" t="inlineStr">
        <is>
          <t>מונה פלח זמן</t>
        </is>
      </c>
      <c r="S121" s="7" t="inlineStr">
        <is>
          <t>Time segment counter</t>
        </is>
      </c>
      <c r="T121" s="7" t="inlineStr">
        <is>
          <t>2. ציוד ונתוני מאסטר</t>
        </is>
      </c>
      <c r="U121" s="7" t="inlineStr">
        <is>
          <t>D21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IE02</t>
        </is>
      </c>
      <c r="R122" s="7" t="inlineStr">
        <is>
          <t>פלח זמן של ציוד (התקנות/שיוך)</t>
        </is>
      </c>
      <c r="S122" s="7" t="inlineStr">
        <is>
          <t>Equipment time segment</t>
        </is>
      </c>
      <c r="T122" s="7" t="inlineStr">
        <is>
          <t>2. ציוד ונתוני מאסטר</t>
        </is>
      </c>
      <c r="U122" s="7" t="inlineStr">
        <is>
          <t>A17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IE4N (התקנה</t>
        </is>
      </c>
      <c r="R123" s="7" t="inlineStr">
        <is>
          <t>פלח זמן של ציוד (התקנות/שיוך)</t>
        </is>
      </c>
      <c r="S123" s="7" t="inlineStr">
        <is>
          <t>Equipment time segment</t>
        </is>
      </c>
      <c r="T123" s="7" t="inlineStr">
        <is>
          <t>2. ציוד ונתוני מאסטר</t>
        </is>
      </c>
      <c r="U123" s="7" t="inlineStr">
        <is>
          <t>A17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פירוק)</t>
        </is>
      </c>
      <c r="R124" s="7" t="inlineStr">
        <is>
          <t>פלח זמן של ציוד (התקנות/שיוך)</t>
        </is>
      </c>
      <c r="S124" s="7" t="inlineStr">
        <is>
          <t>Equipment time segment</t>
        </is>
      </c>
      <c r="T124" s="7" t="inlineStr">
        <is>
          <t>2. ציוד ונתוני מאסטר</t>
        </is>
      </c>
      <c r="U124" s="7" t="inlineStr">
        <is>
          <t>A17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פונקציה</t>
        </is>
      </c>
      <c r="Q125" s="8" t="inlineStr">
        <is>
          <t>EQUI_TIMESEGMENT_READ</t>
        </is>
      </c>
      <c r="R125" s="7" t="inlineStr">
        <is>
          <t>קריאת פלחי הזמן של הציוד</t>
        </is>
      </c>
      <c r="S125" s="7" t="inlineStr">
        <is>
          <t>Equipment time segment</t>
        </is>
      </c>
      <c r="T125" s="7" t="inlineStr">
        <is>
          <t>2. ציוד ונתוני מאסטר</t>
        </is>
      </c>
      <c r="U125" s="7" t="inlineStr">
        <is>
          <t>G17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EQUIPMENT_DISMANTLE</t>
        </is>
      </c>
      <c r="R126" s="7" t="inlineStr">
        <is>
          <t>פירוק ציוד מהמיקום/ציוד אב</t>
        </is>
      </c>
      <c r="S126" s="7" t="inlineStr">
        <is>
          <t>Equipment time segment</t>
        </is>
      </c>
      <c r="T126" s="7" t="inlineStr">
        <is>
          <t>2. ציוד ונתוני מאסטר</t>
        </is>
      </c>
      <c r="U126" s="7" t="inlineStr">
        <is>
          <t>G17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תוכנית</t>
        </is>
      </c>
      <c r="Q127" s="8" t="inlineStr">
        <is>
          <t>RIEQUI00</t>
        </is>
      </c>
      <c r="R127" s="7" t="inlineStr">
        <is>
          <t>ניתוח שינויי התקנה והיסטוריה</t>
        </is>
      </c>
      <c r="S127" s="7" t="inlineStr">
        <is>
          <t>Equipment time segment</t>
        </is>
      </c>
      <c r="T127" s="7" t="inlineStr">
        <is>
          <t>2. ציוד ונתוני מאסטר</t>
        </is>
      </c>
      <c r="U127" s="7" t="inlineStr">
        <is>
          <t>I17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Fiori</t>
        </is>
      </c>
      <c r="Q128" s="8" t="inlineStr">
        <is>
          <t>Manage Technical Objects (F2079)</t>
        </is>
      </c>
      <c r="R128" s="7" t="inlineStr">
        <is>
          <t>פלח זמן של ציוד (התקנות/שיוך)</t>
        </is>
      </c>
      <c r="S128" s="7" t="inlineStr">
        <is>
          <t>Equipment time segment</t>
        </is>
      </c>
      <c r="T128" s="7" t="inlineStr">
        <is>
          <t>2. ציוד ונתוני מאסטר</t>
        </is>
      </c>
      <c r="U128" s="7" t="inlineStr">
        <is>
          <t>N17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טבלה</t>
        </is>
      </c>
      <c r="Q129" s="8" t="inlineStr">
        <is>
          <t>OBJK</t>
        </is>
      </c>
      <c r="R129" s="7" t="inlineStr">
        <is>
          <t>רשימת אובייקטים / מספרים סידוריים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A23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שדה</t>
        </is>
      </c>
      <c r="Q130" s="8" t="inlineStr">
        <is>
          <t>OBKNR</t>
        </is>
      </c>
      <c r="R130" s="7" t="inlineStr">
        <is>
          <t>מספר רשומת אובייקט</t>
        </is>
      </c>
      <c r="S130" s="7" t="inlineStr">
        <is>
          <t>Object list number</t>
        </is>
      </c>
      <c r="T130" s="7" t="inlineStr">
        <is>
          <t>2. ציוד ונתוני מאסטר</t>
        </is>
      </c>
      <c r="U130" s="7" t="inlineStr">
        <is>
          <t>D24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שדה</t>
        </is>
      </c>
      <c r="Q131" s="8" t="inlineStr">
        <is>
          <t>EQUNR</t>
        </is>
      </c>
      <c r="R131" s="7" t="inlineStr">
        <is>
          <t>מספר ציוד</t>
        </is>
      </c>
      <c r="S131" s="7" t="inlineStr">
        <is>
          <t>Equipment number</t>
        </is>
      </c>
      <c r="T131" s="7" t="inlineStr">
        <is>
          <t>2. ציוד ונתוני מאסטר</t>
        </is>
      </c>
      <c r="U131" s="7" t="inlineStr">
        <is>
          <t>D25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שדה</t>
        </is>
      </c>
      <c r="Q132" s="8" t="inlineStr">
        <is>
          <t>SERNR</t>
        </is>
      </c>
      <c r="R132" s="7" t="inlineStr">
        <is>
          <t>מספר סידורי</t>
        </is>
      </c>
      <c r="S132" s="7" t="inlineStr">
        <is>
          <t>Serial number</t>
        </is>
      </c>
      <c r="T132" s="7" t="inlineStr">
        <is>
          <t>2. ציוד ונתוני מאסטר</t>
        </is>
      </c>
      <c r="U132" s="7" t="inlineStr">
        <is>
          <t>D26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שדה</t>
        </is>
      </c>
      <c r="Q133" s="8" t="inlineStr">
        <is>
          <t>MATNR</t>
        </is>
      </c>
      <c r="R133" s="7" t="inlineStr">
        <is>
          <t>חומר</t>
        </is>
      </c>
      <c r="S133" s="7" t="inlineStr">
        <is>
          <t>Material number</t>
        </is>
      </c>
      <c r="T133" s="7" t="inlineStr">
        <is>
          <t>2. ציוד ונתוני מאסטר</t>
        </is>
      </c>
      <c r="U133" s="7" t="inlineStr">
        <is>
          <t>D27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שדה</t>
        </is>
      </c>
      <c r="Q134" s="8" t="inlineStr">
        <is>
          <t>TASER</t>
        </is>
      </c>
      <c r="R134" s="7" t="inlineStr">
        <is>
          <t>שימוש פרופיל סריאלי</t>
        </is>
      </c>
      <c r="S134" s="7" t="inlineStr">
        <is>
          <t>Serial number profile usage</t>
        </is>
      </c>
      <c r="T134" s="7" t="inlineStr">
        <is>
          <t>2. ציוד ונתוני מאסטר</t>
        </is>
      </c>
      <c r="U134" s="7" t="inlineStr">
        <is>
          <t>D28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טרנזקציה</t>
        </is>
      </c>
      <c r="Q135" s="8" t="inlineStr">
        <is>
          <t>IQ01</t>
        </is>
      </c>
      <c r="R135" s="7" t="inlineStr">
        <is>
          <t>רשימת אובייקטים / מספרים סידוריים</t>
        </is>
      </c>
      <c r="S135" s="7" t="inlineStr">
        <is>
          <t>Object list / serial assignment</t>
        </is>
      </c>
      <c r="T135" s="7" t="inlineStr">
        <is>
          <t>2. ציוד ונתוני מאסטר</t>
        </is>
      </c>
      <c r="U135" s="7" t="inlineStr">
        <is>
          <t>A24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טרנזקציה</t>
        </is>
      </c>
      <c r="Q136" s="8" t="inlineStr">
        <is>
          <t>IQ02</t>
        </is>
      </c>
      <c r="R136" s="7" t="inlineStr">
        <is>
          <t>רשימת אובייקטים / מספרים סידוריים</t>
        </is>
      </c>
      <c r="S136" s="7" t="inlineStr">
        <is>
          <t>Object list / serial assignment</t>
        </is>
      </c>
      <c r="T136" s="7" t="inlineStr">
        <is>
          <t>2. ציוד ונתוני מאסטר</t>
        </is>
      </c>
      <c r="U136" s="7" t="inlineStr">
        <is>
          <t>A24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טרנזקציה</t>
        </is>
      </c>
      <c r="Q137" s="8" t="inlineStr">
        <is>
          <t>IQ03</t>
        </is>
      </c>
      <c r="R137" s="7" t="inlineStr">
        <is>
          <t>רשימת אובייקטים / מספרים סידוריים</t>
        </is>
      </c>
      <c r="S137" s="7" t="inlineStr">
        <is>
          <t>Object list / serial assignment</t>
        </is>
      </c>
      <c r="T137" s="7" t="inlineStr">
        <is>
          <t>2. ציוד ונתוני מאסטר</t>
        </is>
      </c>
      <c r="U137" s="7" t="inlineStr">
        <is>
          <t>A24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טרנזקציה</t>
        </is>
      </c>
      <c r="Q138" s="8" t="inlineStr">
        <is>
          <t>IQ08</t>
        </is>
      </c>
      <c r="R138" s="7" t="inlineStr">
        <is>
          <t>רשימת אובייקטים / מספרים סידוריים</t>
        </is>
      </c>
      <c r="S138" s="7" t="inlineStr">
        <is>
          <t>Object list / serial assignment</t>
        </is>
      </c>
      <c r="T138" s="7" t="inlineStr">
        <is>
          <t>2. ציוד ונתוני מאסטר</t>
        </is>
      </c>
      <c r="U138" s="7" t="inlineStr">
        <is>
          <t>A24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טרנזקציה</t>
        </is>
      </c>
      <c r="Q139" s="8" t="inlineStr">
        <is>
          <t>IQ09</t>
        </is>
      </c>
      <c r="R139" s="7" t="inlineStr">
        <is>
          <t>רשימת אובייקטים / מספרים סידוריים</t>
        </is>
      </c>
      <c r="S139" s="7" t="inlineStr">
        <is>
          <t>Object list / serial assignment</t>
        </is>
      </c>
      <c r="T139" s="7" t="inlineStr">
        <is>
          <t>2. ציוד ונתוני מאסטר</t>
        </is>
      </c>
      <c r="U139" s="7" t="inlineStr">
        <is>
          <t>A24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פונקציה</t>
        </is>
      </c>
      <c r="Q140" s="8" t="inlineStr">
        <is>
          <t>SERIAL_NUMBER_CREATE</t>
        </is>
      </c>
      <c r="R140" s="7" t="inlineStr">
        <is>
          <t>יצירת מספר סידורי</t>
        </is>
      </c>
      <c r="S140" s="7" t="inlineStr">
        <is>
          <t>Object list / serial assignment</t>
        </is>
      </c>
      <c r="T140" s="7" t="inlineStr">
        <is>
          <t>2. ציוד ונתוני מאסטר</t>
        </is>
      </c>
      <c r="U140" s="7" t="inlineStr">
        <is>
          <t>G24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פונקציה</t>
        </is>
      </c>
      <c r="Q141" s="8" t="inlineStr">
        <is>
          <t>SERNR_ADD_TO_DOCUMENT</t>
        </is>
      </c>
      <c r="R141" s="7" t="inlineStr">
        <is>
          <t>שיוך סריאל לתעודת מלאי</t>
        </is>
      </c>
      <c r="S141" s="7" t="inlineStr">
        <is>
          <t>Object list / serial assignment</t>
        </is>
      </c>
      <c r="T141" s="7" t="inlineStr">
        <is>
          <t>2. ציוד ונתוני מאסטר</t>
        </is>
      </c>
      <c r="U141" s="7" t="inlineStr">
        <is>
          <t>G24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פונקציה</t>
        </is>
      </c>
      <c r="Q142" s="8" t="inlineStr">
        <is>
          <t>BAPI_OBJCL_CREATE</t>
        </is>
      </c>
      <c r="R142" s="7" t="inlineStr">
        <is>
          <t>שיוך סיווג לאובייקט</t>
        </is>
      </c>
      <c r="S142" s="7" t="inlineStr">
        <is>
          <t>Object list / serial assignment</t>
        </is>
      </c>
      <c r="T142" s="7" t="inlineStr">
        <is>
          <t>2. ציוד ונתוני מאסטר</t>
        </is>
      </c>
      <c r="U142" s="7" t="inlineStr">
        <is>
          <t>G24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תוכנית</t>
        </is>
      </c>
      <c r="Q143" s="8" t="inlineStr">
        <is>
          <t>RISERNR0</t>
        </is>
      </c>
      <c r="R143" s="7" t="inlineStr">
        <is>
          <t>דוח סריאלים מול תנועות מלאי</t>
        </is>
      </c>
      <c r="S143" s="7" t="inlineStr">
        <is>
          <t>Object list / serial assignment</t>
        </is>
      </c>
      <c r="T143" s="7" t="inlineStr">
        <is>
          <t>2. ציוד ונתוני מאסטר</t>
        </is>
      </c>
      <c r="U143" s="7" t="inlineStr">
        <is>
          <t>I24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Fiori</t>
        </is>
      </c>
      <c r="Q144" s="8" t="inlineStr">
        <is>
          <t>Manage Technical Objects (F2079)</t>
        </is>
      </c>
      <c r="R144" s="7" t="inlineStr">
        <is>
          <t>רשימת אובייקטים / מספרים סידוריים</t>
        </is>
      </c>
      <c r="S144" s="7" t="inlineStr">
        <is>
          <t>Object list / serial assignment</t>
        </is>
      </c>
      <c r="T144" s="7" t="inlineStr">
        <is>
          <t>2. ציוד ונתוני מאסטר</t>
        </is>
      </c>
      <c r="U144" s="7" t="inlineStr">
        <is>
          <t>N24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User Exit</t>
        </is>
      </c>
      <c r="Q145" s="8" t="inlineStr">
        <is>
          <t>IEQM0001</t>
        </is>
      </c>
      <c r="R145" s="7" t="inlineStr">
        <is>
          <t>בדיקות והרחבת שדות בעת יצירת/שינוי ציוד</t>
        </is>
      </c>
      <c r="S145" s="7" t="inlineStr"/>
      <c r="T145" s="7" t="inlineStr">
        <is>
          <t>2. ציוד ונתוני מאסטר</t>
        </is>
      </c>
      <c r="U145" s="7" t="inlineStr">
        <is>
          <t>A33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User Exit</t>
        </is>
      </c>
      <c r="Q146" s="8" t="inlineStr">
        <is>
          <t>IEQM0003</t>
        </is>
      </c>
      <c r="R146" s="7" t="inlineStr">
        <is>
          <t>ברירות מחדל וקביעת ערכים אוטומטית לציוד</t>
        </is>
      </c>
      <c r="S146" s="7" t="inlineStr"/>
      <c r="T146" s="7" t="inlineStr">
        <is>
          <t>2. ציוד ונתוני מאסטר</t>
        </is>
      </c>
      <c r="U146" s="7" t="inlineStr">
        <is>
          <t>A34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User Exit</t>
        </is>
      </c>
      <c r="Q147" s="8" t="inlineStr">
        <is>
          <t>ISER0001</t>
        </is>
      </c>
      <c r="R147" s="7" t="inlineStr">
        <is>
          <t>הרחבת לוגיקת מספרים סידוריים (Serialization)</t>
        </is>
      </c>
      <c r="S147" s="7" t="inlineStr"/>
      <c r="T147" s="7" t="inlineStr">
        <is>
          <t>2. ציוד ונתוני מאסטר</t>
        </is>
      </c>
      <c r="U147" s="7" t="inlineStr">
        <is>
          <t>A35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BAdI</t>
        </is>
      </c>
      <c r="Q148" s="8" t="inlineStr">
        <is>
          <t>BADI_EAM_TECHNICAL_OBJECT</t>
        </is>
      </c>
      <c r="R148" s="7" t="inlineStr">
        <is>
          <t>הרחבת לוגיקת ציוד/אובייקט טכני ב-S/4HANA</t>
        </is>
      </c>
      <c r="S148" s="7" t="inlineStr"/>
      <c r="T148" s="7" t="inlineStr">
        <is>
          <t>2. ציוד ונתוני מאסטר</t>
        </is>
      </c>
      <c r="U148" s="7" t="inlineStr">
        <is>
          <t>A36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BAdI</t>
        </is>
      </c>
      <c r="Q149" s="8" t="inlineStr">
        <is>
          <t>EAM_SERNR_ADD_DATA</t>
        </is>
      </c>
      <c r="R149" s="7" t="inlineStr">
        <is>
          <t>הרחבת נתוני מספר סידורי (אמת שם מדויק ב-SE18)</t>
        </is>
      </c>
      <c r="S149" s="7" t="inlineStr"/>
      <c r="T149" s="7" t="inlineStr">
        <is>
          <t>2. ציוד ונתוני מאסטר</t>
        </is>
      </c>
      <c r="U149" s="7" t="inlineStr">
        <is>
          <t>A37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טבלה</t>
        </is>
      </c>
      <c r="Q150" s="8" t="inlineStr">
        <is>
          <t>STKO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A3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שדה</t>
        </is>
      </c>
      <c r="Q151" s="8" t="inlineStr">
        <is>
          <t>STLNR</t>
        </is>
      </c>
      <c r="R151" s="7" t="inlineStr">
        <is>
          <t>מספר עץ מוצר</t>
        </is>
      </c>
      <c r="S151" s="7" t="inlineStr">
        <is>
          <t>Bill of material number</t>
        </is>
      </c>
      <c r="T151" s="7" t="inlineStr">
        <is>
          <t>3. עצי מוצר של אחזקה (BOM)</t>
        </is>
      </c>
      <c r="U151" s="7" t="inlineStr">
        <is>
          <t>D4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STLTY</t>
        </is>
      </c>
      <c r="R152" s="7" t="inlineStr">
        <is>
          <t>קטגוריית BOM</t>
        </is>
      </c>
      <c r="S152" s="7" t="inlineStr">
        <is>
          <t>BOM category (E/T/M)</t>
        </is>
      </c>
      <c r="T152" s="7" t="inlineStr">
        <is>
          <t>3. עצי מוצר של אחזקה (BOM)</t>
        </is>
      </c>
      <c r="U152" s="7" t="inlineStr">
        <is>
          <t>D5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STLAL</t>
        </is>
      </c>
      <c r="R153" s="7" t="inlineStr">
        <is>
          <t>חלופת עץ מוצר</t>
        </is>
      </c>
      <c r="S153" s="7" t="inlineStr">
        <is>
          <t>Alternative BOM</t>
        </is>
      </c>
      <c r="T153" s="7" t="inlineStr">
        <is>
          <t>3. עצי מוצר של אחזקה (BOM)</t>
        </is>
      </c>
      <c r="U153" s="7" t="inlineStr">
        <is>
          <t>D6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BMENG</t>
        </is>
      </c>
      <c r="R154" s="7" t="inlineStr">
        <is>
          <t>כמות בסיס</t>
        </is>
      </c>
      <c r="S154" s="7" t="inlineStr">
        <is>
          <t>Base quantity</t>
        </is>
      </c>
      <c r="T154" s="7" t="inlineStr">
        <is>
          <t>3. עצי מוצר של אחזקה (BOM)</t>
        </is>
      </c>
      <c r="U154" s="7" t="inlineStr">
        <is>
          <t>D7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STLST</t>
        </is>
      </c>
      <c r="R155" s="7" t="inlineStr">
        <is>
          <t>סטטוס עץ מוצר</t>
        </is>
      </c>
      <c r="S155" s="7" t="inlineStr">
        <is>
          <t>BOM status</t>
        </is>
      </c>
      <c r="T155" s="7" t="inlineStr">
        <is>
          <t>3. עצי מוצר של אחזקה (BOM)</t>
        </is>
      </c>
      <c r="U155" s="7" t="inlineStr">
        <is>
          <t>D8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טרנזקציה</t>
        </is>
      </c>
      <c r="Q156" s="8" t="inlineStr">
        <is>
          <t>IB01</t>
        </is>
      </c>
      <c r="R156" s="7" t="inlineStr">
        <is>
          <t>כותרת עץ מוצר</t>
        </is>
      </c>
      <c r="S156" s="7" t="inlineStr">
        <is>
          <t>BOM header</t>
        </is>
      </c>
      <c r="T156" s="7" t="inlineStr">
        <is>
          <t>3. עצי מוצר של אחזקה (BOM)</t>
        </is>
      </c>
      <c r="U156" s="7" t="inlineStr">
        <is>
          <t>A4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CS01</t>
        </is>
      </c>
      <c r="R157" s="7" t="inlineStr">
        <is>
          <t>כותרת עץ מוצר</t>
        </is>
      </c>
      <c r="S157" s="7" t="inlineStr">
        <is>
          <t>BOM header</t>
        </is>
      </c>
      <c r="T157" s="7" t="inlineStr">
        <is>
          <t>3. עצי מוצר של אחזקה (BOM)</t>
        </is>
      </c>
      <c r="U157" s="7" t="inlineStr">
        <is>
          <t>A4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כותרת עץ מוצר</t>
        </is>
      </c>
      <c r="S158" s="7" t="inlineStr">
        <is>
          <t>BOM header</t>
        </is>
      </c>
      <c r="T158" s="7" t="inlineStr">
        <is>
          <t>3. עצי מוצר של אחזקה (BOM)</t>
        </is>
      </c>
      <c r="U158" s="7" t="inlineStr">
        <is>
          <t>A4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CS03</t>
        </is>
      </c>
      <c r="R159" s="7" t="inlineStr">
        <is>
          <t>כותרת עץ מוצר</t>
        </is>
      </c>
      <c r="S159" s="7" t="inlineStr">
        <is>
          <t>BOM header</t>
        </is>
      </c>
      <c r="T159" s="7" t="inlineStr">
        <is>
          <t>3. עצי מוצר של אחזקה (BOM)</t>
        </is>
      </c>
      <c r="U159" s="7" t="inlineStr">
        <is>
          <t>A4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פונקציה</t>
        </is>
      </c>
      <c r="Q160" s="8" t="inlineStr">
        <is>
          <t>CSAP_MAT_BOM_CREATE</t>
        </is>
      </c>
      <c r="R160" s="7" t="inlineStr">
        <is>
          <t>יצירת עץ מוצר</t>
        </is>
      </c>
      <c r="S160" s="7" t="inlineStr">
        <is>
          <t>BOM header</t>
        </is>
      </c>
      <c r="T160" s="7" t="inlineStr">
        <is>
          <t>3. עצי מוצר של אחזקה (BOM)</t>
        </is>
      </c>
      <c r="U160" s="7" t="inlineStr">
        <is>
          <t>G4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CSAP_MAT_BOM_MAINTAIN</t>
        </is>
      </c>
      <c r="R161" s="7" t="inlineStr">
        <is>
          <t>תחזוקת עץ מוצר</t>
        </is>
      </c>
      <c r="S161" s="7" t="inlineStr">
        <is>
          <t>BOM header</t>
        </is>
      </c>
      <c r="T161" s="7" t="inlineStr">
        <is>
          <t>3. עצי מוצר של אחזקה (BOM)</t>
        </is>
      </c>
      <c r="U161" s="7" t="inlineStr">
        <is>
          <t>G4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CS_BT_BOM_HEADER_READ</t>
        </is>
      </c>
      <c r="R162" s="7" t="inlineStr">
        <is>
          <t>קריאת כותרת עץ מוצר</t>
        </is>
      </c>
      <c r="S162" s="7" t="inlineStr">
        <is>
          <t>BOM header</t>
        </is>
      </c>
      <c r="T162" s="7" t="inlineStr">
        <is>
          <t>3. עצי מוצר של אחזקה (BOM)</t>
        </is>
      </c>
      <c r="U162" s="7" t="inlineStr">
        <is>
          <t>G4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עץ מוצר רב-רמתי</t>
        </is>
      </c>
      <c r="S163" s="7" t="inlineStr">
        <is>
          <t>BOM header</t>
        </is>
      </c>
      <c r="T163" s="7" t="inlineStr">
        <is>
          <t>3. עצי מוצר של אחזקה (BOM)</t>
        </is>
      </c>
      <c r="U163" s="7" t="inlineStr">
        <is>
          <t>I4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Fiori</t>
        </is>
      </c>
      <c r="Q164" s="8" t="inlineStr">
        <is>
          <t>Manage Bills of Material (אמת ID)</t>
        </is>
      </c>
      <c r="R164" s="7" t="inlineStr">
        <is>
          <t>כותרת עץ מוצר</t>
        </is>
      </c>
      <c r="S164" s="7" t="inlineStr">
        <is>
          <t>BOM header</t>
        </is>
      </c>
      <c r="T164" s="7" t="inlineStr">
        <is>
          <t>3. עצי מוצר של אחזקה (BOM)</t>
        </is>
      </c>
      <c r="U164" s="7" t="inlineStr">
        <is>
          <t>N4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טבלה</t>
        </is>
      </c>
      <c r="Q165" s="8" t="inlineStr">
        <is>
          <t>STPO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A10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שדה</t>
        </is>
      </c>
      <c r="Q166" s="8" t="inlineStr">
        <is>
          <t>STLNR</t>
        </is>
      </c>
      <c r="R166" s="7" t="inlineStr">
        <is>
          <t>מספר עץ מוצר</t>
        </is>
      </c>
      <c r="S166" s="7" t="inlineStr">
        <is>
          <t>BOM number</t>
        </is>
      </c>
      <c r="T166" s="7" t="inlineStr">
        <is>
          <t>3. עצי מוצר של אחזקה (BOM)</t>
        </is>
      </c>
      <c r="U166" s="7" t="inlineStr">
        <is>
          <t>D11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POSNR</t>
        </is>
      </c>
      <c r="R167" s="7" t="inlineStr">
        <is>
          <t>מספר פריט</t>
        </is>
      </c>
      <c r="S167" s="7" t="inlineStr">
        <is>
          <t>BOM item number</t>
        </is>
      </c>
      <c r="T167" s="7" t="inlineStr">
        <is>
          <t>3. עצי מוצר של אחזקה (BOM)</t>
        </is>
      </c>
      <c r="U167" s="7" t="inlineStr">
        <is>
          <t>D12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IDNRK</t>
        </is>
      </c>
      <c r="R168" s="7" t="inlineStr">
        <is>
          <t>רכיב / חומר</t>
        </is>
      </c>
      <c r="S168" s="7" t="inlineStr">
        <is>
          <t>Component (BOM item material)</t>
        </is>
      </c>
      <c r="T168" s="7" t="inlineStr">
        <is>
          <t>3. עצי מוצר של אחזקה (BOM)</t>
        </is>
      </c>
      <c r="U168" s="7" t="inlineStr">
        <is>
          <t>D13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MENGE</t>
        </is>
      </c>
      <c r="R169" s="7" t="inlineStr">
        <is>
          <t>כמות רכיב</t>
        </is>
      </c>
      <c r="S169" s="7" t="inlineStr">
        <is>
          <t>Component quantity</t>
        </is>
      </c>
      <c r="T169" s="7" t="inlineStr">
        <is>
          <t>3. עצי מוצר של אחזקה (BOM)</t>
        </is>
      </c>
      <c r="U169" s="7" t="inlineStr">
        <is>
          <t>D14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POSTP</t>
        </is>
      </c>
      <c r="R170" s="7" t="inlineStr">
        <is>
          <t>סוג פריט</t>
        </is>
      </c>
      <c r="S170" s="7" t="inlineStr">
        <is>
          <t>Item category</t>
        </is>
      </c>
      <c r="T170" s="7" t="inlineStr">
        <is>
          <t>3. עצי מוצר של אחזקה (BOM)</t>
        </is>
      </c>
      <c r="U170" s="7" t="inlineStr">
        <is>
          <t>D15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טרנזקציה</t>
        </is>
      </c>
      <c r="Q171" s="8" t="inlineStr">
        <is>
          <t>IB02</t>
        </is>
      </c>
      <c r="R171" s="7" t="inlineStr">
        <is>
          <t>פריטי עץ מוצר (רכיבים)</t>
        </is>
      </c>
      <c r="S171" s="7" t="inlineStr">
        <is>
          <t>BOM item (components)</t>
        </is>
      </c>
      <c r="T171" s="7" t="inlineStr">
        <is>
          <t>3. עצי מוצר של אחזקה (BOM)</t>
        </is>
      </c>
      <c r="U171" s="7" t="inlineStr">
        <is>
          <t>A11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CS02</t>
        </is>
      </c>
      <c r="R172" s="7" t="inlineStr">
        <is>
          <t>פריטי עץ מוצר (רכיבים)</t>
        </is>
      </c>
      <c r="S172" s="7" t="inlineStr">
        <is>
          <t>BOM item (components)</t>
        </is>
      </c>
      <c r="T172" s="7" t="inlineStr">
        <is>
          <t>3. עצי מוצר של אחזקה (BOM)</t>
        </is>
      </c>
      <c r="U172" s="7" t="inlineStr">
        <is>
          <t>A11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CS11</t>
        </is>
      </c>
      <c r="R173" s="7" t="inlineStr">
        <is>
          <t>פריטי עץ מוצר (רכיבים)</t>
        </is>
      </c>
      <c r="S173" s="7" t="inlineStr">
        <is>
          <t>BOM item (components)</t>
        </is>
      </c>
      <c r="T173" s="7" t="inlineStr">
        <is>
          <t>3. עצי מוצר של אחזקה (BOM)</t>
        </is>
      </c>
      <c r="U173" s="7" t="inlineStr">
        <is>
          <t>A11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CS15</t>
        </is>
      </c>
      <c r="R174" s="7" t="inlineStr">
        <is>
          <t>פריטי עץ מוצר (רכיבים)</t>
        </is>
      </c>
      <c r="S174" s="7" t="inlineStr">
        <is>
          <t>BOM item (components)</t>
        </is>
      </c>
      <c r="T174" s="7" t="inlineStr">
        <is>
          <t>3. עצי מוצר של אחזקה (BOM)</t>
        </is>
      </c>
      <c r="U174" s="7" t="inlineStr">
        <is>
          <t>A11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CSAP_BOM_ITEM_MAINTAIN</t>
        </is>
      </c>
      <c r="R175" s="7" t="inlineStr">
        <is>
          <t>תחזוקת פריטי עץ מוצר</t>
        </is>
      </c>
      <c r="S175" s="7" t="inlineStr">
        <is>
          <t>BOM item (components)</t>
        </is>
      </c>
      <c r="T175" s="7" t="inlineStr">
        <is>
          <t>3. עצי מוצר של אחזקה (BOM)</t>
        </is>
      </c>
      <c r="U175" s="7" t="inlineStr">
        <is>
          <t>G11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פונקציה</t>
        </is>
      </c>
      <c r="Q176" s="8" t="inlineStr">
        <is>
          <t>CS_BOM_EXPL_MAT_RC1</t>
        </is>
      </c>
      <c r="R176" s="7" t="inlineStr">
        <is>
          <t>פיצוץ עץ מוצר לחומר</t>
        </is>
      </c>
      <c r="S176" s="7" t="inlineStr">
        <is>
          <t>BOM item (components)</t>
        </is>
      </c>
      <c r="T176" s="7" t="inlineStr">
        <is>
          <t>3. עצי מוצר של אחזקה (BOM)</t>
        </is>
      </c>
      <c r="U176" s="7" t="inlineStr">
        <is>
          <t>G11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תוכנית</t>
        </is>
      </c>
      <c r="Q177" s="8" t="inlineStr">
        <is>
          <t>RCSBI010</t>
        </is>
      </c>
      <c r="R177" s="7" t="inlineStr">
        <is>
          <t>פיצוץ רב-רמתי</t>
        </is>
      </c>
      <c r="S177" s="7" t="inlineStr">
        <is>
          <t>BOM item (components)</t>
        </is>
      </c>
      <c r="T177" s="7" t="inlineStr">
        <is>
          <t>3. עצי מוצר של אחזקה (BOM)</t>
        </is>
      </c>
      <c r="U177" s="7" t="inlineStr">
        <is>
          <t>I11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תוכנית</t>
        </is>
      </c>
      <c r="Q178" s="8" t="inlineStr">
        <is>
          <t>CS_BT</t>
        </is>
      </c>
      <c r="R178" s="7" t="inlineStr">
        <is>
          <t>דוח Where-Used לרכיב</t>
        </is>
      </c>
      <c r="S178" s="7" t="inlineStr">
        <is>
          <t>BOM item (components)</t>
        </is>
      </c>
      <c r="T178" s="7" t="inlineStr">
        <is>
          <t>3. עצי מוצר של אחזקה (BOM)</t>
        </is>
      </c>
      <c r="U178" s="7" t="inlineStr">
        <is>
          <t>I11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Fiori</t>
        </is>
      </c>
      <c r="Q179" s="8" t="inlineStr">
        <is>
          <t>Manage Bills of Material (אמת ID)</t>
        </is>
      </c>
      <c r="R179" s="7" t="inlineStr">
        <is>
          <t>פריטי עץ מוצר (רכיבים)</t>
        </is>
      </c>
      <c r="S179" s="7" t="inlineStr">
        <is>
          <t>BOM item (components)</t>
        </is>
      </c>
      <c r="T179" s="7" t="inlineStr">
        <is>
          <t>3. עצי מוצר של אחזקה (BOM)</t>
        </is>
      </c>
      <c r="U179" s="7" t="inlineStr">
        <is>
          <t>N11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טבלה</t>
        </is>
      </c>
      <c r="Q180" s="8" t="inlineStr">
        <is>
          <t>MAST</t>
        </is>
      </c>
      <c r="R180" s="7" t="inlineStr">
        <is>
          <t>קישור חומר לעץ מוצר</t>
        </is>
      </c>
      <c r="S180" s="7" t="inlineStr">
        <is>
          <t>Material-to-BOM link</t>
        </is>
      </c>
      <c r="T180" s="7" t="inlineStr">
        <is>
          <t>3. עצי מוצר של אחזקה (BOM)</t>
        </is>
      </c>
      <c r="U180" s="7" t="inlineStr">
        <is>
          <t>A17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MATNR</t>
        </is>
      </c>
      <c r="R181" s="7" t="inlineStr">
        <is>
          <t>חומר</t>
        </is>
      </c>
      <c r="S181" s="7" t="inlineStr">
        <is>
          <t>Material number</t>
        </is>
      </c>
      <c r="T181" s="7" t="inlineStr">
        <is>
          <t>3. עצי מוצר של אחזקה (BOM)</t>
        </is>
      </c>
      <c r="U181" s="7" t="inlineStr">
        <is>
          <t>D18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WERKS</t>
        </is>
      </c>
      <c r="R182" s="7" t="inlineStr">
        <is>
          <t>מפעל</t>
        </is>
      </c>
      <c r="S182" s="7" t="inlineStr">
        <is>
          <t>Plant</t>
        </is>
      </c>
      <c r="T182" s="7" t="inlineStr">
        <is>
          <t>3. עצי מוצר של אחזקה (BOM)</t>
        </is>
      </c>
      <c r="U182" s="7" t="inlineStr">
        <is>
          <t>D19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שדה</t>
        </is>
      </c>
      <c r="Q183" s="8" t="inlineStr">
        <is>
          <t>STLAN</t>
        </is>
      </c>
      <c r="R183" s="7" t="inlineStr">
        <is>
          <t>שימוש עץ מוצר</t>
        </is>
      </c>
      <c r="S183" s="7" t="inlineStr">
        <is>
          <t>BOM usage (4=maintenance)</t>
        </is>
      </c>
      <c r="T183" s="7" t="inlineStr">
        <is>
          <t>3. עצי מוצר של אחזקה (BOM)</t>
        </is>
      </c>
      <c r="U183" s="7" t="inlineStr">
        <is>
          <t>D20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שדה</t>
        </is>
      </c>
      <c r="Q184" s="8" t="inlineStr">
        <is>
          <t>STLNR</t>
        </is>
      </c>
      <c r="R184" s="7" t="inlineStr">
        <is>
          <t>מספר עץ מוצר</t>
        </is>
      </c>
      <c r="S184" s="7" t="inlineStr">
        <is>
          <t>BOM number</t>
        </is>
      </c>
      <c r="T184" s="7" t="inlineStr">
        <is>
          <t>3. עצי מוצר של אחזקה (BOM)</t>
        </is>
      </c>
      <c r="U184" s="7" t="inlineStr">
        <is>
          <t>D21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שדה</t>
        </is>
      </c>
      <c r="Q185" s="8" t="inlineStr">
        <is>
          <t>STLAL</t>
        </is>
      </c>
      <c r="R185" s="7" t="inlineStr">
        <is>
          <t>חלופה</t>
        </is>
      </c>
      <c r="S185" s="7" t="inlineStr">
        <is>
          <t>Alternative BOM</t>
        </is>
      </c>
      <c r="T185" s="7" t="inlineStr">
        <is>
          <t>3. עצי מוצר של אחזקה (BOM)</t>
        </is>
      </c>
      <c r="U185" s="7" t="inlineStr">
        <is>
          <t>D22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טרנזקציה</t>
        </is>
      </c>
      <c r="Q186" s="8" t="inlineStr">
        <is>
          <t>CS01</t>
        </is>
      </c>
      <c r="R186" s="7" t="inlineStr">
        <is>
          <t>קישור חומר לעץ מוצר</t>
        </is>
      </c>
      <c r="S186" s="7" t="inlineStr">
        <is>
          <t>Material-to-BOM link</t>
        </is>
      </c>
      <c r="T186" s="7" t="inlineStr">
        <is>
          <t>3. עצי מוצר של אחזקה (BOM)</t>
        </is>
      </c>
      <c r="U186" s="7" t="inlineStr">
        <is>
          <t>A18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טרנזקציה</t>
        </is>
      </c>
      <c r="Q187" s="8" t="inlineStr">
        <is>
          <t>CS02</t>
        </is>
      </c>
      <c r="R187" s="7" t="inlineStr">
        <is>
          <t>קישור חומר לעץ מוצר</t>
        </is>
      </c>
      <c r="S187" s="7" t="inlineStr">
        <is>
          <t>Material-to-BOM link</t>
        </is>
      </c>
      <c r="T187" s="7" t="inlineStr">
        <is>
          <t>3. עצי מוצר של אחזקה (BOM)</t>
        </is>
      </c>
      <c r="U187" s="7" t="inlineStr">
        <is>
          <t>A18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טרנזקציה</t>
        </is>
      </c>
      <c r="Q188" s="8" t="inlineStr">
        <is>
          <t>CS03</t>
        </is>
      </c>
      <c r="R188" s="7" t="inlineStr">
        <is>
          <t>קישור חומר לעץ מוצר</t>
        </is>
      </c>
      <c r="S188" s="7" t="inlineStr">
        <is>
          <t>Material-to-BOM link</t>
        </is>
      </c>
      <c r="T188" s="7" t="inlineStr">
        <is>
          <t>3. עצי מוצר של אחזקה (BOM)</t>
        </is>
      </c>
      <c r="U188" s="7" t="inlineStr">
        <is>
          <t>A18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פונקציה</t>
        </is>
      </c>
      <c r="Q189" s="8" t="inlineStr">
        <is>
          <t>CSAP_MAT_BOM_READ</t>
        </is>
      </c>
      <c r="R189" s="7" t="inlineStr">
        <is>
          <t>קריאת קישור חומר-BOM</t>
        </is>
      </c>
      <c r="S189" s="7" t="inlineStr">
        <is>
          <t>Material-to-BOM link</t>
        </is>
      </c>
      <c r="T189" s="7" t="inlineStr">
        <is>
          <t>3. עצי מוצר של אחזקה (BOM)</t>
        </is>
      </c>
      <c r="U189" s="7" t="inlineStr">
        <is>
          <t>G18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תוכנית</t>
        </is>
      </c>
      <c r="Q190" s="8" t="inlineStr">
        <is>
          <t>RCSBI010</t>
        </is>
      </c>
      <c r="R190" s="7" t="inlineStr">
        <is>
          <t>פיצוץ עץ מוצר לחומר</t>
        </is>
      </c>
      <c r="S190" s="7" t="inlineStr">
        <is>
          <t>Material-to-BOM link</t>
        </is>
      </c>
      <c r="T190" s="7" t="inlineStr">
        <is>
          <t>3. עצי מוצר של אחזקה (BOM)</t>
        </is>
      </c>
      <c r="U190" s="7" t="inlineStr">
        <is>
          <t>I18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Fiori</t>
        </is>
      </c>
      <c r="Q191" s="8" t="inlineStr">
        <is>
          <t>Manage Bills of Material (אמת ID)</t>
        </is>
      </c>
      <c r="R191" s="7" t="inlineStr">
        <is>
          <t>קישור חומר לעץ מוצר</t>
        </is>
      </c>
      <c r="S191" s="7" t="inlineStr">
        <is>
          <t>Material-to-BOM link</t>
        </is>
      </c>
      <c r="T191" s="7" t="inlineStr">
        <is>
          <t>3. עצי מוצר של אחזקה (BOM)</t>
        </is>
      </c>
      <c r="U191" s="7" t="inlineStr">
        <is>
          <t>N18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טבלה</t>
        </is>
      </c>
      <c r="Q192" s="8" t="inlineStr">
        <is>
          <t>EQST</t>
        </is>
      </c>
      <c r="R192" s="7" t="inlineStr">
        <is>
          <t>קישור ציוד לעץ מוצר</t>
        </is>
      </c>
      <c r="S192" s="7" t="inlineStr">
        <is>
          <t>Equipment-to-BOM link</t>
        </is>
      </c>
      <c r="T192" s="7" t="inlineStr">
        <is>
          <t>3. עצי מוצר של אחזקה (BOM)</t>
        </is>
      </c>
      <c r="U192" s="7" t="inlineStr">
        <is>
          <t>A24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EQUNR</t>
        </is>
      </c>
      <c r="R193" s="7" t="inlineStr">
        <is>
          <t>מספר ציוד</t>
        </is>
      </c>
      <c r="S193" s="7" t="inlineStr">
        <is>
          <t>Equipment number</t>
        </is>
      </c>
      <c r="T193" s="7" t="inlineStr">
        <is>
          <t>3. עצי מוצר של אחזקה (BOM)</t>
        </is>
      </c>
      <c r="U193" s="7" t="inlineStr">
        <is>
          <t>D25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שדה</t>
        </is>
      </c>
      <c r="Q194" s="8" t="inlineStr">
        <is>
          <t>STLNR</t>
        </is>
      </c>
      <c r="R194" s="7" t="inlineStr">
        <is>
          <t>מספר עץ מוצר</t>
        </is>
      </c>
      <c r="S194" s="7" t="inlineStr">
        <is>
          <t>BOM number</t>
        </is>
      </c>
      <c r="T194" s="7" t="inlineStr">
        <is>
          <t>3. עצי מוצר של אחזקה (BOM)</t>
        </is>
      </c>
      <c r="U194" s="7" t="inlineStr">
        <is>
          <t>D26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שדה</t>
        </is>
      </c>
      <c r="Q195" s="8" t="inlineStr">
        <is>
          <t>STLAL</t>
        </is>
      </c>
      <c r="R195" s="7" t="inlineStr">
        <is>
          <t>חלופה</t>
        </is>
      </c>
      <c r="S195" s="7" t="inlineStr">
        <is>
          <t>Alternative BOM</t>
        </is>
      </c>
      <c r="T195" s="7" t="inlineStr">
        <is>
          <t>3. עצי מוצר של אחזקה (BOM)</t>
        </is>
      </c>
      <c r="U195" s="7" t="inlineStr">
        <is>
          <t>D27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שדה</t>
        </is>
      </c>
      <c r="Q196" s="8" t="inlineStr">
        <is>
          <t>STLAN</t>
        </is>
      </c>
      <c r="R196" s="7" t="inlineStr">
        <is>
          <t>שימוש עץ מוצר</t>
        </is>
      </c>
      <c r="S196" s="7" t="inlineStr">
        <is>
          <t>BOM usage</t>
        </is>
      </c>
      <c r="T196" s="7" t="inlineStr">
        <is>
          <t>3. עצי מוצר של אחזקה (BOM)</t>
        </is>
      </c>
      <c r="U196" s="7" t="inlineStr">
        <is>
          <t>D28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טרנזקציה</t>
        </is>
      </c>
      <c r="Q197" s="8" t="inlineStr">
        <is>
          <t>IB01</t>
        </is>
      </c>
      <c r="R197" s="7" t="inlineStr">
        <is>
          <t>קישור ציוד לעץ מוצר</t>
        </is>
      </c>
      <c r="S197" s="7" t="inlineStr">
        <is>
          <t>Equipment-to-BOM link</t>
        </is>
      </c>
      <c r="T197" s="7" t="inlineStr">
        <is>
          <t>3. עצי מוצר של אחזקה (BOM)</t>
        </is>
      </c>
      <c r="U197" s="7" t="inlineStr">
        <is>
          <t>A25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טרנזקציה</t>
        </is>
      </c>
      <c r="Q198" s="8" t="inlineStr">
        <is>
          <t>IB02</t>
        </is>
      </c>
      <c r="R198" s="7" t="inlineStr">
        <is>
          <t>קישור ציוד לעץ מוצר</t>
        </is>
      </c>
      <c r="S198" s="7" t="inlineStr">
        <is>
          <t>Equipment-to-BOM link</t>
        </is>
      </c>
      <c r="T198" s="7" t="inlineStr">
        <is>
          <t>3. עצי מוצר של אחזקה (BOM)</t>
        </is>
      </c>
      <c r="U198" s="7" t="inlineStr">
        <is>
          <t>A25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טרנזקציה</t>
        </is>
      </c>
      <c r="Q199" s="8" t="inlineStr">
        <is>
          <t>IB03</t>
        </is>
      </c>
      <c r="R199" s="7" t="inlineStr">
        <is>
          <t>קישור ציוד לעץ מוצר</t>
        </is>
      </c>
      <c r="S199" s="7" t="inlineStr">
        <is>
          <t>Equipment-to-BOM link</t>
        </is>
      </c>
      <c r="T199" s="7" t="inlineStr">
        <is>
          <t>3. עצי מוצר של אחזקה (BOM)</t>
        </is>
      </c>
      <c r="U199" s="7" t="inlineStr">
        <is>
          <t>A25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פונקציה</t>
        </is>
      </c>
      <c r="Q200" s="8" t="inlineStr">
        <is>
          <t>CS_BOM_EXPL_EQU_RC1</t>
        </is>
      </c>
      <c r="R200" s="7" t="inlineStr">
        <is>
          <t>פיצוץ עץ מוצר של ציוד</t>
        </is>
      </c>
      <c r="S200" s="7" t="inlineStr">
        <is>
          <t>Equipment-to-BOM link</t>
        </is>
      </c>
      <c r="T200" s="7" t="inlineStr">
        <is>
          <t>3. עצי מוצר של אחזקה (BOM)</t>
        </is>
      </c>
      <c r="U200" s="7" t="inlineStr">
        <is>
          <t>G25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תוכנית</t>
        </is>
      </c>
      <c r="Q201" s="8" t="inlineStr">
        <is>
          <t>RCSBI010</t>
        </is>
      </c>
      <c r="R201" s="7" t="inlineStr">
        <is>
          <t>פיצוץ עץ מוצר של ציוד</t>
        </is>
      </c>
      <c r="S201" s="7" t="inlineStr">
        <is>
          <t>Equipment-to-BOM link</t>
        </is>
      </c>
      <c r="T201" s="7" t="inlineStr">
        <is>
          <t>3. עצי מוצר של אחזקה (BOM)</t>
        </is>
      </c>
      <c r="U201" s="7" t="inlineStr">
        <is>
          <t>I25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Fiori</t>
        </is>
      </c>
      <c r="Q202" s="8" t="inlineStr">
        <is>
          <t>Manage Bills of Material (אמת ID)</t>
        </is>
      </c>
      <c r="R202" s="7" t="inlineStr">
        <is>
          <t>קישור ציוד לעץ מוצר</t>
        </is>
      </c>
      <c r="S202" s="7" t="inlineStr">
        <is>
          <t>Equipment-to-BOM link</t>
        </is>
      </c>
      <c r="T202" s="7" t="inlineStr">
        <is>
          <t>3. עצי מוצר של אחזקה (BOM)</t>
        </is>
      </c>
      <c r="U202" s="7" t="inlineStr">
        <is>
          <t>N25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טבלה</t>
        </is>
      </c>
      <c r="Q203" s="8" t="inlineStr">
        <is>
          <t>TPST</t>
        </is>
      </c>
      <c r="R203" s="7" t="inlineStr">
        <is>
          <t>קישור מיקום פונקציונלי לעץ מוצר</t>
        </is>
      </c>
      <c r="S203" s="7" t="inlineStr">
        <is>
          <t>Functional location-to-BOM link</t>
        </is>
      </c>
      <c r="T203" s="7" t="inlineStr">
        <is>
          <t>3. עצי מוצר של אחזקה (BOM)</t>
        </is>
      </c>
      <c r="U203" s="7" t="inlineStr">
        <is>
          <t>A30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שדה</t>
        </is>
      </c>
      <c r="Q204" s="8" t="inlineStr">
        <is>
          <t>TPLNR</t>
        </is>
      </c>
      <c r="R204" s="7" t="inlineStr">
        <is>
          <t>מיקום פונקציונלי</t>
        </is>
      </c>
      <c r="S204" s="7" t="inlineStr">
        <is>
          <t>Functional location</t>
        </is>
      </c>
      <c r="T204" s="7" t="inlineStr">
        <is>
          <t>3. עצי מוצר של אחזקה (BOM)</t>
        </is>
      </c>
      <c r="U204" s="7" t="inlineStr">
        <is>
          <t>D31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STLNR</t>
        </is>
      </c>
      <c r="R205" s="7" t="inlineStr">
        <is>
          <t>מספר עץ מוצר</t>
        </is>
      </c>
      <c r="S205" s="7" t="inlineStr">
        <is>
          <t>BOM number</t>
        </is>
      </c>
      <c r="T205" s="7" t="inlineStr">
        <is>
          <t>3. עצי מוצר של אחזקה (BOM)</t>
        </is>
      </c>
      <c r="U205" s="7" t="inlineStr">
        <is>
          <t>D32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STLAL</t>
        </is>
      </c>
      <c r="R206" s="7" t="inlineStr">
        <is>
          <t>חלופה</t>
        </is>
      </c>
      <c r="S206" s="7" t="inlineStr">
        <is>
          <t>Alternative BOM</t>
        </is>
      </c>
      <c r="T206" s="7" t="inlineStr">
        <is>
          <t>3. עצי מוצר של אחזקה (BOM)</t>
        </is>
      </c>
      <c r="U206" s="7" t="inlineStr">
        <is>
          <t>D33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STLAN</t>
        </is>
      </c>
      <c r="R207" s="7" t="inlineStr">
        <is>
          <t>שימוש עץ מוצר</t>
        </is>
      </c>
      <c r="S207" s="7" t="inlineStr">
        <is>
          <t>BOM usage</t>
        </is>
      </c>
      <c r="T207" s="7" t="inlineStr">
        <is>
          <t>3. עצי מוצר של אחזקה (BOM)</t>
        </is>
      </c>
      <c r="U207" s="7" t="inlineStr">
        <is>
          <t>D34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טרנזקציה</t>
        </is>
      </c>
      <c r="Q208" s="8" t="inlineStr">
        <is>
          <t>IB11</t>
        </is>
      </c>
      <c r="R208" s="7" t="inlineStr">
        <is>
          <t>קישור מיקום פונקציונלי לעץ מוצר</t>
        </is>
      </c>
      <c r="S208" s="7" t="inlineStr">
        <is>
          <t>Functional location-to-BOM link</t>
        </is>
      </c>
      <c r="T208" s="7" t="inlineStr">
        <is>
          <t>3. עצי מוצר של אחזקה (BOM)</t>
        </is>
      </c>
      <c r="U208" s="7" t="inlineStr">
        <is>
          <t>A31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טרנזקציה</t>
        </is>
      </c>
      <c r="Q209" s="8" t="inlineStr">
        <is>
          <t>IB12</t>
        </is>
      </c>
      <c r="R209" s="7" t="inlineStr">
        <is>
          <t>קישור מיקום פונקציונלי לעץ מוצר</t>
        </is>
      </c>
      <c r="S209" s="7" t="inlineStr">
        <is>
          <t>Functional location-to-BOM link</t>
        </is>
      </c>
      <c r="T209" s="7" t="inlineStr">
        <is>
          <t>3. עצי מוצר של אחזקה (BOM)</t>
        </is>
      </c>
      <c r="U209" s="7" t="inlineStr">
        <is>
          <t>A31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טרנזקציה</t>
        </is>
      </c>
      <c r="Q210" s="8" t="inlineStr">
        <is>
          <t>IB13</t>
        </is>
      </c>
      <c r="R210" s="7" t="inlineStr">
        <is>
          <t>קישור מיקום פונקציונלי לעץ מוצר</t>
        </is>
      </c>
      <c r="S210" s="7" t="inlineStr">
        <is>
          <t>Functional location-to-BOM link</t>
        </is>
      </c>
      <c r="T210" s="7" t="inlineStr">
        <is>
          <t>3. עצי מוצר של אחזקה (BOM)</t>
        </is>
      </c>
      <c r="U210" s="7" t="inlineStr">
        <is>
          <t>A31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פונקציה</t>
        </is>
      </c>
      <c r="Q211" s="8" t="inlineStr">
        <is>
          <t>CS_BOM_EXPL_FLO_RC1</t>
        </is>
      </c>
      <c r="R211" s="7" t="inlineStr">
        <is>
          <t>פיצוץ עץ מוצר של מיקום</t>
        </is>
      </c>
      <c r="S211" s="7" t="inlineStr">
        <is>
          <t>Functional location-to-BOM link</t>
        </is>
      </c>
      <c r="T211" s="7" t="inlineStr">
        <is>
          <t>3. עצי מוצר של אחזקה (BOM)</t>
        </is>
      </c>
      <c r="U211" s="7" t="inlineStr">
        <is>
          <t>G31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תוכנית</t>
        </is>
      </c>
      <c r="Q212" s="8" t="inlineStr">
        <is>
          <t>RCSBI020</t>
        </is>
      </c>
      <c r="R212" s="7" t="inlineStr">
        <is>
          <t>פיצוץ עצי מוצר של מיקומים</t>
        </is>
      </c>
      <c r="S212" s="7" t="inlineStr">
        <is>
          <t>Functional location-to-BOM link</t>
        </is>
      </c>
      <c r="T212" s="7" t="inlineStr">
        <is>
          <t>3. עצי מוצר של אחזקה (BOM)</t>
        </is>
      </c>
      <c r="U212" s="7" t="inlineStr">
        <is>
          <t>I31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Fiori</t>
        </is>
      </c>
      <c r="Q213" s="8" t="inlineStr">
        <is>
          <t>Manage Bills of Material (אמת ID)</t>
        </is>
      </c>
      <c r="R213" s="7" t="inlineStr">
        <is>
          <t>קישור מיקום פונקציונלי לעץ מוצר</t>
        </is>
      </c>
      <c r="S213" s="7" t="inlineStr">
        <is>
          <t>Functional location-to-BOM link</t>
        </is>
      </c>
      <c r="T213" s="7" t="inlineStr">
        <is>
          <t>3. עצי מוצר של אחזקה (BOM)</t>
        </is>
      </c>
      <c r="U213" s="7" t="inlineStr">
        <is>
          <t>N31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User Exit</t>
        </is>
      </c>
      <c r="Q214" s="8" t="inlineStr">
        <is>
          <t>PCSD0001</t>
        </is>
      </c>
      <c r="R214" s="7" t="inlineStr">
        <is>
          <t>הרחבת לקוח לעצי מוצר (BOM) - בדיקות פריטים</t>
        </is>
      </c>
      <c r="S214" s="7" t="inlineStr"/>
      <c r="T214" s="7" t="inlineStr">
        <is>
          <t>3. עצי מוצר של אחזקה (BOM)</t>
        </is>
      </c>
      <c r="U214" s="7" t="inlineStr">
        <is>
          <t>A39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User Exit</t>
        </is>
      </c>
      <c r="Q215" s="8" t="inlineStr">
        <is>
          <t>PCSD0002</t>
        </is>
      </c>
      <c r="R215" s="7" t="inlineStr">
        <is>
          <t>ברירות מחדל לפריטי עץ מוצר</t>
        </is>
      </c>
      <c r="S215" s="7" t="inlineStr"/>
      <c r="T215" s="7" t="inlineStr">
        <is>
          <t>3. עצי מוצר של אחזקה (BOM)</t>
        </is>
      </c>
      <c r="U215" s="7" t="inlineStr">
        <is>
          <t>A40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BAdI</t>
        </is>
      </c>
      <c r="Q216" s="8" t="inlineStr">
        <is>
          <t>BOM_UPDATE</t>
        </is>
      </c>
      <c r="R216" s="7" t="inlineStr">
        <is>
          <t>BAdI לעדכון/בדיקת עצי מוצר (אמת ב-SE18)</t>
        </is>
      </c>
      <c r="S216" s="7" t="inlineStr"/>
      <c r="T216" s="7" t="inlineStr">
        <is>
          <t>3. עצי מוצר של אחזקה (BOM)</t>
        </is>
      </c>
      <c r="U216" s="7" t="inlineStr">
        <is>
          <t>A41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BAdI</t>
        </is>
      </c>
      <c r="Q217" s="8" t="inlineStr">
        <is>
          <t>BADI_EAM_TECHNICAL_OBJECT</t>
        </is>
      </c>
      <c r="R217" s="7" t="inlineStr">
        <is>
          <t>שיוך BOM לאובייקט טכני ב-S/4</t>
        </is>
      </c>
      <c r="S217" s="7" t="inlineStr"/>
      <c r="T217" s="7" t="inlineStr">
        <is>
          <t>3. עצי מוצר של אחזקה (BOM)</t>
        </is>
      </c>
      <c r="U217" s="7" t="inlineStr">
        <is>
          <t>A42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טבלה</t>
        </is>
      </c>
      <c r="Q218" s="8" t="inlineStr">
        <is>
          <t>IMPTT</t>
        </is>
      </c>
      <c r="R218" s="7" t="inlineStr">
        <is>
          <t>רשומת אב של נקודת מדידה / מונה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A3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שדה</t>
        </is>
      </c>
      <c r="Q219" s="8" t="inlineStr">
        <is>
          <t>POINT</t>
        </is>
      </c>
      <c r="R219" s="7" t="inlineStr">
        <is>
          <t>מספר נקודת מדידה</t>
        </is>
      </c>
      <c r="S219" s="7" t="inlineStr">
        <is>
          <t>Measuring point number</t>
        </is>
      </c>
      <c r="T219" s="7" t="inlineStr">
        <is>
          <t>4. נקודות מדידה ומונים</t>
        </is>
      </c>
      <c r="U219" s="7" t="inlineStr">
        <is>
          <t>D4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שדה</t>
        </is>
      </c>
      <c r="Q220" s="8" t="inlineStr">
        <is>
          <t>MPOBJ</t>
        </is>
      </c>
      <c r="R220" s="7" t="inlineStr">
        <is>
          <t>אובייקט מדידה</t>
        </is>
      </c>
      <c r="S220" s="7" t="inlineStr">
        <is>
          <t>Measuring object (eq./FL)</t>
        </is>
      </c>
      <c r="T220" s="7" t="inlineStr">
        <is>
          <t>4. נקודות מדידה ומונים</t>
        </is>
      </c>
      <c r="U220" s="7" t="inlineStr">
        <is>
          <t>D5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שדה</t>
        </is>
      </c>
      <c r="Q221" s="8" t="inlineStr">
        <is>
          <t>MPTYP</t>
        </is>
      </c>
      <c r="R221" s="7" t="inlineStr">
        <is>
          <t>סוג נקודת מדידה</t>
        </is>
      </c>
      <c r="S221" s="7" t="inlineStr">
        <is>
          <t>Measuring point category</t>
        </is>
      </c>
      <c r="T221" s="7" t="inlineStr">
        <is>
          <t>4. נקודות מדידה ומונים</t>
        </is>
      </c>
      <c r="U221" s="7" t="inlineStr">
        <is>
          <t>D6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ATINN</t>
        </is>
      </c>
      <c r="R222" s="7" t="inlineStr">
        <is>
          <t>מאפיין סיווג פנימי</t>
        </is>
      </c>
      <c r="S222" s="7" t="inlineStr">
        <is>
          <t>Internal characteristic</t>
        </is>
      </c>
      <c r="T222" s="7" t="inlineStr">
        <is>
          <t>4. נקודות מדידה ומונים</t>
        </is>
      </c>
      <c r="U222" s="7" t="inlineStr">
        <is>
          <t>D7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INDCT</t>
        </is>
      </c>
      <c r="R223" s="7" t="inlineStr">
        <is>
          <t>קוד כיוון מונה</t>
        </is>
      </c>
      <c r="S223" s="7" t="inlineStr">
        <is>
          <t>Counter direction indicator</t>
        </is>
      </c>
      <c r="T223" s="7" t="inlineStr">
        <is>
          <t>4. נקודות מדידה ומונים</t>
        </is>
      </c>
      <c r="U223" s="7" t="inlineStr">
        <is>
          <t>D8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DECIM</t>
        </is>
      </c>
      <c r="R224" s="7" t="inlineStr">
        <is>
          <t>ספרות עשרוניות</t>
        </is>
      </c>
      <c r="S224" s="7" t="inlineStr">
        <is>
          <t>Decimal places</t>
        </is>
      </c>
      <c r="T224" s="7" t="inlineStr">
        <is>
          <t>4. נקודות מדידה ומונים</t>
        </is>
      </c>
      <c r="U224" s="7" t="inlineStr">
        <is>
          <t>D9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טרנזקציה</t>
        </is>
      </c>
      <c r="Q225" s="8" t="inlineStr">
        <is>
          <t>IK01</t>
        </is>
      </c>
      <c r="R225" s="7" t="inlineStr">
        <is>
          <t>רשומת אב של נקודת מדידה / מונה</t>
        </is>
      </c>
      <c r="S225" s="7" t="inlineStr">
        <is>
          <t>Measuring point master</t>
        </is>
      </c>
      <c r="T225" s="7" t="inlineStr">
        <is>
          <t>4. נקודות מדידה ומונים</t>
        </is>
      </c>
      <c r="U225" s="7" t="inlineStr">
        <is>
          <t>A4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טרנזקציה</t>
        </is>
      </c>
      <c r="Q226" s="8" t="inlineStr">
        <is>
          <t>IK02</t>
        </is>
      </c>
      <c r="R226" s="7" t="inlineStr">
        <is>
          <t>רשומת אב של נקודת מדידה / מונה</t>
        </is>
      </c>
      <c r="S226" s="7" t="inlineStr">
        <is>
          <t>Measuring point master</t>
        </is>
      </c>
      <c r="T226" s="7" t="inlineStr">
        <is>
          <t>4. נקודות מדידה ומונים</t>
        </is>
      </c>
      <c r="U226" s="7" t="inlineStr">
        <is>
          <t>A4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טרנזקציה</t>
        </is>
      </c>
      <c r="Q227" s="8" t="inlineStr">
        <is>
          <t>IK03</t>
        </is>
      </c>
      <c r="R227" s="7" t="inlineStr">
        <is>
          <t>רשומת אב של נקודת מדידה / מונה</t>
        </is>
      </c>
      <c r="S227" s="7" t="inlineStr">
        <is>
          <t>Measuring point master</t>
        </is>
      </c>
      <c r="T227" s="7" t="inlineStr">
        <is>
          <t>4. נקודות מדידה ומונים</t>
        </is>
      </c>
      <c r="U227" s="7" t="inlineStr">
        <is>
          <t>A4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IK07</t>
        </is>
      </c>
      <c r="R228" s="7" t="inlineStr">
        <is>
          <t>רשומת אב של נקודת מדידה / מונה</t>
        </is>
      </c>
      <c r="S228" s="7" t="inlineStr">
        <is>
          <t>Measuring point master</t>
        </is>
      </c>
      <c r="T228" s="7" t="inlineStr">
        <is>
          <t>4. נקודות מדידה ומונים</t>
        </is>
      </c>
      <c r="U228" s="7" t="inlineStr">
        <is>
          <t>A4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IK08</t>
        </is>
      </c>
      <c r="R229" s="7" t="inlineStr">
        <is>
          <t>רשומת אב של נקודת מדידה / מונה</t>
        </is>
      </c>
      <c r="S229" s="7" t="inlineStr">
        <is>
          <t>Measuring point master</t>
        </is>
      </c>
      <c r="T229" s="7" t="inlineStr">
        <is>
          <t>4. נקודות מדידה ומונים</t>
        </is>
      </c>
      <c r="U229" s="7" t="inlineStr">
        <is>
          <t>A4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פונקציה</t>
        </is>
      </c>
      <c r="Q230" s="8" t="inlineStr">
        <is>
          <t>BAPI_MEASUREMENTPOINT_CREATE</t>
        </is>
      </c>
      <c r="R230" s="7" t="inlineStr">
        <is>
          <t>יצירת נקודת מדידה</t>
        </is>
      </c>
      <c r="S230" s="7" t="inlineStr">
        <is>
          <t>Measuring point master</t>
        </is>
      </c>
      <c r="T230" s="7" t="inlineStr">
        <is>
          <t>4. נקודות מדידה ומונים</t>
        </is>
      </c>
      <c r="U230" s="7" t="inlineStr">
        <is>
          <t>G4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פונקציה</t>
        </is>
      </c>
      <c r="Q231" s="8" t="inlineStr">
        <is>
          <t>BAPI_MEASUREMENTPOINT_GETLIST</t>
        </is>
      </c>
      <c r="R231" s="7" t="inlineStr">
        <is>
          <t>שליפת רשימת נקודות מדידה</t>
        </is>
      </c>
      <c r="S231" s="7" t="inlineStr">
        <is>
          <t>Measuring point master</t>
        </is>
      </c>
      <c r="T231" s="7" t="inlineStr">
        <is>
          <t>4. נקודות מדידה ומונים</t>
        </is>
      </c>
      <c r="U231" s="7" t="inlineStr">
        <is>
          <t>G4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פונקציה</t>
        </is>
      </c>
      <c r="Q232" s="8" t="inlineStr">
        <is>
          <t>MEASUREMENT_POINT_READ</t>
        </is>
      </c>
      <c r="R232" s="7" t="inlineStr">
        <is>
          <t>קריאת פרטי נקודת מדידה</t>
        </is>
      </c>
      <c r="S232" s="7" t="inlineStr">
        <is>
          <t>Measuring point master</t>
        </is>
      </c>
      <c r="T232" s="7" t="inlineStr">
        <is>
          <t>4. נקודות מדידה ומונים</t>
        </is>
      </c>
      <c r="U232" s="7" t="inlineStr">
        <is>
          <t>G4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תוכנית</t>
        </is>
      </c>
      <c r="Q233" s="8" t="inlineStr">
        <is>
          <t>RIMPOINT</t>
        </is>
      </c>
      <c r="R233" s="7" t="inlineStr">
        <is>
          <t>רשימת נקודות מדידה ומונים</t>
        </is>
      </c>
      <c r="S233" s="7" t="inlineStr">
        <is>
          <t>Measuring point master</t>
        </is>
      </c>
      <c r="T233" s="7" t="inlineStr">
        <is>
          <t>4. נקודות מדידה ומונים</t>
        </is>
      </c>
      <c r="U233" s="7" t="inlineStr">
        <is>
          <t>I4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Fiori</t>
        </is>
      </c>
      <c r="Q234" s="8" t="inlineStr">
        <is>
          <t>Manage Measurement Documents (אמת ID)</t>
        </is>
      </c>
      <c r="R234" s="7" t="inlineStr">
        <is>
          <t>רשומת אב של נקודת מדידה / מונה</t>
        </is>
      </c>
      <c r="S234" s="7" t="inlineStr">
        <is>
          <t>Measuring point master</t>
        </is>
      </c>
      <c r="T234" s="7" t="inlineStr">
        <is>
          <t>4. נקודות מדידה ומונים</t>
        </is>
      </c>
      <c r="U234" s="7" t="inlineStr">
        <is>
          <t>N4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טבלה</t>
        </is>
      </c>
      <c r="Q235" s="8" t="inlineStr">
        <is>
          <t>IMRG</t>
        </is>
      </c>
      <c r="R235" s="7" t="inlineStr">
        <is>
          <t>מסמכי מדידה (קריאות מונה/ערך)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A11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שדה</t>
        </is>
      </c>
      <c r="Q236" s="8" t="inlineStr">
        <is>
          <t>MDOCM</t>
        </is>
      </c>
      <c r="R236" s="7" t="inlineStr">
        <is>
          <t>מספר מסמך מדידה</t>
        </is>
      </c>
      <c r="S236" s="7" t="inlineStr">
        <is>
          <t>Measurement document number</t>
        </is>
      </c>
      <c r="T236" s="7" t="inlineStr">
        <is>
          <t>4. נקודות מדידה ומונים</t>
        </is>
      </c>
      <c r="U236" s="7" t="inlineStr">
        <is>
          <t>D12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שדה</t>
        </is>
      </c>
      <c r="Q237" s="8" t="inlineStr">
        <is>
          <t>POINT</t>
        </is>
      </c>
      <c r="R237" s="7" t="inlineStr">
        <is>
          <t>נקודת מדידה</t>
        </is>
      </c>
      <c r="S237" s="7" t="inlineStr">
        <is>
          <t>Measuring point</t>
        </is>
      </c>
      <c r="T237" s="7" t="inlineStr">
        <is>
          <t>4. נקודות מדידה ומונים</t>
        </is>
      </c>
      <c r="U237" s="7" t="inlineStr">
        <is>
          <t>D13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שדה</t>
        </is>
      </c>
      <c r="Q238" s="8" t="inlineStr">
        <is>
          <t>RECDV</t>
        </is>
      </c>
      <c r="R238" s="7" t="inlineStr">
        <is>
          <t>ערך נמדד</t>
        </is>
      </c>
      <c r="S238" s="7" t="inlineStr">
        <is>
          <t>Measurement reading value</t>
        </is>
      </c>
      <c r="T238" s="7" t="inlineStr">
        <is>
          <t>4. נקודות מדידה ומונים</t>
        </is>
      </c>
      <c r="U238" s="7" t="inlineStr">
        <is>
          <t>D14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שדה</t>
        </is>
      </c>
      <c r="Q239" s="8" t="inlineStr">
        <is>
          <t>READG</t>
        </is>
      </c>
      <c r="R239" s="7" t="inlineStr">
        <is>
          <t>קריאת מונה</t>
        </is>
      </c>
      <c r="S239" s="7" t="inlineStr">
        <is>
          <t>Counter reading</t>
        </is>
      </c>
      <c r="T239" s="7" t="inlineStr">
        <is>
          <t>4. נקודות מדידה ומונים</t>
        </is>
      </c>
      <c r="U239" s="7" t="inlineStr">
        <is>
          <t>D15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שדה</t>
        </is>
      </c>
      <c r="Q240" s="8" t="inlineStr">
        <is>
          <t>CNTRR</t>
        </is>
      </c>
      <c r="R240" s="7" t="inlineStr">
        <is>
          <t>קריאה כוללת</t>
        </is>
      </c>
      <c r="S240" s="7" t="inlineStr">
        <is>
          <t>Counter reading (total)</t>
        </is>
      </c>
      <c r="T240" s="7" t="inlineStr">
        <is>
          <t>4. נקודות מדידה ומונים</t>
        </is>
      </c>
      <c r="U240" s="7" t="inlineStr">
        <is>
          <t>D16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שדה</t>
        </is>
      </c>
      <c r="Q241" s="8" t="inlineStr">
        <is>
          <t>CDIFF</t>
        </is>
      </c>
      <c r="R241" s="7" t="inlineStr">
        <is>
          <t>הפרש מונה</t>
        </is>
      </c>
      <c r="S241" s="7" t="inlineStr">
        <is>
          <t>Counter difference</t>
        </is>
      </c>
      <c r="T241" s="7" t="inlineStr">
        <is>
          <t>4. נקודות מדידה ומונים</t>
        </is>
      </c>
      <c r="U241" s="7" t="inlineStr">
        <is>
          <t>D17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טרנזקציה</t>
        </is>
      </c>
      <c r="Q242" s="8" t="inlineStr">
        <is>
          <t>IK11</t>
        </is>
      </c>
      <c r="R242" s="7" t="inlineStr">
        <is>
          <t>מסמכי מדידה (קריאות מונה/ערך)</t>
        </is>
      </c>
      <c r="S242" s="7" t="inlineStr">
        <is>
          <t>Measurement documents / readings</t>
        </is>
      </c>
      <c r="T242" s="7" t="inlineStr">
        <is>
          <t>4. נקודות מדידה ומונים</t>
        </is>
      </c>
      <c r="U242" s="7" t="inlineStr">
        <is>
          <t>A12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טרנזקציה</t>
        </is>
      </c>
      <c r="Q243" s="8" t="inlineStr">
        <is>
          <t>IK12</t>
        </is>
      </c>
      <c r="R243" s="7" t="inlineStr">
        <is>
          <t>מסמכי מדידה (קריאות מונה/ערך)</t>
        </is>
      </c>
      <c r="S243" s="7" t="inlineStr">
        <is>
          <t>Measurement documents / readings</t>
        </is>
      </c>
      <c r="T243" s="7" t="inlineStr">
        <is>
          <t>4. נקודות מדידה ומונים</t>
        </is>
      </c>
      <c r="U243" s="7" t="inlineStr">
        <is>
          <t>A12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טרנזקציה</t>
        </is>
      </c>
      <c r="Q244" s="8" t="inlineStr">
        <is>
          <t>IK13</t>
        </is>
      </c>
      <c r="R244" s="7" t="inlineStr">
        <is>
          <t>מסמכי מדידה (קריאות מונה/ערך)</t>
        </is>
      </c>
      <c r="S244" s="7" t="inlineStr">
        <is>
          <t>Measurement documents / readings</t>
        </is>
      </c>
      <c r="T244" s="7" t="inlineStr">
        <is>
          <t>4. נקודות מדידה ומונים</t>
        </is>
      </c>
      <c r="U244" s="7" t="inlineStr">
        <is>
          <t>A12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טרנזקציה</t>
        </is>
      </c>
      <c r="Q245" s="8" t="inlineStr">
        <is>
          <t>IK21</t>
        </is>
      </c>
      <c r="R245" s="7" t="inlineStr">
        <is>
          <t>מסמכי מדידה (קריאות מונה/ערך)</t>
        </is>
      </c>
      <c r="S245" s="7" t="inlineStr">
        <is>
          <t>Measurement documents / readings</t>
        </is>
      </c>
      <c r="T245" s="7" t="inlineStr">
        <is>
          <t>4. נקודות מדידה ומונים</t>
        </is>
      </c>
      <c r="U245" s="7" t="inlineStr">
        <is>
          <t>A12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IK41</t>
        </is>
      </c>
      <c r="R246" s="7" t="inlineStr">
        <is>
          <t>מסמכי מדידה (קריאות מונה/ערך)</t>
        </is>
      </c>
      <c r="S246" s="7" t="inlineStr">
        <is>
          <t>Measurement documents / readings</t>
        </is>
      </c>
      <c r="T246" s="7" t="inlineStr">
        <is>
          <t>4. נקודות מדידה ומונים</t>
        </is>
      </c>
      <c r="U246" s="7" t="inlineStr">
        <is>
          <t>A12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פונקציה</t>
        </is>
      </c>
      <c r="Q247" s="8" t="inlineStr">
        <is>
          <t>BAPI_MEASUREMENTDOCUM_CREATE</t>
        </is>
      </c>
      <c r="R247" s="7" t="inlineStr">
        <is>
          <t>יצירת מסמך מדידה</t>
        </is>
      </c>
      <c r="S247" s="7" t="inlineStr">
        <is>
          <t>Measurement documents / readings</t>
        </is>
      </c>
      <c r="T247" s="7" t="inlineStr">
        <is>
          <t>4. נקודות מדידה ומונים</t>
        </is>
      </c>
      <c r="U247" s="7" t="inlineStr">
        <is>
          <t>G12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BAPI_MEASUREMENTDOCUM_CREATEM</t>
        </is>
      </c>
      <c r="R248" s="7" t="inlineStr">
        <is>
          <t>יצירת מסמכי מדידה מרובים</t>
        </is>
      </c>
      <c r="S248" s="7" t="inlineStr">
        <is>
          <t>Measurement documents / readings</t>
        </is>
      </c>
      <c r="T248" s="7" t="inlineStr">
        <is>
          <t>4. נקודות מדידה ומונים</t>
        </is>
      </c>
      <c r="U248" s="7" t="inlineStr">
        <is>
          <t>G12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MEASUREM_DOCUM_RFC_SINGLE_001</t>
        </is>
      </c>
      <c r="R249" s="7" t="inlineStr">
        <is>
          <t>קליטת קריאה בודדת RFC</t>
        </is>
      </c>
      <c r="S249" s="7" t="inlineStr">
        <is>
          <t>Measurement documents / readings</t>
        </is>
      </c>
      <c r="T249" s="7" t="inlineStr">
        <is>
          <t>4. נקודות מדידה ומונים</t>
        </is>
      </c>
      <c r="U249" s="7" t="inlineStr">
        <is>
          <t>G12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RISTRA20</t>
        </is>
      </c>
      <c r="R250" s="7" t="inlineStr">
        <is>
          <t>ניטור מועדים מבוסס מונה (IP30)</t>
        </is>
      </c>
      <c r="S250" s="7" t="inlineStr">
        <is>
          <t>Measurement documents / readings</t>
        </is>
      </c>
      <c r="T250" s="7" t="inlineStr">
        <is>
          <t>4. נקודות מדידה ומונים</t>
        </is>
      </c>
      <c r="U250" s="7" t="inlineStr">
        <is>
          <t>I12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Enter Measurement Readings (אמת ID)</t>
        </is>
      </c>
      <c r="R251" s="7" t="inlineStr">
        <is>
          <t>מסמכי מדידה (קריאות מונה/ערך)</t>
        </is>
      </c>
      <c r="S251" s="7" t="inlineStr">
        <is>
          <t>Measurement documents / readings</t>
        </is>
      </c>
      <c r="T251" s="7" t="inlineStr">
        <is>
          <t>4. נקודות מדידה ומונים</t>
        </is>
      </c>
      <c r="U251" s="7" t="inlineStr">
        <is>
          <t>N12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User Exit</t>
        </is>
      </c>
      <c r="Q252" s="8" t="inlineStr">
        <is>
          <t>IMRC0001</t>
        </is>
      </c>
      <c r="R252" s="7" t="inlineStr">
        <is>
          <t>הרחבת בדיקות בעת קליטת מסמך מדידה</t>
        </is>
      </c>
      <c r="S252" s="7" t="inlineStr"/>
      <c r="T252" s="7" t="inlineStr">
        <is>
          <t>4. נקודות מדידה ומונים</t>
        </is>
      </c>
      <c r="U252" s="7" t="inlineStr">
        <is>
          <t>A22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User Exit</t>
        </is>
      </c>
      <c r="Q253" s="8" t="inlineStr">
        <is>
          <t>IMRC0002</t>
        </is>
      </c>
      <c r="R253" s="7" t="inlineStr">
        <is>
          <t>לוגיקת העברת קריאות ומונים</t>
        </is>
      </c>
      <c r="S253" s="7" t="inlineStr"/>
      <c r="T253" s="7" t="inlineStr">
        <is>
          <t>4. נקודות מדידה ומונים</t>
        </is>
      </c>
      <c r="U253" s="7" t="inlineStr">
        <is>
          <t>A23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BAdI</t>
        </is>
      </c>
      <c r="Q254" s="8" t="inlineStr">
        <is>
          <t>BADI_EAM_MEASPOINT</t>
        </is>
      </c>
      <c r="R254" s="7" t="inlineStr">
        <is>
          <t>הרחבת נקודות מדידה/מסמכי מדידה (אמת שם ב-SE18)</t>
        </is>
      </c>
      <c r="S254" s="7" t="inlineStr"/>
      <c r="T254" s="7" t="inlineStr">
        <is>
          <t>4. נקודות מדידה ומונים</t>
        </is>
      </c>
      <c r="U254" s="7" t="inlineStr">
        <is>
          <t>A24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טבלה</t>
        </is>
      </c>
      <c r="Q255" s="8" t="inlineStr">
        <is>
          <t>QPCD</t>
        </is>
      </c>
      <c r="R255" s="7" t="inlineStr">
        <is>
          <t>קודים בתוך קבוצת קוד</t>
        </is>
      </c>
      <c r="S255" s="7" t="inlineStr">
        <is>
          <t>Codes within a code group</t>
        </is>
      </c>
      <c r="T255" s="7" t="inlineStr">
        <is>
          <t>5. קטלוגים, קודים ופרופילים</t>
        </is>
      </c>
      <c r="U255" s="7" t="inlineStr">
        <is>
          <t>A3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KATALOGART</t>
        </is>
      </c>
      <c r="R256" s="7" t="inlineStr">
        <is>
          <t>סוג קטלוג</t>
        </is>
      </c>
      <c r="S256" s="7" t="inlineStr">
        <is>
          <t>Catalog type (B/C/D/2/5)</t>
        </is>
      </c>
      <c r="T256" s="7" t="inlineStr">
        <is>
          <t>5. קטלוגים, קודים ופרופילים</t>
        </is>
      </c>
      <c r="U256" s="7" t="inlineStr">
        <is>
          <t>D4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שדה</t>
        </is>
      </c>
      <c r="Q257" s="8" t="inlineStr">
        <is>
          <t>CODEGRUPPE</t>
        </is>
      </c>
      <c r="R257" s="7" t="inlineStr">
        <is>
          <t>קבוצת קוד</t>
        </is>
      </c>
      <c r="S257" s="7" t="inlineStr">
        <is>
          <t>Code group</t>
        </is>
      </c>
      <c r="T257" s="7" t="inlineStr">
        <is>
          <t>5. קטלוגים, קודים ופרופילים</t>
        </is>
      </c>
      <c r="U257" s="7" t="inlineStr">
        <is>
          <t>D5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שדה</t>
        </is>
      </c>
      <c r="Q258" s="8" t="inlineStr">
        <is>
          <t>CODE</t>
        </is>
      </c>
      <c r="R258" s="7" t="inlineStr">
        <is>
          <t>קוד</t>
        </is>
      </c>
      <c r="S258" s="7" t="inlineStr">
        <is>
          <t>Code</t>
        </is>
      </c>
      <c r="T258" s="7" t="inlineStr">
        <is>
          <t>5. קטלוגים, קודים ופרופילים</t>
        </is>
      </c>
      <c r="U258" s="7" t="inlineStr">
        <is>
          <t>D6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שדה</t>
        </is>
      </c>
      <c r="Q259" s="8" t="inlineStr">
        <is>
          <t>VERSION</t>
        </is>
      </c>
      <c r="R259" s="7" t="inlineStr">
        <is>
          <t>גרסת קוד</t>
        </is>
      </c>
      <c r="S259" s="7" t="inlineStr">
        <is>
          <t>Code version</t>
        </is>
      </c>
      <c r="T259" s="7" t="inlineStr">
        <is>
          <t>5. קטלוגים, קודים ופרופילים</t>
        </is>
      </c>
      <c r="U259" s="7" t="inlineStr">
        <is>
          <t>D7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טרנזקציה</t>
        </is>
      </c>
      <c r="Q260" s="8" t="inlineStr">
        <is>
          <t>QS51</t>
        </is>
      </c>
      <c r="R260" s="7" t="inlineStr">
        <is>
          <t>קודים בתוך קבוצת קוד</t>
        </is>
      </c>
      <c r="S260" s="7" t="inlineStr">
        <is>
          <t>Codes within a code group</t>
        </is>
      </c>
      <c r="T260" s="7" t="inlineStr">
        <is>
          <t>5. קטלוגים, קודים ופרופילים</t>
        </is>
      </c>
      <c r="U260" s="7" t="inlineStr">
        <is>
          <t>A4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טרנזקציה</t>
        </is>
      </c>
      <c r="Q261" s="8" t="inlineStr">
        <is>
          <t>QS61</t>
        </is>
      </c>
      <c r="R261" s="7" t="inlineStr">
        <is>
          <t>קודים בתוך קבוצת קוד</t>
        </is>
      </c>
      <c r="S261" s="7" t="inlineStr">
        <is>
          <t>Codes within a code group</t>
        </is>
      </c>
      <c r="T261" s="7" t="inlineStr">
        <is>
          <t>5. קטלוגים, קודים ופרופילים</t>
        </is>
      </c>
      <c r="U261" s="7" t="inlineStr">
        <is>
          <t>A4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פונקציה</t>
        </is>
      </c>
      <c r="Q262" s="8" t="inlineStr">
        <is>
          <t>QPK1_CODE_TEXT_READ</t>
        </is>
      </c>
      <c r="R262" s="7" t="inlineStr">
        <is>
          <t>קריאת קוד וטקסט</t>
        </is>
      </c>
      <c r="S262" s="7" t="inlineStr">
        <is>
          <t>Codes within a code group</t>
        </is>
      </c>
      <c r="T262" s="7" t="inlineStr">
        <is>
          <t>5. קטלוגים, קודים ופרופילים</t>
        </is>
      </c>
      <c r="U262" s="7" t="inlineStr">
        <is>
          <t>G4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פונקציה</t>
        </is>
      </c>
      <c r="Q263" s="8" t="inlineStr">
        <is>
          <t>QPK1_CATALOG_READ</t>
        </is>
      </c>
      <c r="R263" s="7" t="inlineStr">
        <is>
          <t>קריאת קטלוג</t>
        </is>
      </c>
      <c r="S263" s="7" t="inlineStr">
        <is>
          <t>Codes within a code group</t>
        </is>
      </c>
      <c r="T263" s="7" t="inlineStr">
        <is>
          <t>5. קטלוגים, קודים ופרופילים</t>
        </is>
      </c>
      <c r="U263" s="7" t="inlineStr">
        <is>
          <t>G4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תוכנית</t>
        </is>
      </c>
      <c r="Q264" s="8" t="inlineStr">
        <is>
          <t>RQEEAW01</t>
        </is>
      </c>
      <c r="R264" s="7" t="inlineStr">
        <is>
          <t>סקירת מבנה קטלוגים</t>
        </is>
      </c>
      <c r="S264" s="7" t="inlineStr">
        <is>
          <t>Codes within a code group</t>
        </is>
      </c>
      <c r="T264" s="7" t="inlineStr">
        <is>
          <t>5. קטלוגים, קודים ופרופילים</t>
        </is>
      </c>
      <c r="U264" s="7" t="inlineStr">
        <is>
          <t>I4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Fiori</t>
        </is>
      </c>
      <c r="Q265" s="8" t="inlineStr">
        <is>
          <t>אין Fiori ייעודי (Customizing)</t>
        </is>
      </c>
      <c r="R265" s="7" t="inlineStr">
        <is>
          <t>קודים בתוך קבוצת קוד</t>
        </is>
      </c>
      <c r="S265" s="7" t="inlineStr">
        <is>
          <t>Codes within a code group</t>
        </is>
      </c>
      <c r="T265" s="7" t="inlineStr">
        <is>
          <t>5. קטלוגים, קודים ופרופילים</t>
        </is>
      </c>
      <c r="U265" s="7" t="inlineStr">
        <is>
          <t>N4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טבלה</t>
        </is>
      </c>
      <c r="Q266" s="8" t="inlineStr">
        <is>
          <t>QPGR</t>
        </is>
      </c>
      <c r="R266" s="7" t="inlineStr">
        <is>
          <t>קבוצות קוד (במקום QPCR הלא-תקני)</t>
        </is>
      </c>
      <c r="S266" s="7" t="inlineStr">
        <is>
          <t>Code groups (correct table)</t>
        </is>
      </c>
      <c r="T266" s="7" t="inlineStr">
        <is>
          <t>5. קטלוגים, קודים ופרופילים</t>
        </is>
      </c>
      <c r="U266" s="7" t="inlineStr">
        <is>
          <t>A9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שדה</t>
        </is>
      </c>
      <c r="Q267" s="8" t="inlineStr">
        <is>
          <t>KATALOGART</t>
        </is>
      </c>
      <c r="R267" s="7" t="inlineStr">
        <is>
          <t>סוג קטלוג</t>
        </is>
      </c>
      <c r="S267" s="7" t="inlineStr">
        <is>
          <t>Catalog type</t>
        </is>
      </c>
      <c r="T267" s="7" t="inlineStr">
        <is>
          <t>5. קטלוגים, קודים ופרופילים</t>
        </is>
      </c>
      <c r="U267" s="7" t="inlineStr">
        <is>
          <t>D10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שדה</t>
        </is>
      </c>
      <c r="Q268" s="8" t="inlineStr">
        <is>
          <t>CODEGRUPPE</t>
        </is>
      </c>
      <c r="R268" s="7" t="inlineStr">
        <is>
          <t>קבוצת קוד</t>
        </is>
      </c>
      <c r="S268" s="7" t="inlineStr">
        <is>
          <t>Code group</t>
        </is>
      </c>
      <c r="T268" s="7" t="inlineStr">
        <is>
          <t>5. קטלוגים, קודים ופרופילים</t>
        </is>
      </c>
      <c r="U268" s="7" t="inlineStr">
        <is>
          <t>D11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שדה</t>
        </is>
      </c>
      <c r="Q269" s="8" t="inlineStr">
        <is>
          <t>STATUS</t>
        </is>
      </c>
      <c r="R269" s="7" t="inlineStr">
        <is>
          <t>סטטוס קבוצה</t>
        </is>
      </c>
      <c r="S269" s="7" t="inlineStr">
        <is>
          <t>Code group status</t>
        </is>
      </c>
      <c r="T269" s="7" t="inlineStr">
        <is>
          <t>5. קטלוגים, קודים ופרופילים</t>
        </is>
      </c>
      <c r="U269" s="7" t="inlineStr">
        <is>
          <t>D12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שדה</t>
        </is>
      </c>
      <c r="Q270" s="8" t="inlineStr">
        <is>
          <t>VERWMERKM</t>
        </is>
      </c>
      <c r="R270" s="7" t="inlineStr">
        <is>
          <t>שימוש בקבוצת בחירה</t>
        </is>
      </c>
      <c r="S270" s="7" t="inlineStr">
        <is>
          <t>Selection set usage</t>
        </is>
      </c>
      <c r="T270" s="7" t="inlineStr">
        <is>
          <t>5. קטלוגים, קודים ופרופילים</t>
        </is>
      </c>
      <c r="U270" s="7" t="inlineStr">
        <is>
          <t>D13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טרנזקציה</t>
        </is>
      </c>
      <c r="Q271" s="8" t="inlineStr">
        <is>
          <t>QS51</t>
        </is>
      </c>
      <c r="R271" s="7" t="inlineStr">
        <is>
          <t>קבוצות קוד (במקום QPCR הלא-תקני)</t>
        </is>
      </c>
      <c r="S271" s="7" t="inlineStr">
        <is>
          <t>Code groups (correct table)</t>
        </is>
      </c>
      <c r="T271" s="7" t="inlineStr">
        <is>
          <t>5. קטלוגים, קודים ופרופילים</t>
        </is>
      </c>
      <c r="U271" s="7" t="inlineStr">
        <is>
          <t>A10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טרנזקציה</t>
        </is>
      </c>
      <c r="Q272" s="8" t="inlineStr">
        <is>
          <t>QS61</t>
        </is>
      </c>
      <c r="R272" s="7" t="inlineStr">
        <is>
          <t>קבוצות קוד (במקום QPCR הלא-תקני)</t>
        </is>
      </c>
      <c r="S272" s="7" t="inlineStr">
        <is>
          <t>Code groups (correct table)</t>
        </is>
      </c>
      <c r="T272" s="7" t="inlineStr">
        <is>
          <t>5. קטלוגים, קודים ופרופילים</t>
        </is>
      </c>
      <c r="U272" s="7" t="inlineStr">
        <is>
          <t>A10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פונקציה</t>
        </is>
      </c>
      <c r="Q273" s="8" t="inlineStr">
        <is>
          <t>QPK1_CODEGROUP_READ</t>
        </is>
      </c>
      <c r="R273" s="7" t="inlineStr">
        <is>
          <t>קריאת קבוצת קוד</t>
        </is>
      </c>
      <c r="S273" s="7" t="inlineStr">
        <is>
          <t>Code groups (correct table)</t>
        </is>
      </c>
      <c r="T273" s="7" t="inlineStr">
        <is>
          <t>5. קטלוגים, קודים ופרופילים</t>
        </is>
      </c>
      <c r="U273" s="7" t="inlineStr">
        <is>
          <t>G10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תוכנית</t>
        </is>
      </c>
      <c r="Q274" s="8" t="inlineStr">
        <is>
          <t>RQEEAW02</t>
        </is>
      </c>
      <c r="R274" s="7" t="inlineStr">
        <is>
          <t>דוח קבוצות קוד וקודים</t>
        </is>
      </c>
      <c r="S274" s="7" t="inlineStr">
        <is>
          <t>Code groups (correct table)</t>
        </is>
      </c>
      <c r="T274" s="7" t="inlineStr">
        <is>
          <t>5. קטלוגים, קודים ופרופילים</t>
        </is>
      </c>
      <c r="U274" s="7" t="inlineStr">
        <is>
          <t>I10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Fiori</t>
        </is>
      </c>
      <c r="Q275" s="8" t="inlineStr">
        <is>
          <t>אין Fiori ייעודי (Customizing)</t>
        </is>
      </c>
      <c r="R275" s="7" t="inlineStr">
        <is>
          <t>קבוצות קוד (במקום QPCR הלא-תקני)</t>
        </is>
      </c>
      <c r="S275" s="7" t="inlineStr">
        <is>
          <t>Code groups (correct table)</t>
        </is>
      </c>
      <c r="T275" s="7" t="inlineStr">
        <is>
          <t>5. קטלוגים, קודים ופרופילים</t>
        </is>
      </c>
      <c r="U275" s="7" t="inlineStr">
        <is>
          <t>N10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טבלה</t>
        </is>
      </c>
      <c r="Q276" s="8" t="inlineStr">
        <is>
          <t>T352B</t>
        </is>
      </c>
      <c r="R276" s="7" t="inlineStr">
        <is>
          <t>שיוך פרופיל קטלוג לקבוצות בחירה</t>
        </is>
      </c>
      <c r="S276" s="7" t="inlineStr">
        <is>
          <t>Catalog profile to selection-set link</t>
        </is>
      </c>
      <c r="T276" s="7" t="inlineStr">
        <is>
          <t>5. קטלוגים, קודים ופרופילים</t>
        </is>
      </c>
      <c r="U276" s="7" t="inlineStr">
        <is>
          <t>A15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שדה</t>
        </is>
      </c>
      <c r="Q277" s="8" t="inlineStr">
        <is>
          <t>RBNR</t>
        </is>
      </c>
      <c r="R277" s="7" t="inlineStr">
        <is>
          <t>פרופיל קטלוג</t>
        </is>
      </c>
      <c r="S277" s="7" t="inlineStr">
        <is>
          <t>Catalog profile</t>
        </is>
      </c>
      <c r="T277" s="7" t="inlineStr">
        <is>
          <t>5. קטלוגים, קודים ופרופילים</t>
        </is>
      </c>
      <c r="U277" s="7" t="inlineStr">
        <is>
          <t>D16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שדה</t>
        </is>
      </c>
      <c r="Q278" s="8" t="inlineStr">
        <is>
          <t>KATALOGART</t>
        </is>
      </c>
      <c r="R278" s="7" t="inlineStr">
        <is>
          <t>סוג קטלוג</t>
        </is>
      </c>
      <c r="S278" s="7" t="inlineStr">
        <is>
          <t>Catalog type</t>
        </is>
      </c>
      <c r="T278" s="7" t="inlineStr">
        <is>
          <t>5. קטלוגים, קודים ופרופילים</t>
        </is>
      </c>
      <c r="U278" s="7" t="inlineStr">
        <is>
          <t>D17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שדה</t>
        </is>
      </c>
      <c r="Q279" s="8" t="inlineStr">
        <is>
          <t>CODEGRUPPE</t>
        </is>
      </c>
      <c r="R279" s="7" t="inlineStr">
        <is>
          <t>קבוצת קוד מותרת</t>
        </is>
      </c>
      <c r="S279" s="7" t="inlineStr">
        <is>
          <t>Allowed code group</t>
        </is>
      </c>
      <c r="T279" s="7" t="inlineStr">
        <is>
          <t>5. קטלוגים, קודים ופרופילים</t>
        </is>
      </c>
      <c r="U279" s="7" t="inlineStr">
        <is>
          <t>D18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שדה</t>
        </is>
      </c>
      <c r="Q280" s="8" t="inlineStr">
        <is>
          <t>AUSWMENGEN</t>
        </is>
      </c>
      <c r="R280" s="7" t="inlineStr">
        <is>
          <t>קבוצת בחירה</t>
        </is>
      </c>
      <c r="S280" s="7" t="inlineStr">
        <is>
          <t>Selection set</t>
        </is>
      </c>
      <c r="T280" s="7" t="inlineStr">
        <is>
          <t>5. קטלוגים, קודים ופרופילים</t>
        </is>
      </c>
      <c r="U280" s="7" t="inlineStr">
        <is>
          <t>D19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טרנזקציה</t>
        </is>
      </c>
      <c r="Q281" s="8" t="inlineStr">
        <is>
          <t>OIM1</t>
        </is>
      </c>
      <c r="R281" s="7" t="inlineStr">
        <is>
          <t>שיוך פרופיל קטלוג לקבוצות בחירה</t>
        </is>
      </c>
      <c r="S281" s="7" t="inlineStr">
        <is>
          <t>Catalog profile to selection-set link</t>
        </is>
      </c>
      <c r="T281" s="7" t="inlineStr">
        <is>
          <t>5. קטלוגים, קודים ופרופילים</t>
        </is>
      </c>
      <c r="U281" s="7" t="inlineStr">
        <is>
          <t>A16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טרנזקציה</t>
        </is>
      </c>
      <c r="Q282" s="8" t="inlineStr">
        <is>
          <t>OIN4</t>
        </is>
      </c>
      <c r="R282" s="7" t="inlineStr">
        <is>
          <t>שיוך פרופיל קטלוג לקבוצות בחירה</t>
        </is>
      </c>
      <c r="S282" s="7" t="inlineStr">
        <is>
          <t>Catalog profile to selection-set link</t>
        </is>
      </c>
      <c r="T282" s="7" t="inlineStr">
        <is>
          <t>5. קטלוגים, קודים ופרופילים</t>
        </is>
      </c>
      <c r="U282" s="7" t="inlineStr">
        <is>
          <t>A16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פונקציה</t>
        </is>
      </c>
      <c r="Q283" s="8" t="inlineStr">
        <is>
          <t>CATALOG_PROFILE_READ</t>
        </is>
      </c>
      <c r="R283" s="7" t="inlineStr">
        <is>
          <t>קריאת פרופיל קטלוג</t>
        </is>
      </c>
      <c r="S283" s="7" t="inlineStr">
        <is>
          <t>Catalog profile to selection-set link</t>
        </is>
      </c>
      <c r="T283" s="7" t="inlineStr">
        <is>
          <t>5. קטלוגים, קודים ופרופילים</t>
        </is>
      </c>
      <c r="U283" s="7" t="inlineStr">
        <is>
          <t>G16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תוכנית</t>
        </is>
      </c>
      <c r="Q284" s="8" t="inlineStr">
        <is>
          <t>RIPROFCAT</t>
        </is>
      </c>
      <c r="R284" s="7" t="inlineStr">
        <is>
          <t>ניתוח פרופילי קטלוג ושיוכם</t>
        </is>
      </c>
      <c r="S284" s="7" t="inlineStr">
        <is>
          <t>Catalog profile to selection-set link</t>
        </is>
      </c>
      <c r="T284" s="7" t="inlineStr">
        <is>
          <t>5. קטלוגים, קודים ופרופילים</t>
        </is>
      </c>
      <c r="U284" s="7" t="inlineStr">
        <is>
          <t>I16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Fiori</t>
        </is>
      </c>
      <c r="Q285" s="8" t="inlineStr">
        <is>
          <t>אין Fiori ייעודי (Customizing)</t>
        </is>
      </c>
      <c r="R285" s="7" t="inlineStr">
        <is>
          <t>שיוך פרופיל קטלוג לקבוצות בחירה</t>
        </is>
      </c>
      <c r="S285" s="7" t="inlineStr">
        <is>
          <t>Catalog profile to selection-set link</t>
        </is>
      </c>
      <c r="T285" s="7" t="inlineStr">
        <is>
          <t>5. קטלוגים, קודים ופרופילים</t>
        </is>
      </c>
      <c r="U285" s="7" t="inlineStr">
        <is>
          <t>N16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טבלה</t>
        </is>
      </c>
      <c r="Q286" s="8" t="inlineStr">
        <is>
          <t>T352</t>
        </is>
      </c>
      <c r="R286" s="7" t="inlineStr">
        <is>
          <t>פרופיל קטלוג (כותרת)</t>
        </is>
      </c>
      <c r="S286" s="7" t="inlineStr">
        <is>
          <t>Catalog profile header</t>
        </is>
      </c>
      <c r="T286" s="7" t="inlineStr">
        <is>
          <t>5. קטלוגים, קודים ופרופילים</t>
        </is>
      </c>
      <c r="U286" s="7" t="inlineStr">
        <is>
          <t>A21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RBNR</t>
        </is>
      </c>
      <c r="R287" s="7" t="inlineStr">
        <is>
          <t>פרופיל קטלוג</t>
        </is>
      </c>
      <c r="S287" s="7" t="inlineStr">
        <is>
          <t>Catalog profile</t>
        </is>
      </c>
      <c r="T287" s="7" t="inlineStr">
        <is>
          <t>5. קטלוגים, קודים ופרופילים</t>
        </is>
      </c>
      <c r="U287" s="7" t="inlineStr">
        <is>
          <t>D22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HERKZ</t>
        </is>
      </c>
      <c r="R288" s="7" t="inlineStr">
        <is>
          <t>מחוון מקור</t>
        </is>
      </c>
      <c r="S288" s="7" t="inlineStr">
        <is>
          <t>Origin indicator</t>
        </is>
      </c>
      <c r="T288" s="7" t="inlineStr">
        <is>
          <t>5. קטלוגים, קודים ופרופילים</t>
        </is>
      </c>
      <c r="U288" s="7" t="inlineStr">
        <is>
          <t>D23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RBNRX</t>
        </is>
      </c>
      <c r="R289" s="7" t="inlineStr">
        <is>
          <t>תיאור פרופיל</t>
        </is>
      </c>
      <c r="S289" s="7" t="inlineStr">
        <is>
          <t>Profile description</t>
        </is>
      </c>
      <c r="T289" s="7" t="inlineStr">
        <is>
          <t>5. קטלוגים, קודים ופרופילים</t>
        </is>
      </c>
      <c r="U289" s="7" t="inlineStr">
        <is>
          <t>D24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OIM1</t>
        </is>
      </c>
      <c r="R290" s="7" t="inlineStr">
        <is>
          <t>פרופיל קטלוג (כותרת)</t>
        </is>
      </c>
      <c r="S290" s="7" t="inlineStr">
        <is>
          <t>Catalog profile header</t>
        </is>
      </c>
      <c r="T290" s="7" t="inlineStr">
        <is>
          <t>5. קטלוגים, קודים ופרופילים</t>
        </is>
      </c>
      <c r="U290" s="7" t="inlineStr">
        <is>
          <t>A22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QCC0</t>
        </is>
      </c>
      <c r="R291" s="7" t="inlineStr">
        <is>
          <t>פרופיל קטלוג (כותרת)</t>
        </is>
      </c>
      <c r="S291" s="7" t="inlineStr">
        <is>
          <t>Catalog profile header</t>
        </is>
      </c>
      <c r="T291" s="7" t="inlineStr">
        <is>
          <t>5. קטלוגים, קודים ופרופילים</t>
        </is>
      </c>
      <c r="U291" s="7" t="inlineStr">
        <is>
          <t>A22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פונקציה</t>
        </is>
      </c>
      <c r="Q292" s="8" t="inlineStr">
        <is>
          <t>T352_READ</t>
        </is>
      </c>
      <c r="R292" s="7" t="inlineStr">
        <is>
          <t>קריאת פרופיל קטלוג</t>
        </is>
      </c>
      <c r="S292" s="7" t="inlineStr">
        <is>
          <t>Catalog profile header</t>
        </is>
      </c>
      <c r="T292" s="7" t="inlineStr">
        <is>
          <t>5. קטלוגים, קודים ופרופילים</t>
        </is>
      </c>
      <c r="U292" s="7" t="inlineStr">
        <is>
          <t>G22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תוכנית</t>
        </is>
      </c>
      <c r="Q293" s="8" t="inlineStr">
        <is>
          <t>RIPROFCAT</t>
        </is>
      </c>
      <c r="R293" s="7" t="inlineStr">
        <is>
          <t>ניתוח פרופילי קטלוג</t>
        </is>
      </c>
      <c r="S293" s="7" t="inlineStr">
        <is>
          <t>Catalog profile header</t>
        </is>
      </c>
      <c r="T293" s="7" t="inlineStr">
        <is>
          <t>5. קטלוגים, קודים ופרופילים</t>
        </is>
      </c>
      <c r="U293" s="7" t="inlineStr">
        <is>
          <t>I22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Fiori</t>
        </is>
      </c>
      <c r="Q294" s="8" t="inlineStr">
        <is>
          <t>אין Fiori ייעודי (Customizing)</t>
        </is>
      </c>
      <c r="R294" s="7" t="inlineStr">
        <is>
          <t>פרופיל קטלוג (כותרת)</t>
        </is>
      </c>
      <c r="S294" s="7" t="inlineStr">
        <is>
          <t>Catalog profile header</t>
        </is>
      </c>
      <c r="T294" s="7" t="inlineStr">
        <is>
          <t>5. קטלוגים, קודים ופרופילים</t>
        </is>
      </c>
      <c r="U294" s="7" t="inlineStr">
        <is>
          <t>N22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User Exit</t>
        </is>
      </c>
      <c r="Q295" s="8" t="inlineStr">
        <is>
          <t>QQMA0001</t>
        </is>
      </c>
      <c r="R295" s="7" t="inlineStr">
        <is>
          <t>בדיקות כלליות בקטלוגים/קודים (משותף QM-PM)</t>
        </is>
      </c>
      <c r="S295" s="7" t="inlineStr"/>
      <c r="T295" s="7" t="inlineStr">
        <is>
          <t>5. קטלוגים, קודים ופרופילים</t>
        </is>
      </c>
      <c r="U295" s="7" t="inlineStr">
        <is>
          <t>A29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BAdI</t>
        </is>
      </c>
      <c r="Q296" s="8" t="inlineStr">
        <is>
          <t>BADI_CATALOG</t>
        </is>
      </c>
      <c r="R296" s="7" t="inlineStr">
        <is>
          <t>הרחבת לוגיקת קטלוגים (אמת שם ב-SE18)</t>
        </is>
      </c>
      <c r="S296" s="7" t="inlineStr"/>
      <c r="T296" s="7" t="inlineStr">
        <is>
          <t>5. קטלוגים, קודים ופרופילים</t>
        </is>
      </c>
      <c r="U296" s="7" t="inlineStr">
        <is>
          <t>A30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טבלה</t>
        </is>
      </c>
      <c r="Q297" s="8" t="inlineStr">
        <is>
          <t>QMEL</t>
        </is>
      </c>
      <c r="R297" s="7" t="inlineStr">
        <is>
          <t>כותרת הודעת אחזקה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A3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שדה</t>
        </is>
      </c>
      <c r="Q298" s="8" t="inlineStr">
        <is>
          <t>QMNUM</t>
        </is>
      </c>
      <c r="R298" s="7" t="inlineStr">
        <is>
          <t>מספר הודעה</t>
        </is>
      </c>
      <c r="S298" s="7" t="inlineStr">
        <is>
          <t>Notification number</t>
        </is>
      </c>
      <c r="T298" s="7" t="inlineStr">
        <is>
          <t>6. הודעות אחזקה (Notifications)</t>
        </is>
      </c>
      <c r="U298" s="7" t="inlineStr">
        <is>
          <t>D4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שדה</t>
        </is>
      </c>
      <c r="Q299" s="8" t="inlineStr">
        <is>
          <t>QMART</t>
        </is>
      </c>
      <c r="R299" s="7" t="inlineStr">
        <is>
          <t>סוג הודעה</t>
        </is>
      </c>
      <c r="S299" s="7" t="inlineStr">
        <is>
          <t>Notification type (M1/M2/M3)</t>
        </is>
      </c>
      <c r="T299" s="7" t="inlineStr">
        <is>
          <t>6. הודעות אחזקה (Notifications)</t>
        </is>
      </c>
      <c r="U299" s="7" t="inlineStr">
        <is>
          <t>D5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שדה</t>
        </is>
      </c>
      <c r="Q300" s="8" t="inlineStr">
        <is>
          <t>QMTXT</t>
        </is>
      </c>
      <c r="R300" s="7" t="inlineStr">
        <is>
          <t>תיאור קצר</t>
        </is>
      </c>
      <c r="S300" s="7" t="inlineStr">
        <is>
          <t>Notification short text</t>
        </is>
      </c>
      <c r="T300" s="7" t="inlineStr">
        <is>
          <t>6. הודעות אחזקה (Notifications)</t>
        </is>
      </c>
      <c r="U300" s="7" t="inlineStr">
        <is>
          <t>D6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שדה</t>
        </is>
      </c>
      <c r="Q301" s="8" t="inlineStr">
        <is>
          <t>EQUNR</t>
        </is>
      </c>
      <c r="R301" s="7" t="inlineStr">
        <is>
          <t>ציוד מתייחס</t>
        </is>
      </c>
      <c r="S301" s="7" t="inlineStr">
        <is>
          <t>Reference equipment</t>
        </is>
      </c>
      <c r="T301" s="7" t="inlineStr">
        <is>
          <t>6. הודעות אחזקה (Notifications)</t>
        </is>
      </c>
      <c r="U301" s="7" t="inlineStr">
        <is>
          <t>D7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שדה</t>
        </is>
      </c>
      <c r="Q302" s="8" t="inlineStr">
        <is>
          <t>TPLNR</t>
        </is>
      </c>
      <c r="R302" s="7" t="inlineStr">
        <is>
          <t>מיקום מתייחס</t>
        </is>
      </c>
      <c r="S302" s="7" t="inlineStr">
        <is>
          <t>Reference functional location</t>
        </is>
      </c>
      <c r="T302" s="7" t="inlineStr">
        <is>
          <t>6. הודעות אחזקה (Notifications)</t>
        </is>
      </c>
      <c r="U302" s="7" t="inlineStr">
        <is>
          <t>D8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שדה</t>
        </is>
      </c>
      <c r="Q303" s="8" t="inlineStr">
        <is>
          <t>OBJNR</t>
        </is>
      </c>
      <c r="R303" s="7" t="inlineStr">
        <is>
          <t>מפתח אובייקט לסטטוס</t>
        </is>
      </c>
      <c r="S303" s="7" t="inlineStr">
        <is>
          <t>Object number (status)</t>
        </is>
      </c>
      <c r="T303" s="7" t="inlineStr">
        <is>
          <t>6. הודעות אחזקה (Notifications)</t>
        </is>
      </c>
      <c r="U303" s="7" t="inlineStr">
        <is>
          <t>D9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טרנזקציה</t>
        </is>
      </c>
      <c r="Q304" s="8" t="inlineStr">
        <is>
          <t>IW21</t>
        </is>
      </c>
      <c r="R304" s="7" t="inlineStr">
        <is>
          <t>כותרת הודעת אחזקה</t>
        </is>
      </c>
      <c r="S304" s="7" t="inlineStr">
        <is>
          <t>Notification header</t>
        </is>
      </c>
      <c r="T304" s="7" t="inlineStr">
        <is>
          <t>6. הודעות אחזקה (Notifications)</t>
        </is>
      </c>
      <c r="U304" s="7" t="inlineStr">
        <is>
          <t>A4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טרנזקציה</t>
        </is>
      </c>
      <c r="Q305" s="8" t="inlineStr">
        <is>
          <t>IW22</t>
        </is>
      </c>
      <c r="R305" s="7" t="inlineStr">
        <is>
          <t>כותרת הודעת אחזקה</t>
        </is>
      </c>
      <c r="S305" s="7" t="inlineStr">
        <is>
          <t>Notification header</t>
        </is>
      </c>
      <c r="T305" s="7" t="inlineStr">
        <is>
          <t>6. הודעות אחזקה (Notifications)</t>
        </is>
      </c>
      <c r="U305" s="7" t="inlineStr">
        <is>
          <t>A4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טרנזקציה</t>
        </is>
      </c>
      <c r="Q306" s="8" t="inlineStr">
        <is>
          <t>IW23</t>
        </is>
      </c>
      <c r="R306" s="7" t="inlineStr">
        <is>
          <t>כותרת הודעת אחזקה</t>
        </is>
      </c>
      <c r="S306" s="7" t="inlineStr">
        <is>
          <t>Notification header</t>
        </is>
      </c>
      <c r="T306" s="7" t="inlineStr">
        <is>
          <t>6. הודעות אחזקה (Notifications)</t>
        </is>
      </c>
      <c r="U306" s="7" t="inlineStr">
        <is>
          <t>A4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טרנזקציה</t>
        </is>
      </c>
      <c r="Q307" s="8" t="inlineStr">
        <is>
          <t>IW24</t>
        </is>
      </c>
      <c r="R307" s="7" t="inlineStr">
        <is>
          <t>כותרת הודעת אחזקה</t>
        </is>
      </c>
      <c r="S307" s="7" t="inlineStr">
        <is>
          <t>Notification header</t>
        </is>
      </c>
      <c r="T307" s="7" t="inlineStr">
        <is>
          <t>6. הודעות אחזקה (Notifications)</t>
        </is>
      </c>
      <c r="U307" s="7" t="inlineStr">
        <is>
          <t>A4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טרנזקציה</t>
        </is>
      </c>
      <c r="Q308" s="8" t="inlineStr">
        <is>
          <t>IW28</t>
        </is>
      </c>
      <c r="R308" s="7" t="inlineStr">
        <is>
          <t>כותרת הודעת אחזקה</t>
        </is>
      </c>
      <c r="S308" s="7" t="inlineStr">
        <is>
          <t>Notification header</t>
        </is>
      </c>
      <c r="T308" s="7" t="inlineStr">
        <is>
          <t>6. הודעות אחזקה (Notifications)</t>
        </is>
      </c>
      <c r="U308" s="7" t="inlineStr">
        <is>
          <t>A4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טרנזקציה</t>
        </is>
      </c>
      <c r="Q309" s="8" t="inlineStr">
        <is>
          <t>IW29</t>
        </is>
      </c>
      <c r="R309" s="7" t="inlineStr">
        <is>
          <t>כותרת הודעת אחזקה</t>
        </is>
      </c>
      <c r="S309" s="7" t="inlineStr">
        <is>
          <t>Notification header</t>
        </is>
      </c>
      <c r="T309" s="7" t="inlineStr">
        <is>
          <t>6. הודעות אחזקה (Notifications)</t>
        </is>
      </c>
      <c r="U309" s="7" t="inlineStr">
        <is>
          <t>A4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פונקציה</t>
        </is>
      </c>
      <c r="Q310" s="8" t="inlineStr">
        <is>
          <t>BAPI_ALM_NOTIF_CREATE</t>
        </is>
      </c>
      <c r="R310" s="7" t="inlineStr">
        <is>
          <t>יצירת הודעה דרך ממשק תקני</t>
        </is>
      </c>
      <c r="S310" s="7" t="inlineStr">
        <is>
          <t>Notification header</t>
        </is>
      </c>
      <c r="T310" s="7" t="inlineStr">
        <is>
          <t>6. הודעות אחזקה (Notifications)</t>
        </is>
      </c>
      <c r="U310" s="7" t="inlineStr">
        <is>
          <t>G4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פונקציה</t>
        </is>
      </c>
      <c r="Q311" s="8" t="inlineStr">
        <is>
          <t>BAPI_ALM_NOTIF_DATA_ADD</t>
        </is>
      </c>
      <c r="R311" s="7" t="inlineStr">
        <is>
          <t>הוספת פריט/סיבה/פעילות</t>
        </is>
      </c>
      <c r="S311" s="7" t="inlineStr">
        <is>
          <t>Notification header</t>
        </is>
      </c>
      <c r="T311" s="7" t="inlineStr">
        <is>
          <t>6. הודעות אחזקה (Notifications)</t>
        </is>
      </c>
      <c r="U311" s="7" t="inlineStr">
        <is>
          <t>G4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פונקציה</t>
        </is>
      </c>
      <c r="Q312" s="8" t="inlineStr">
        <is>
          <t>BAPI_ALM_NOTIF_SAVE</t>
        </is>
      </c>
      <c r="R312" s="7" t="inlineStr">
        <is>
          <t>שמירת ההודעה</t>
        </is>
      </c>
      <c r="S312" s="7" t="inlineStr">
        <is>
          <t>Notification header</t>
        </is>
      </c>
      <c r="T312" s="7" t="inlineStr">
        <is>
          <t>6. הודעות אחזקה (Notifications)</t>
        </is>
      </c>
      <c r="U312" s="7" t="inlineStr">
        <is>
          <t>G4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BAPI_ALM_NOTIF_CLOSE</t>
        </is>
      </c>
      <c r="R313" s="7" t="inlineStr">
        <is>
          <t>סגירת ההודעה</t>
        </is>
      </c>
      <c r="S313" s="7" t="inlineStr">
        <is>
          <t>Notification header</t>
        </is>
      </c>
      <c r="T313" s="7" t="inlineStr">
        <is>
          <t>6. הודעות אחזקה (Notifications)</t>
        </is>
      </c>
      <c r="U313" s="7" t="inlineStr">
        <is>
          <t>G4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BAPI_ALM_NOTIF_GET_DETAIL</t>
        </is>
      </c>
      <c r="R314" s="7" t="inlineStr">
        <is>
          <t>שליפת פרטי הודעה מלאים</t>
        </is>
      </c>
      <c r="S314" s="7" t="inlineStr">
        <is>
          <t>Notification header</t>
        </is>
      </c>
      <c r="T314" s="7" t="inlineStr">
        <is>
          <t>6. הודעות אחזקה (Notifications)</t>
        </is>
      </c>
      <c r="U314" s="7" t="inlineStr">
        <is>
          <t>G4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RIQMEL20</t>
        </is>
      </c>
      <c r="R315" s="7" t="inlineStr">
        <is>
          <t>רשימת הודעות (IW28/29)</t>
        </is>
      </c>
      <c r="S315" s="7" t="inlineStr">
        <is>
          <t>Notification header</t>
        </is>
      </c>
      <c r="T315" s="7" t="inlineStr">
        <is>
          <t>6. הודעות אחזקה (Notifications)</t>
        </is>
      </c>
      <c r="U315" s="7" t="inlineStr">
        <is>
          <t>I4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תוכנית</t>
        </is>
      </c>
      <c r="Q316" s="8" t="inlineStr">
        <is>
          <t>RIQMEL00</t>
        </is>
      </c>
      <c r="R316" s="7" t="inlineStr">
        <is>
          <t>ניתוח דפוסי כשל</t>
        </is>
      </c>
      <c r="S316" s="7" t="inlineStr">
        <is>
          <t>Notification header</t>
        </is>
      </c>
      <c r="T316" s="7" t="inlineStr">
        <is>
          <t>6. הודעות אחזקה (Notifications)</t>
        </is>
      </c>
      <c r="U316" s="7" t="inlineStr">
        <is>
          <t>I4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Fiori</t>
        </is>
      </c>
      <c r="Q317" s="8" t="inlineStr">
        <is>
          <t>Report Malfunction (F2215)</t>
        </is>
      </c>
      <c r="R317" s="7" t="inlineStr">
        <is>
          <t>כותרת הודעת אחזקה</t>
        </is>
      </c>
      <c r="S317" s="7" t="inlineStr">
        <is>
          <t>Notification header</t>
        </is>
      </c>
      <c r="T317" s="7" t="inlineStr">
        <is>
          <t>6. הודעות אחזקה (Notifications)</t>
        </is>
      </c>
      <c r="U317" s="7" t="inlineStr">
        <is>
          <t>N4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טבלה</t>
        </is>
      </c>
      <c r="Q318" s="8" t="inlineStr">
        <is>
          <t>QMFE</t>
        </is>
      </c>
      <c r="R318" s="7" t="inlineStr">
        <is>
          <t>פריטי הודעה (ליקויים)</t>
        </is>
      </c>
      <c r="S318" s="7" t="inlineStr">
        <is>
          <t>Notification items (damage)</t>
        </is>
      </c>
      <c r="T318" s="7" t="inlineStr">
        <is>
          <t>6. הודעות אחזקה (Notifications)</t>
        </is>
      </c>
      <c r="U318" s="7" t="inlineStr">
        <is>
          <t>A11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QMNUM</t>
        </is>
      </c>
      <c r="R319" s="7" t="inlineStr">
        <is>
          <t>מספר הודעה</t>
        </is>
      </c>
      <c r="S319" s="7" t="inlineStr">
        <is>
          <t>Notification number</t>
        </is>
      </c>
      <c r="T319" s="7" t="inlineStr">
        <is>
          <t>6. הודעות אחזקה (Notifications)</t>
        </is>
      </c>
      <c r="U319" s="7" t="inlineStr">
        <is>
          <t>D12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FENUM</t>
        </is>
      </c>
      <c r="R320" s="7" t="inlineStr">
        <is>
          <t>מספר פריט</t>
        </is>
      </c>
      <c r="S320" s="7" t="inlineStr">
        <is>
          <t>Item number</t>
        </is>
      </c>
      <c r="T320" s="7" t="inlineStr">
        <is>
          <t>6. הודעות אחזקה (Notifications)</t>
        </is>
      </c>
      <c r="U320" s="7" t="inlineStr">
        <is>
          <t>D13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FEGRP</t>
        </is>
      </c>
      <c r="R321" s="7" t="inlineStr">
        <is>
          <t>קבוצת קוד ליקוי</t>
        </is>
      </c>
      <c r="S321" s="7" t="inlineStr">
        <is>
          <t>Damage code group</t>
        </is>
      </c>
      <c r="T321" s="7" t="inlineStr">
        <is>
          <t>6. הודעות אחזקה (Notifications)</t>
        </is>
      </c>
      <c r="U321" s="7" t="inlineStr">
        <is>
          <t>D14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FECOD</t>
        </is>
      </c>
      <c r="R322" s="7" t="inlineStr">
        <is>
          <t>קוד ליקוי</t>
        </is>
      </c>
      <c r="S322" s="7" t="inlineStr">
        <is>
          <t>Damage code</t>
        </is>
      </c>
      <c r="T322" s="7" t="inlineStr">
        <is>
          <t>6. הודעות אחזקה (Notifications)</t>
        </is>
      </c>
      <c r="U322" s="7" t="inlineStr">
        <is>
          <t>D15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שדה</t>
        </is>
      </c>
      <c r="Q323" s="8" t="inlineStr">
        <is>
          <t>OTGRP</t>
        </is>
      </c>
      <c r="R323" s="7" t="inlineStr">
        <is>
          <t>קבוצת אובייקט חלקי</t>
        </is>
      </c>
      <c r="S323" s="7" t="inlineStr">
        <is>
          <t>Object part code group</t>
        </is>
      </c>
      <c r="T323" s="7" t="inlineStr">
        <is>
          <t>6. הודעות אחזקה (Notifications)</t>
        </is>
      </c>
      <c r="U323" s="7" t="inlineStr">
        <is>
          <t>D16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שדה</t>
        </is>
      </c>
      <c r="Q324" s="8" t="inlineStr">
        <is>
          <t>OTEIL</t>
        </is>
      </c>
      <c r="R324" s="7" t="inlineStr">
        <is>
          <t>קוד אובייקט חלקי</t>
        </is>
      </c>
      <c r="S324" s="7" t="inlineStr">
        <is>
          <t>Object part code</t>
        </is>
      </c>
      <c r="T324" s="7" t="inlineStr">
        <is>
          <t>6. הודעות אחזקה (Notifications)</t>
        </is>
      </c>
      <c r="U324" s="7" t="inlineStr">
        <is>
          <t>D17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טרנזקציה</t>
        </is>
      </c>
      <c r="Q325" s="8" t="inlineStr">
        <is>
          <t>IW22</t>
        </is>
      </c>
      <c r="R325" s="7" t="inlineStr">
        <is>
          <t>פריטי הודעה (ליקויים)</t>
        </is>
      </c>
      <c r="S325" s="7" t="inlineStr">
        <is>
          <t>Notification items (damage)</t>
        </is>
      </c>
      <c r="T325" s="7" t="inlineStr">
        <is>
          <t>6. הודעות אחזקה (Notifications)</t>
        </is>
      </c>
      <c r="U325" s="7" t="inlineStr">
        <is>
          <t>A12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טרנזקציה</t>
        </is>
      </c>
      <c r="Q326" s="8" t="inlineStr">
        <is>
          <t>IW66</t>
        </is>
      </c>
      <c r="R326" s="7" t="inlineStr">
        <is>
          <t>פריטי הודעה (ליקויים)</t>
        </is>
      </c>
      <c r="S326" s="7" t="inlineStr">
        <is>
          <t>Notification items (damage)</t>
        </is>
      </c>
      <c r="T326" s="7" t="inlineStr">
        <is>
          <t>6. הודעות אחזקה (Notifications)</t>
        </is>
      </c>
      <c r="U326" s="7" t="inlineStr">
        <is>
          <t>A12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פונקציה</t>
        </is>
      </c>
      <c r="Q327" s="8" t="inlineStr">
        <is>
          <t>BAPI_ALM_NOTIF_DATA_ADD</t>
        </is>
      </c>
      <c r="R327" s="7" t="inlineStr">
        <is>
          <t>הוספת פריט ליקוי</t>
        </is>
      </c>
      <c r="S327" s="7" t="inlineStr">
        <is>
          <t>Notification items (damage)</t>
        </is>
      </c>
      <c r="T327" s="7" t="inlineStr">
        <is>
          <t>6. הודעות אחזקה (Notifications)</t>
        </is>
      </c>
      <c r="U327" s="7" t="inlineStr">
        <is>
          <t>G12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פונקציה</t>
        </is>
      </c>
      <c r="Q328" s="8" t="inlineStr">
        <is>
          <t>NOTIF_ITEM_READ</t>
        </is>
      </c>
      <c r="R328" s="7" t="inlineStr">
        <is>
          <t>קריאת פריטי הודעה</t>
        </is>
      </c>
      <c r="S328" s="7" t="inlineStr">
        <is>
          <t>Notification items (damage)</t>
        </is>
      </c>
      <c r="T328" s="7" t="inlineStr">
        <is>
          <t>6. הודעות אחזקה (Notifications)</t>
        </is>
      </c>
      <c r="U328" s="7" t="inlineStr">
        <is>
          <t>G12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תוכנית</t>
        </is>
      </c>
      <c r="Q329" s="8" t="inlineStr">
        <is>
          <t>RIQMEL00</t>
        </is>
      </c>
      <c r="R329" s="7" t="inlineStr">
        <is>
          <t>ניתוח פריטי ליקוי ודפוסי כשל</t>
        </is>
      </c>
      <c r="S329" s="7" t="inlineStr">
        <is>
          <t>Notification items (damage)</t>
        </is>
      </c>
      <c r="T329" s="7" t="inlineStr">
        <is>
          <t>6. הודעות אחזקה (Notifications)</t>
        </is>
      </c>
      <c r="U329" s="7" t="inlineStr">
        <is>
          <t>I12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Fiori</t>
        </is>
      </c>
      <c r="Q330" s="8" t="inlineStr">
        <is>
          <t>Find Maintenance Notification (אמת ID)</t>
        </is>
      </c>
      <c r="R330" s="7" t="inlineStr">
        <is>
          <t>פריטי הודעה (ליקויים)</t>
        </is>
      </c>
      <c r="S330" s="7" t="inlineStr">
        <is>
          <t>Notification items (damage)</t>
        </is>
      </c>
      <c r="T330" s="7" t="inlineStr">
        <is>
          <t>6. הודעות אחזקה (Notifications)</t>
        </is>
      </c>
      <c r="U330" s="7" t="inlineStr">
        <is>
          <t>N12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טבלה</t>
        </is>
      </c>
      <c r="Q331" s="8" t="inlineStr">
        <is>
          <t>QMUR</t>
        </is>
      </c>
      <c r="R331" s="7" t="inlineStr">
        <is>
          <t>סיבות לליקוי</t>
        </is>
      </c>
      <c r="S331" s="7" t="inlineStr">
        <is>
          <t>Notification causes</t>
        </is>
      </c>
      <c r="T331" s="7" t="inlineStr">
        <is>
          <t>6. הודעות אחזקה (Notifications)</t>
        </is>
      </c>
      <c r="U331" s="7" t="inlineStr">
        <is>
          <t>A19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QMNUM</t>
        </is>
      </c>
      <c r="R332" s="7" t="inlineStr">
        <is>
          <t>מספר הודעה</t>
        </is>
      </c>
      <c r="S332" s="7" t="inlineStr">
        <is>
          <t>Notification number</t>
        </is>
      </c>
      <c r="T332" s="7" t="inlineStr">
        <is>
          <t>6. הודעות אחזקה (Notifications)</t>
        </is>
      </c>
      <c r="U332" s="7" t="inlineStr">
        <is>
          <t>D20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שדה</t>
        </is>
      </c>
      <c r="Q333" s="8" t="inlineStr">
        <is>
          <t>FENUM</t>
        </is>
      </c>
      <c r="R333" s="7" t="inlineStr">
        <is>
          <t>מספר פריט</t>
        </is>
      </c>
      <c r="S333" s="7" t="inlineStr">
        <is>
          <t>Item number</t>
        </is>
      </c>
      <c r="T333" s="7" t="inlineStr">
        <is>
          <t>6. הודעות אחזקה (Notifications)</t>
        </is>
      </c>
      <c r="U333" s="7" t="inlineStr">
        <is>
          <t>D21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שדה</t>
        </is>
      </c>
      <c r="Q334" s="8" t="inlineStr">
        <is>
          <t>URNUM</t>
        </is>
      </c>
      <c r="R334" s="7" t="inlineStr">
        <is>
          <t>מספר סיבה</t>
        </is>
      </c>
      <c r="S334" s="7" t="inlineStr">
        <is>
          <t>Cause number</t>
        </is>
      </c>
      <c r="T334" s="7" t="inlineStr">
        <is>
          <t>6. הודעות אחזקה (Notifications)</t>
        </is>
      </c>
      <c r="U334" s="7" t="inlineStr">
        <is>
          <t>D22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שדה</t>
        </is>
      </c>
      <c r="Q335" s="8" t="inlineStr">
        <is>
          <t>URGRP</t>
        </is>
      </c>
      <c r="R335" s="7" t="inlineStr">
        <is>
          <t>קבוצת קוד סיבה</t>
        </is>
      </c>
      <c r="S335" s="7" t="inlineStr">
        <is>
          <t>Cause code group</t>
        </is>
      </c>
      <c r="T335" s="7" t="inlineStr">
        <is>
          <t>6. הודעות אחזקה (Notifications)</t>
        </is>
      </c>
      <c r="U335" s="7" t="inlineStr">
        <is>
          <t>D23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שדה</t>
        </is>
      </c>
      <c r="Q336" s="8" t="inlineStr">
        <is>
          <t>URCOD</t>
        </is>
      </c>
      <c r="R336" s="7" t="inlineStr">
        <is>
          <t>קוד סיבה</t>
        </is>
      </c>
      <c r="S336" s="7" t="inlineStr">
        <is>
          <t>Cause code</t>
        </is>
      </c>
      <c r="T336" s="7" t="inlineStr">
        <is>
          <t>6. הודעות אחזקה (Notifications)</t>
        </is>
      </c>
      <c r="U336" s="7" t="inlineStr">
        <is>
          <t>D24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טרנזקציה</t>
        </is>
      </c>
      <c r="Q337" s="8" t="inlineStr">
        <is>
          <t>IW22</t>
        </is>
      </c>
      <c r="R337" s="7" t="inlineStr">
        <is>
          <t>סיבות לליקוי</t>
        </is>
      </c>
      <c r="S337" s="7" t="inlineStr">
        <is>
          <t>Notification causes</t>
        </is>
      </c>
      <c r="T337" s="7" t="inlineStr">
        <is>
          <t>6. הודעות אחזקה (Notifications)</t>
        </is>
      </c>
      <c r="U337" s="7" t="inlineStr">
        <is>
          <t>A20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טרנזקציה</t>
        </is>
      </c>
      <c r="Q338" s="8" t="inlineStr">
        <is>
          <t>IW67</t>
        </is>
      </c>
      <c r="R338" s="7" t="inlineStr">
        <is>
          <t>סיבות לליקוי</t>
        </is>
      </c>
      <c r="S338" s="7" t="inlineStr">
        <is>
          <t>Notification causes</t>
        </is>
      </c>
      <c r="T338" s="7" t="inlineStr">
        <is>
          <t>6. הודעות אחזקה (Notifications)</t>
        </is>
      </c>
      <c r="U338" s="7" t="inlineStr">
        <is>
          <t>A20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פונקציה</t>
        </is>
      </c>
      <c r="Q339" s="8" t="inlineStr">
        <is>
          <t>NOTIF_CAUSE_READ</t>
        </is>
      </c>
      <c r="R339" s="7" t="inlineStr">
        <is>
          <t>קריאת סיבות הליקוי</t>
        </is>
      </c>
      <c r="S339" s="7" t="inlineStr">
        <is>
          <t>Notification causes</t>
        </is>
      </c>
      <c r="T339" s="7" t="inlineStr">
        <is>
          <t>6. הודעות אחזקה (Notifications)</t>
        </is>
      </c>
      <c r="U339" s="7" t="inlineStr">
        <is>
          <t>G20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תוכנית</t>
        </is>
      </c>
      <c r="Q340" s="8" t="inlineStr">
        <is>
          <t>RIQMUR00</t>
        </is>
      </c>
      <c r="R340" s="7" t="inlineStr">
        <is>
          <t>דוח סיבות לניתוח שורש (RCA)</t>
        </is>
      </c>
      <c r="S340" s="7" t="inlineStr">
        <is>
          <t>Notification causes</t>
        </is>
      </c>
      <c r="T340" s="7" t="inlineStr">
        <is>
          <t>6. הודעות אחזקה (Notifications)</t>
        </is>
      </c>
      <c r="U340" s="7" t="inlineStr">
        <is>
          <t>I20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Fiori</t>
        </is>
      </c>
      <c r="Q341" s="8" t="inlineStr">
        <is>
          <t>Find Maintenance Notification (אמת ID)</t>
        </is>
      </c>
      <c r="R341" s="7" t="inlineStr">
        <is>
          <t>סיבות לליקוי</t>
        </is>
      </c>
      <c r="S341" s="7" t="inlineStr">
        <is>
          <t>Notification causes</t>
        </is>
      </c>
      <c r="T341" s="7" t="inlineStr">
        <is>
          <t>6. הודעות אחזקה (Notifications)</t>
        </is>
      </c>
      <c r="U341" s="7" t="inlineStr">
        <is>
          <t>N20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טבלה</t>
        </is>
      </c>
      <c r="Q342" s="8" t="inlineStr">
        <is>
          <t>QMMA</t>
        </is>
      </c>
      <c r="R342" s="7" t="inlineStr">
        <is>
          <t>פעילויות שבוצעו (במקום QMAA הלא-תקני)</t>
        </is>
      </c>
      <c r="S342" s="7" t="inlineStr">
        <is>
          <t>Notification activities (correct table)</t>
        </is>
      </c>
      <c r="T342" s="7" t="inlineStr">
        <is>
          <t>6. הודעות אחזקה (Notifications)</t>
        </is>
      </c>
      <c r="U342" s="7" t="inlineStr">
        <is>
          <t>A26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QMNUM</t>
        </is>
      </c>
      <c r="R343" s="7" t="inlineStr">
        <is>
          <t>מספר הודעה</t>
        </is>
      </c>
      <c r="S343" s="7" t="inlineStr">
        <is>
          <t>Notification number</t>
        </is>
      </c>
      <c r="T343" s="7" t="inlineStr">
        <is>
          <t>6. הודעות אחזקה (Notifications)</t>
        </is>
      </c>
      <c r="U343" s="7" t="inlineStr">
        <is>
          <t>D27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שדה</t>
        </is>
      </c>
      <c r="Q344" s="8" t="inlineStr">
        <is>
          <t>MANUM</t>
        </is>
      </c>
      <c r="R344" s="7" t="inlineStr">
        <is>
          <t>מספר פעילות</t>
        </is>
      </c>
      <c r="S344" s="7" t="inlineStr">
        <is>
          <t>Activity number</t>
        </is>
      </c>
      <c r="T344" s="7" t="inlineStr">
        <is>
          <t>6. הודעות אחזקה (Notifications)</t>
        </is>
      </c>
      <c r="U344" s="7" t="inlineStr">
        <is>
          <t>D28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שדה</t>
        </is>
      </c>
      <c r="Q345" s="8" t="inlineStr">
        <is>
          <t>MNGRP</t>
        </is>
      </c>
      <c r="R345" s="7" t="inlineStr">
        <is>
          <t>קבוצת קוד פעילות</t>
        </is>
      </c>
      <c r="S345" s="7" t="inlineStr">
        <is>
          <t>Activity code group</t>
        </is>
      </c>
      <c r="T345" s="7" t="inlineStr">
        <is>
          <t>6. הודעות אחזקה (Notifications)</t>
        </is>
      </c>
      <c r="U345" s="7" t="inlineStr">
        <is>
          <t>D29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שדה</t>
        </is>
      </c>
      <c r="Q346" s="8" t="inlineStr">
        <is>
          <t>MNCOD</t>
        </is>
      </c>
      <c r="R346" s="7" t="inlineStr">
        <is>
          <t>קוד פעילות</t>
        </is>
      </c>
      <c r="S346" s="7" t="inlineStr">
        <is>
          <t>Activity code</t>
        </is>
      </c>
      <c r="T346" s="7" t="inlineStr">
        <is>
          <t>6. הודעות אחזקה (Notifications)</t>
        </is>
      </c>
      <c r="U346" s="7" t="inlineStr">
        <is>
          <t>D30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טרנזקציה</t>
        </is>
      </c>
      <c r="Q347" s="8" t="inlineStr">
        <is>
          <t>IW22</t>
        </is>
      </c>
      <c r="R347" s="7" t="inlineStr">
        <is>
          <t>פעילויות שבוצעו (במקום QMAA הלא-תקני)</t>
        </is>
      </c>
      <c r="S347" s="7" t="inlineStr">
        <is>
          <t>Notification activities (correct table)</t>
        </is>
      </c>
      <c r="T347" s="7" t="inlineStr">
        <is>
          <t>6. הודעות אחזקה (Notifications)</t>
        </is>
      </c>
      <c r="U347" s="7" t="inlineStr">
        <is>
          <t>A27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טרנזקציה</t>
        </is>
      </c>
      <c r="Q348" s="8" t="inlineStr">
        <is>
          <t>IW67</t>
        </is>
      </c>
      <c r="R348" s="7" t="inlineStr">
        <is>
          <t>פעילויות שבוצעו (במקום QMAA הלא-תקני)</t>
        </is>
      </c>
      <c r="S348" s="7" t="inlineStr">
        <is>
          <t>Notification activities (correct table)</t>
        </is>
      </c>
      <c r="T348" s="7" t="inlineStr">
        <is>
          <t>6. הודעות אחזקה (Notifications)</t>
        </is>
      </c>
      <c r="U348" s="7" t="inlineStr">
        <is>
          <t>A27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פונקציה</t>
        </is>
      </c>
      <c r="Q349" s="8" t="inlineStr">
        <is>
          <t>NOTIF_ACTIVITY_READ</t>
        </is>
      </c>
      <c r="R349" s="7" t="inlineStr">
        <is>
          <t>קריאת פעילויות שבוצעו</t>
        </is>
      </c>
      <c r="S349" s="7" t="inlineStr">
        <is>
          <t>Notification activities (correct table)</t>
        </is>
      </c>
      <c r="T349" s="7" t="inlineStr">
        <is>
          <t>6. הודעות אחזקה (Notifications)</t>
        </is>
      </c>
      <c r="U349" s="7" t="inlineStr">
        <is>
          <t>G27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תוכנית</t>
        </is>
      </c>
      <c r="Q350" s="8" t="inlineStr">
        <is>
          <t>RIQMEL00</t>
        </is>
      </c>
      <c r="R350" s="7" t="inlineStr">
        <is>
          <t>ניתוח פעילויות הודעה</t>
        </is>
      </c>
      <c r="S350" s="7" t="inlineStr">
        <is>
          <t>Notification activities (correct table)</t>
        </is>
      </c>
      <c r="T350" s="7" t="inlineStr">
        <is>
          <t>6. הודעות אחזקה (Notifications)</t>
        </is>
      </c>
      <c r="U350" s="7" t="inlineStr">
        <is>
          <t>I27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Fiori</t>
        </is>
      </c>
      <c r="Q351" s="8" t="inlineStr">
        <is>
          <t>Report Malfunction (F2215)</t>
        </is>
      </c>
      <c r="R351" s="7" t="inlineStr">
        <is>
          <t>פעילויות שבוצעו (במקום QMAA הלא-תקני)</t>
        </is>
      </c>
      <c r="S351" s="7" t="inlineStr">
        <is>
          <t>Notification activities (correct table)</t>
        </is>
      </c>
      <c r="T351" s="7" t="inlineStr">
        <is>
          <t>6. הודעות אחזקה (Notifications)</t>
        </is>
      </c>
      <c r="U351" s="7" t="inlineStr">
        <is>
          <t>N27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טבלה</t>
        </is>
      </c>
      <c r="Q352" s="8" t="inlineStr">
        <is>
          <t>QMSM</t>
        </is>
      </c>
      <c r="R352" s="7" t="inlineStr">
        <is>
          <t>משימות לטיפול (במקום QMAS הלא-תקני)</t>
        </is>
      </c>
      <c r="S352" s="7" t="inlineStr">
        <is>
          <t>Notification tasks (correct table)</t>
        </is>
      </c>
      <c r="T352" s="7" t="inlineStr">
        <is>
          <t>6. הודעות אחזקה (Notifications)</t>
        </is>
      </c>
      <c r="U352" s="7" t="inlineStr">
        <is>
          <t>A32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שדה</t>
        </is>
      </c>
      <c r="Q353" s="8" t="inlineStr">
        <is>
          <t>QMNUM</t>
        </is>
      </c>
      <c r="R353" s="7" t="inlineStr">
        <is>
          <t>מספר הודעה</t>
        </is>
      </c>
      <c r="S353" s="7" t="inlineStr">
        <is>
          <t>Notification number</t>
        </is>
      </c>
      <c r="T353" s="7" t="inlineStr">
        <is>
          <t>6. הודעות אחזקה (Notifications)</t>
        </is>
      </c>
      <c r="U353" s="7" t="inlineStr">
        <is>
          <t>D33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שדה</t>
        </is>
      </c>
      <c r="Q354" s="8" t="inlineStr">
        <is>
          <t>MANUM</t>
        </is>
      </c>
      <c r="R354" s="7" t="inlineStr">
        <is>
          <t>מספר משימה</t>
        </is>
      </c>
      <c r="S354" s="7" t="inlineStr">
        <is>
          <t>Task number</t>
        </is>
      </c>
      <c r="T354" s="7" t="inlineStr">
        <is>
          <t>6. הודעות אחזקה (Notifications)</t>
        </is>
      </c>
      <c r="U354" s="7" t="inlineStr">
        <is>
          <t>D34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שדה</t>
        </is>
      </c>
      <c r="Q355" s="8" t="inlineStr">
        <is>
          <t>MNGRP</t>
        </is>
      </c>
      <c r="R355" s="7" t="inlineStr">
        <is>
          <t>קבוצת קוד משימה</t>
        </is>
      </c>
      <c r="S355" s="7" t="inlineStr">
        <is>
          <t>Task code group</t>
        </is>
      </c>
      <c r="T355" s="7" t="inlineStr">
        <is>
          <t>6. הודעות אחזקה (Notifications)</t>
        </is>
      </c>
      <c r="U355" s="7" t="inlineStr">
        <is>
          <t>D35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MNCOD</t>
        </is>
      </c>
      <c r="R356" s="7" t="inlineStr">
        <is>
          <t>קוד משימה</t>
        </is>
      </c>
      <c r="S356" s="7" t="inlineStr">
        <is>
          <t>Task code</t>
        </is>
      </c>
      <c r="T356" s="7" t="inlineStr">
        <is>
          <t>6. הודעות אחזקה (Notifications)</t>
        </is>
      </c>
      <c r="U356" s="7" t="inlineStr">
        <is>
          <t>D36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PSTER</t>
        </is>
      </c>
      <c r="R357" s="7" t="inlineStr">
        <is>
          <t>מועד יעד למשימה</t>
        </is>
      </c>
      <c r="S357" s="7" t="inlineStr">
        <is>
          <t>Task planned completion</t>
        </is>
      </c>
      <c r="T357" s="7" t="inlineStr">
        <is>
          <t>6. הודעות אחזקה (Notifications)</t>
        </is>
      </c>
      <c r="U357" s="7" t="inlineStr">
        <is>
          <t>D37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טרנזקציה</t>
        </is>
      </c>
      <c r="Q358" s="8" t="inlineStr">
        <is>
          <t>IW22</t>
        </is>
      </c>
      <c r="R358" s="7" t="inlineStr">
        <is>
          <t>משימות לטיפול (במקום QMAS הלא-תקני)</t>
        </is>
      </c>
      <c r="S358" s="7" t="inlineStr">
        <is>
          <t>Notification tasks (correct table)</t>
        </is>
      </c>
      <c r="T358" s="7" t="inlineStr">
        <is>
          <t>6. הודעות אחזקה (Notifications)</t>
        </is>
      </c>
      <c r="U358" s="7" t="inlineStr">
        <is>
          <t>A33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טרנזקציה</t>
        </is>
      </c>
      <c r="Q359" s="8" t="inlineStr">
        <is>
          <t>IW66</t>
        </is>
      </c>
      <c r="R359" s="7" t="inlineStr">
        <is>
          <t>משימות לטיפול (במקום QMAS הלא-תקני)</t>
        </is>
      </c>
      <c r="S359" s="7" t="inlineStr">
        <is>
          <t>Notification tasks (correct table)</t>
        </is>
      </c>
      <c r="T359" s="7" t="inlineStr">
        <is>
          <t>6. הודעות אחזקה (Notifications)</t>
        </is>
      </c>
      <c r="U359" s="7" t="inlineStr">
        <is>
          <t>A33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פונקציה</t>
        </is>
      </c>
      <c r="Q360" s="8" t="inlineStr">
        <is>
          <t>NOTIF_TASK_READ</t>
        </is>
      </c>
      <c r="R360" s="7" t="inlineStr">
        <is>
          <t>קריאת משימות</t>
        </is>
      </c>
      <c r="S360" s="7" t="inlineStr">
        <is>
          <t>Notification tasks (correct table)</t>
        </is>
      </c>
      <c r="T360" s="7" t="inlineStr">
        <is>
          <t>6. הודעות אחזקה (Notifications)</t>
        </is>
      </c>
      <c r="U360" s="7" t="inlineStr">
        <is>
          <t>G33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פונקציה</t>
        </is>
      </c>
      <c r="Q361" s="8" t="inlineStr">
        <is>
          <t>BAPI_ALM_NOTIF_TASK_ADD</t>
        </is>
      </c>
      <c r="R361" s="7" t="inlineStr">
        <is>
          <t>הוספת משימה</t>
        </is>
      </c>
      <c r="S361" s="7" t="inlineStr">
        <is>
          <t>Notification tasks (correct table)</t>
        </is>
      </c>
      <c r="T361" s="7" t="inlineStr">
        <is>
          <t>6. הודעות אחזקה (Notifications)</t>
        </is>
      </c>
      <c r="U361" s="7" t="inlineStr">
        <is>
          <t>G33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תוכנית</t>
        </is>
      </c>
      <c r="Q362" s="8" t="inlineStr">
        <is>
          <t>RIQMEL20</t>
        </is>
      </c>
      <c r="R362" s="7" t="inlineStr">
        <is>
          <t>מעקב משימות פתוחות</t>
        </is>
      </c>
      <c r="S362" s="7" t="inlineStr">
        <is>
          <t>Notification tasks (correct table)</t>
        </is>
      </c>
      <c r="T362" s="7" t="inlineStr">
        <is>
          <t>6. הודעות אחזקה (Notifications)</t>
        </is>
      </c>
      <c r="U362" s="7" t="inlineStr">
        <is>
          <t>I33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Fiori</t>
        </is>
      </c>
      <c r="Q363" s="8" t="inlineStr">
        <is>
          <t>Find Maintenance Notification (אמת ID)</t>
        </is>
      </c>
      <c r="R363" s="7" t="inlineStr">
        <is>
          <t>משימות לטיפול (במקום QMAS הלא-תקני)</t>
        </is>
      </c>
      <c r="S363" s="7" t="inlineStr">
        <is>
          <t>Notification tasks (correct table)</t>
        </is>
      </c>
      <c r="T363" s="7" t="inlineStr">
        <is>
          <t>6. הודעות אחזקה (Notifications)</t>
        </is>
      </c>
      <c r="U363" s="7" t="inlineStr">
        <is>
          <t>N33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User Exit</t>
        </is>
      </c>
      <c r="Q364" s="8" t="inlineStr">
        <is>
          <t>QQMA0014</t>
        </is>
      </c>
      <c r="R364" s="7" t="inlineStr">
        <is>
          <t>בדיקת לקוח לפני שמירת הודעה (Check before save)</t>
        </is>
      </c>
      <c r="S364" s="7" t="inlineStr"/>
      <c r="T364" s="7" t="inlineStr">
        <is>
          <t>6. הודעות אחזקה (Notifications)</t>
        </is>
      </c>
      <c r="U364" s="7" t="inlineStr">
        <is>
          <t>A42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User Exit</t>
        </is>
      </c>
      <c r="Q365" s="8" t="inlineStr">
        <is>
          <t>QQMA0010</t>
        </is>
      </c>
      <c r="R365" s="7" t="inlineStr">
        <is>
          <t>הרחבת שדות וברירות מחדל בכותרת ההודעה</t>
        </is>
      </c>
      <c r="S365" s="7" t="inlineStr"/>
      <c r="T365" s="7" t="inlineStr">
        <is>
          <t>6. הודעות אחזקה (Notifications)</t>
        </is>
      </c>
      <c r="U365" s="7" t="inlineStr">
        <is>
          <t>A43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User Exit</t>
        </is>
      </c>
      <c r="Q366" s="8" t="inlineStr">
        <is>
          <t>QQMA0025</t>
        </is>
      </c>
      <c r="R366" s="7" t="inlineStr">
        <is>
          <t>הרחבה בעת השלמת/סגירת הודעה</t>
        </is>
      </c>
      <c r="S366" s="7" t="inlineStr"/>
      <c r="T366" s="7" t="inlineStr">
        <is>
          <t>6. הודעות אחזקה (Notifications)</t>
        </is>
      </c>
      <c r="U366" s="7" t="inlineStr">
        <is>
          <t>A44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BAdI</t>
        </is>
      </c>
      <c r="Q367" s="8" t="inlineStr">
        <is>
          <t>NOTIF_EVENT_POST</t>
        </is>
      </c>
      <c r="R367" s="7" t="inlineStr">
        <is>
          <t>BAdI לאירוע רישום/שמירת הודעה (לוגיקה לאחר שמירה)</t>
        </is>
      </c>
      <c r="S367" s="7" t="inlineStr"/>
      <c r="T367" s="7" t="inlineStr">
        <is>
          <t>6. הודעות אחזקה (Notifications)</t>
        </is>
      </c>
      <c r="U367" s="7" t="inlineStr">
        <is>
          <t>A45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BAdI</t>
        </is>
      </c>
      <c r="Q368" s="8" t="inlineStr">
        <is>
          <t>NOTIF_EVENT_SAVE</t>
        </is>
      </c>
      <c r="R368" s="7" t="inlineStr">
        <is>
          <t>BAdI לאירוע שמירת הודעה (בדיקות לפני commit)</t>
        </is>
      </c>
      <c r="S368" s="7" t="inlineStr"/>
      <c r="T368" s="7" t="inlineStr">
        <is>
          <t>6. הודעות אחזקה (Notifications)</t>
        </is>
      </c>
      <c r="U368" s="7" t="inlineStr">
        <is>
          <t>A46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טבלה</t>
        </is>
      </c>
      <c r="Q369" s="8" t="inlineStr">
        <is>
          <t>AUFK</t>
        </is>
      </c>
      <c r="R369" s="7" t="inlineStr">
        <is>
          <t>נתוני אב של פקודת עבודה</t>
        </is>
      </c>
      <c r="S369" s="7" t="inlineStr">
        <is>
          <t>Order master data</t>
        </is>
      </c>
      <c r="T369" s="7" t="inlineStr">
        <is>
          <t>7. פקודות עבודה (פק"ע)</t>
        </is>
      </c>
      <c r="U369" s="7" t="inlineStr">
        <is>
          <t>A3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שדה</t>
        </is>
      </c>
      <c r="Q370" s="8" t="inlineStr">
        <is>
          <t>AUFNR</t>
        </is>
      </c>
      <c r="R370" s="7" t="inlineStr">
        <is>
          <t>מספר פק"ע</t>
        </is>
      </c>
      <c r="S370" s="7" t="inlineStr">
        <is>
          <t>Order number</t>
        </is>
      </c>
      <c r="T370" s="7" t="inlineStr">
        <is>
          <t>7. פקודות עבודה (פק"ע)</t>
        </is>
      </c>
      <c r="U370" s="7" t="inlineStr">
        <is>
          <t>D4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שדה</t>
        </is>
      </c>
      <c r="Q371" s="8" t="inlineStr">
        <is>
          <t>AUART</t>
        </is>
      </c>
      <c r="R371" s="7" t="inlineStr">
        <is>
          <t>סוג פק"ע</t>
        </is>
      </c>
      <c r="S371" s="7" t="inlineStr">
        <is>
          <t>Order type (PM01/02/03)</t>
        </is>
      </c>
      <c r="T371" s="7" t="inlineStr">
        <is>
          <t>7. פקודות עבודה (פק"ע)</t>
        </is>
      </c>
      <c r="U371" s="7" t="inlineStr">
        <is>
          <t>D5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שדה</t>
        </is>
      </c>
      <c r="Q372" s="8" t="inlineStr">
        <is>
          <t>KTEXT</t>
        </is>
      </c>
      <c r="R372" s="7" t="inlineStr">
        <is>
          <t>תיאור הפק"ע</t>
        </is>
      </c>
      <c r="S372" s="7" t="inlineStr">
        <is>
          <t>Order short text</t>
        </is>
      </c>
      <c r="T372" s="7" t="inlineStr">
        <is>
          <t>7. פקודות עבודה (פק"ע)</t>
        </is>
      </c>
      <c r="U372" s="7" t="inlineStr">
        <is>
          <t>D6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שדה</t>
        </is>
      </c>
      <c r="Q373" s="8" t="inlineStr">
        <is>
          <t>OBJNR</t>
        </is>
      </c>
      <c r="R373" s="7" t="inlineStr">
        <is>
          <t>מפתח אובייקט</t>
        </is>
      </c>
      <c r="S373" s="7" t="inlineStr">
        <is>
          <t>Object number (status/CO)</t>
        </is>
      </c>
      <c r="T373" s="7" t="inlineStr">
        <is>
          <t>7. פקודות עבודה (פק"ע)</t>
        </is>
      </c>
      <c r="U373" s="7" t="inlineStr">
        <is>
          <t>D7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שדה</t>
        </is>
      </c>
      <c r="Q374" s="8" t="inlineStr">
        <is>
          <t>KOSTV</t>
        </is>
      </c>
      <c r="R374" s="7" t="inlineStr">
        <is>
          <t>מרכז עלות אחראי</t>
        </is>
      </c>
      <c r="S374" s="7" t="inlineStr">
        <is>
          <t>Responsible cost center</t>
        </is>
      </c>
      <c r="T374" s="7" t="inlineStr">
        <is>
          <t>7. פקודות עבודה (פק"ע)</t>
        </is>
      </c>
      <c r="U374" s="7" t="inlineStr">
        <is>
          <t>D8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טרנזקציה</t>
        </is>
      </c>
      <c r="Q375" s="8" t="inlineStr">
        <is>
          <t>IW31</t>
        </is>
      </c>
      <c r="R375" s="7" t="inlineStr">
        <is>
          <t>נתוני אב של פקודת עבודה</t>
        </is>
      </c>
      <c r="S375" s="7" t="inlineStr">
        <is>
          <t>Order master data</t>
        </is>
      </c>
      <c r="T375" s="7" t="inlineStr">
        <is>
          <t>7. פקודות עבודה (פק"ע)</t>
        </is>
      </c>
      <c r="U375" s="7" t="inlineStr">
        <is>
          <t>A4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טרנזקציה</t>
        </is>
      </c>
      <c r="Q376" s="8" t="inlineStr">
        <is>
          <t>IW32</t>
        </is>
      </c>
      <c r="R376" s="7" t="inlineStr">
        <is>
          <t>נתוני אב של פקודת עבודה</t>
        </is>
      </c>
      <c r="S376" s="7" t="inlineStr">
        <is>
          <t>Order master data</t>
        </is>
      </c>
      <c r="T376" s="7" t="inlineStr">
        <is>
          <t>7. פקודות עבודה (פק"ע)</t>
        </is>
      </c>
      <c r="U376" s="7" t="inlineStr">
        <is>
          <t>A4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טרנזקציה</t>
        </is>
      </c>
      <c r="Q377" s="8" t="inlineStr">
        <is>
          <t>IW33</t>
        </is>
      </c>
      <c r="R377" s="7" t="inlineStr">
        <is>
          <t>נתוני אב של פקודת עבודה</t>
        </is>
      </c>
      <c r="S377" s="7" t="inlineStr">
        <is>
          <t>Order master data</t>
        </is>
      </c>
      <c r="T377" s="7" t="inlineStr">
        <is>
          <t>7. פקודות עבודה (פק"ע)</t>
        </is>
      </c>
      <c r="U377" s="7" t="inlineStr">
        <is>
          <t>A4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טרנזקציה</t>
        </is>
      </c>
      <c r="Q378" s="8" t="inlineStr">
        <is>
          <t>IW34</t>
        </is>
      </c>
      <c r="R378" s="7" t="inlineStr">
        <is>
          <t>נתוני אב של פקודת עבודה</t>
        </is>
      </c>
      <c r="S378" s="7" t="inlineStr">
        <is>
          <t>Order master data</t>
        </is>
      </c>
      <c r="T378" s="7" t="inlineStr">
        <is>
          <t>7. פקודות עבודה (פק"ע)</t>
        </is>
      </c>
      <c r="U378" s="7" t="inlineStr">
        <is>
          <t>A4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טרנזקציה</t>
        </is>
      </c>
      <c r="Q379" s="8" t="inlineStr">
        <is>
          <t>IW38</t>
        </is>
      </c>
      <c r="R379" s="7" t="inlineStr">
        <is>
          <t>נתוני אב של פקודת עבודה</t>
        </is>
      </c>
      <c r="S379" s="7" t="inlineStr">
        <is>
          <t>Order master data</t>
        </is>
      </c>
      <c r="T379" s="7" t="inlineStr">
        <is>
          <t>7. פקודות עבודה (פק"ע)</t>
        </is>
      </c>
      <c r="U379" s="7" t="inlineStr">
        <is>
          <t>A4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טרנזקציה</t>
        </is>
      </c>
      <c r="Q380" s="8" t="inlineStr">
        <is>
          <t>IW39</t>
        </is>
      </c>
      <c r="R380" s="7" t="inlineStr">
        <is>
          <t>נתוני אב של פקודת עבודה</t>
        </is>
      </c>
      <c r="S380" s="7" t="inlineStr">
        <is>
          <t>Order master data</t>
        </is>
      </c>
      <c r="T380" s="7" t="inlineStr">
        <is>
          <t>7. פקודות עבודה (פק"ע)</t>
        </is>
      </c>
      <c r="U380" s="7" t="inlineStr">
        <is>
          <t>A4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פונקציה</t>
        </is>
      </c>
      <c r="Q381" s="8" t="inlineStr">
        <is>
          <t>BAPI_ALM_ORDER_MAINTAIN</t>
        </is>
      </c>
      <c r="R381" s="7" t="inlineStr">
        <is>
          <t>יצירה/שינוי פק"ע (ממשק מרכזי)</t>
        </is>
      </c>
      <c r="S381" s="7" t="inlineStr">
        <is>
          <t>Order master data</t>
        </is>
      </c>
      <c r="T381" s="7" t="inlineStr">
        <is>
          <t>7. פקודות עבודה (פק"ע)</t>
        </is>
      </c>
      <c r="U381" s="7" t="inlineStr">
        <is>
          <t>G4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פונקציה</t>
        </is>
      </c>
      <c r="Q382" s="8" t="inlineStr">
        <is>
          <t>BAPI_ALM_ORDER_GET_DETAIL</t>
        </is>
      </c>
      <c r="R382" s="7" t="inlineStr">
        <is>
          <t>שליפת פרטי פק"ע</t>
        </is>
      </c>
      <c r="S382" s="7" t="inlineStr">
        <is>
          <t>Order master data</t>
        </is>
      </c>
      <c r="T382" s="7" t="inlineStr">
        <is>
          <t>7. פקודות עבודה (פק"ע)</t>
        </is>
      </c>
      <c r="U382" s="7" t="inlineStr">
        <is>
          <t>G4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פונקציה</t>
        </is>
      </c>
      <c r="Q383" s="8" t="inlineStr">
        <is>
          <t>BAPI_ALM_ORDERHEAD_GET_LIST</t>
        </is>
      </c>
      <c r="R383" s="7" t="inlineStr">
        <is>
          <t>שליפת רשימת פק"ע</t>
        </is>
      </c>
      <c r="S383" s="7" t="inlineStr">
        <is>
          <t>Order master data</t>
        </is>
      </c>
      <c r="T383" s="7" t="inlineStr">
        <is>
          <t>7. פקודות עבודה (פק"ע)</t>
        </is>
      </c>
      <c r="U383" s="7" t="inlineStr">
        <is>
          <t>G4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תוכנית</t>
        </is>
      </c>
      <c r="Q384" s="8" t="inlineStr">
        <is>
          <t>RIAUFK20</t>
        </is>
      </c>
      <c r="R384" s="7" t="inlineStr">
        <is>
          <t>רשימת פק"ע (IW38/39)</t>
        </is>
      </c>
      <c r="S384" s="7" t="inlineStr">
        <is>
          <t>Order master data</t>
        </is>
      </c>
      <c r="T384" s="7" t="inlineStr">
        <is>
          <t>7. פקודות עבודה (פק"ע)</t>
        </is>
      </c>
      <c r="U384" s="7" t="inlineStr">
        <is>
          <t>I4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Fiori</t>
        </is>
      </c>
      <c r="Q385" s="8" t="inlineStr">
        <is>
          <t>Find Maintenance Order (F2393)</t>
        </is>
      </c>
      <c r="R385" s="7" t="inlineStr">
        <is>
          <t>נתוני אב של פקודת עבודה</t>
        </is>
      </c>
      <c r="S385" s="7" t="inlineStr">
        <is>
          <t>Order master data</t>
        </is>
      </c>
      <c r="T385" s="7" t="inlineStr">
        <is>
          <t>7. פקודות עבודה (פק"ע)</t>
        </is>
      </c>
      <c r="U385" s="7" t="inlineStr">
        <is>
          <t>N4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טבלה</t>
        </is>
      </c>
      <c r="Q386" s="8" t="inlineStr">
        <is>
          <t>AFKO</t>
        </is>
      </c>
      <c r="R386" s="7" t="inlineStr">
        <is>
          <t>כותרת פקודה (נתוני אחזקה/ייצור)</t>
        </is>
      </c>
      <c r="S386" s="7" t="inlineStr">
        <is>
          <t>Order header data</t>
        </is>
      </c>
      <c r="T386" s="7" t="inlineStr">
        <is>
          <t>7. פקודות עבודה (פק"ע)</t>
        </is>
      </c>
      <c r="U386" s="7" t="inlineStr">
        <is>
          <t>A10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שדה</t>
        </is>
      </c>
      <c r="Q387" s="8" t="inlineStr">
        <is>
          <t>AUFNR</t>
        </is>
      </c>
      <c r="R387" s="7" t="inlineStr">
        <is>
          <t>מספר פק"ע</t>
        </is>
      </c>
      <c r="S387" s="7" t="inlineStr">
        <is>
          <t>Order number</t>
        </is>
      </c>
      <c r="T387" s="7" t="inlineStr">
        <is>
          <t>7. פקודות עבודה (פק"ע)</t>
        </is>
      </c>
      <c r="U387" s="7" t="inlineStr">
        <is>
          <t>D11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שדה</t>
        </is>
      </c>
      <c r="Q388" s="8" t="inlineStr">
        <is>
          <t>AUFPL</t>
        </is>
      </c>
      <c r="R388" s="7" t="inlineStr">
        <is>
          <t>מספר תוכנית פעולות</t>
        </is>
      </c>
      <c r="S388" s="7" t="inlineStr">
        <is>
          <t>Routing/operation plan number</t>
        </is>
      </c>
      <c r="T388" s="7" t="inlineStr">
        <is>
          <t>7. פקודות עבודה (פק"ע)</t>
        </is>
      </c>
      <c r="U388" s="7" t="inlineStr">
        <is>
          <t>D12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שדה</t>
        </is>
      </c>
      <c r="Q389" s="8" t="inlineStr">
        <is>
          <t>GLTRP</t>
        </is>
      </c>
      <c r="R389" s="7" t="inlineStr">
        <is>
          <t>תאריך סיום בסיסי</t>
        </is>
      </c>
      <c r="S389" s="7" t="inlineStr">
        <is>
          <t>Basic finish date</t>
        </is>
      </c>
      <c r="T389" s="7" t="inlineStr">
        <is>
          <t>7. פקודות עבודה (פק"ע)</t>
        </is>
      </c>
      <c r="U389" s="7" t="inlineStr">
        <is>
          <t>D13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שדה</t>
        </is>
      </c>
      <c r="Q390" s="8" t="inlineStr">
        <is>
          <t>GSTRP</t>
        </is>
      </c>
      <c r="R390" s="7" t="inlineStr">
        <is>
          <t>תאריך התחלה בסיסי</t>
        </is>
      </c>
      <c r="S390" s="7" t="inlineStr">
        <is>
          <t>Basic start date</t>
        </is>
      </c>
      <c r="T390" s="7" t="inlineStr">
        <is>
          <t>7. פקודות עבודה (פק"ע)</t>
        </is>
      </c>
      <c r="U390" s="7" t="inlineStr">
        <is>
          <t>D14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שדה</t>
        </is>
      </c>
      <c r="Q391" s="8" t="inlineStr">
        <is>
          <t>PLNBEZ</t>
        </is>
      </c>
      <c r="R391" s="7" t="inlineStr">
        <is>
          <t>הפניית עץ מוצר/חומר</t>
        </is>
      </c>
      <c r="S391" s="7" t="inlineStr">
        <is>
          <t>BOM/material reference</t>
        </is>
      </c>
      <c r="T391" s="7" t="inlineStr">
        <is>
          <t>7. פקודות עבודה (פק"ע)</t>
        </is>
      </c>
      <c r="U391" s="7" t="inlineStr">
        <is>
          <t>D15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טרנזקציה</t>
        </is>
      </c>
      <c r="Q392" s="8" t="inlineStr">
        <is>
          <t>IW32</t>
        </is>
      </c>
      <c r="R392" s="7" t="inlineStr">
        <is>
          <t>כותרת פקודה (נתוני אחזקה/ייצור)</t>
        </is>
      </c>
      <c r="S392" s="7" t="inlineStr">
        <is>
          <t>Order header data</t>
        </is>
      </c>
      <c r="T392" s="7" t="inlineStr">
        <is>
          <t>7. פקודות עבודה (פק"ע)</t>
        </is>
      </c>
      <c r="U392" s="7" t="inlineStr">
        <is>
          <t>A11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טרנזקציה</t>
        </is>
      </c>
      <c r="Q393" s="8" t="inlineStr">
        <is>
          <t>IW37N</t>
        </is>
      </c>
      <c r="R393" s="7" t="inlineStr">
        <is>
          <t>כותרת פקודה (נתוני אחזקה/ייצור)</t>
        </is>
      </c>
      <c r="S393" s="7" t="inlineStr">
        <is>
          <t>Order header data</t>
        </is>
      </c>
      <c r="T393" s="7" t="inlineStr">
        <is>
          <t>7. פקודות עבודה (פק"ע)</t>
        </is>
      </c>
      <c r="U393" s="7" t="inlineStr">
        <is>
          <t>A11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פונקציה</t>
        </is>
      </c>
      <c r="Q394" s="8" t="inlineStr">
        <is>
          <t>CO_ZF_ORDER_HEADER_READ</t>
        </is>
      </c>
      <c r="R394" s="7" t="inlineStr">
        <is>
          <t>קריאת כותרת הפקודה</t>
        </is>
      </c>
      <c r="S394" s="7" t="inlineStr">
        <is>
          <t>Order header data</t>
        </is>
      </c>
      <c r="T394" s="7" t="inlineStr">
        <is>
          <t>7. פקודות עבודה (פק"ע)</t>
        </is>
      </c>
      <c r="U394" s="7" t="inlineStr">
        <is>
          <t>G11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תוכנית</t>
        </is>
      </c>
      <c r="Q395" s="8" t="inlineStr">
        <is>
          <t>RIAUFK20</t>
        </is>
      </c>
      <c r="R395" s="7" t="inlineStr">
        <is>
          <t>רשימת פק"ע</t>
        </is>
      </c>
      <c r="S395" s="7" t="inlineStr">
        <is>
          <t>Order header data</t>
        </is>
      </c>
      <c r="T395" s="7" t="inlineStr">
        <is>
          <t>7. פקודות עבודה (פק"ע)</t>
        </is>
      </c>
      <c r="U395" s="7" t="inlineStr">
        <is>
          <t>I11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Fiori</t>
        </is>
      </c>
      <c r="Q396" s="8" t="inlineStr">
        <is>
          <t>Create Maintenance Order (אמת ID)</t>
        </is>
      </c>
      <c r="R396" s="7" t="inlineStr">
        <is>
          <t>כותרת פקודה (נתוני אחזקה/ייצור)</t>
        </is>
      </c>
      <c r="S396" s="7" t="inlineStr">
        <is>
          <t>Order header data</t>
        </is>
      </c>
      <c r="T396" s="7" t="inlineStr">
        <is>
          <t>7. פקודות עבודה (פק"ע)</t>
        </is>
      </c>
      <c r="U396" s="7" t="inlineStr">
        <is>
          <t>N11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טבלה</t>
        </is>
      </c>
      <c r="Q397" s="8" t="inlineStr">
        <is>
          <t>AFVC</t>
        </is>
      </c>
      <c r="R397" s="7" t="inlineStr">
        <is>
          <t>פעולות הפקודה (Operations - השם התקני; לא AFVG)</t>
        </is>
      </c>
      <c r="S397" s="7" t="inlineStr">
        <is>
          <t>Order operations (correct table name, not AFVG)</t>
        </is>
      </c>
      <c r="T397" s="7" t="inlineStr">
        <is>
          <t>7. פקודות עבודה (פק"ע)</t>
        </is>
      </c>
      <c r="U397" s="7" t="inlineStr">
        <is>
          <t>A17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שדה</t>
        </is>
      </c>
      <c r="Q398" s="8" t="inlineStr">
        <is>
          <t>AUFPL</t>
        </is>
      </c>
      <c r="R398" s="7" t="inlineStr">
        <is>
          <t>מספר תוכנית פעולות - מצטרף ל-AFKO</t>
        </is>
      </c>
      <c r="S398" s="7" t="inlineStr">
        <is>
          <t>Routing/operations plan no. - joins AFKO</t>
        </is>
      </c>
      <c r="T398" s="7" t="inlineStr">
        <is>
          <t>7. פקודות עבודה (פק"ע)</t>
        </is>
      </c>
      <c r="U398" s="7" t="inlineStr">
        <is>
          <t>D18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APLZL</t>
        </is>
      </c>
      <c r="R399" s="7" t="inlineStr">
        <is>
          <t>מונה פעולה פנימי</t>
        </is>
      </c>
      <c r="S399" s="7" t="inlineStr">
        <is>
          <t>Internal operation counter</t>
        </is>
      </c>
      <c r="T399" s="7" t="inlineStr">
        <is>
          <t>7. פקודות עבודה (פק"ע)</t>
        </is>
      </c>
      <c r="U399" s="7" t="inlineStr">
        <is>
          <t>D19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שדה</t>
        </is>
      </c>
      <c r="Q400" s="8" t="inlineStr">
        <is>
          <t>VORNR</t>
        </is>
      </c>
      <c r="R400" s="7" t="inlineStr">
        <is>
          <t>מספר פעולה</t>
        </is>
      </c>
      <c r="S400" s="7" t="inlineStr">
        <is>
          <t>Operation number</t>
        </is>
      </c>
      <c r="T400" s="7" t="inlineStr">
        <is>
          <t>7. פקודות עבודה (פק"ע)</t>
        </is>
      </c>
      <c r="U400" s="7" t="inlineStr">
        <is>
          <t>D20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שדה</t>
        </is>
      </c>
      <c r="Q401" s="8" t="inlineStr">
        <is>
          <t>ARBID</t>
        </is>
      </c>
      <c r="R401" s="7" t="inlineStr">
        <is>
          <t>מרכז עבודה (מזהה אובייקט)</t>
        </is>
      </c>
      <c r="S401" s="7" t="inlineStr">
        <is>
          <t>Work center (object id)</t>
        </is>
      </c>
      <c r="T401" s="7" t="inlineStr">
        <is>
          <t>7. פקודות עבודה (פק"ע)</t>
        </is>
      </c>
      <c r="U401" s="7" t="inlineStr">
        <is>
          <t>D21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שדה</t>
        </is>
      </c>
      <c r="Q402" s="8" t="inlineStr">
        <is>
          <t>STEUS</t>
        </is>
      </c>
      <c r="R402" s="7" t="inlineStr">
        <is>
          <t>מפתח בקרה (פנימי/חיצוני)</t>
        </is>
      </c>
      <c r="S402" s="7" t="inlineStr">
        <is>
          <t>Control key (in-house/external)</t>
        </is>
      </c>
      <c r="T402" s="7" t="inlineStr">
        <is>
          <t>7. פקודות עבודה (פק"ע)</t>
        </is>
      </c>
      <c r="U402" s="7" t="inlineStr">
        <is>
          <t>D22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שדה</t>
        </is>
      </c>
      <c r="Q403" s="8" t="inlineStr">
        <is>
          <t>LTXA1</t>
        </is>
      </c>
      <c r="R403" s="7" t="inlineStr">
        <is>
          <t>תיאור קצר של הפעולה</t>
        </is>
      </c>
      <c r="S403" s="7" t="inlineStr">
        <is>
          <t>Operation short text</t>
        </is>
      </c>
      <c r="T403" s="7" t="inlineStr">
        <is>
          <t>7. פקודות עבודה (פק"ע)</t>
        </is>
      </c>
      <c r="U403" s="7" t="inlineStr">
        <is>
          <t>D23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טרנזקציה</t>
        </is>
      </c>
      <c r="Q404" s="8" t="inlineStr">
        <is>
          <t>IW31</t>
        </is>
      </c>
      <c r="R404" s="7" t="inlineStr">
        <is>
          <t>פעולות הפקודה (Operations - השם התקני; לא AFVG)</t>
        </is>
      </c>
      <c r="S404" s="7" t="inlineStr">
        <is>
          <t>Order operations (correct table name, not AFVG)</t>
        </is>
      </c>
      <c r="T404" s="7" t="inlineStr">
        <is>
          <t>7. פקודות עבודה (פק"ע)</t>
        </is>
      </c>
      <c r="U404" s="7" t="inlineStr">
        <is>
          <t>A18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טרנזקציה</t>
        </is>
      </c>
      <c r="Q405" s="8" t="inlineStr">
        <is>
          <t>IW32</t>
        </is>
      </c>
      <c r="R405" s="7" t="inlineStr">
        <is>
          <t>פעולות הפקודה (Operations - השם התקני; לא AFVG)</t>
        </is>
      </c>
      <c r="S405" s="7" t="inlineStr">
        <is>
          <t>Order operations (correct table name, not AFVG)</t>
        </is>
      </c>
      <c r="T405" s="7" t="inlineStr">
        <is>
          <t>7. פקודות עבודה (פק"ע)</t>
        </is>
      </c>
      <c r="U405" s="7" t="inlineStr">
        <is>
          <t>A18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טרנזקציה</t>
        </is>
      </c>
      <c r="Q406" s="8" t="inlineStr">
        <is>
          <t>IW33</t>
        </is>
      </c>
      <c r="R406" s="7" t="inlineStr">
        <is>
          <t>פעולות הפקודה (Operations - השם התקני; לא AFVG)</t>
        </is>
      </c>
      <c r="S406" s="7" t="inlineStr">
        <is>
          <t>Order operations (correct table name, not AFVG)</t>
        </is>
      </c>
      <c r="T406" s="7" t="inlineStr">
        <is>
          <t>7. פקודות עבודה (פק"ע)</t>
        </is>
      </c>
      <c r="U406" s="7" t="inlineStr">
        <is>
          <t>A18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טרנזקציה</t>
        </is>
      </c>
      <c r="Q407" s="8" t="inlineStr">
        <is>
          <t>IW37N</t>
        </is>
      </c>
      <c r="R407" s="7" t="inlineStr">
        <is>
          <t>פעולות הפקודה (Operations - השם התקני; לא AFVG)</t>
        </is>
      </c>
      <c r="S407" s="7" t="inlineStr">
        <is>
          <t>Order operations (correct table name, not AFVG)</t>
        </is>
      </c>
      <c r="T407" s="7" t="inlineStr">
        <is>
          <t>7. פקודות עבודה (פק"ע)</t>
        </is>
      </c>
      <c r="U407" s="7" t="inlineStr">
        <is>
          <t>A18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טרנזקציה</t>
        </is>
      </c>
      <c r="Q408" s="8" t="inlineStr">
        <is>
          <t>CM01</t>
        </is>
      </c>
      <c r="R408" s="7" t="inlineStr">
        <is>
          <t>פעולות הפקודה (Operations - השם התקני; לא AFVG)</t>
        </is>
      </c>
      <c r="S408" s="7" t="inlineStr">
        <is>
          <t>Order operations (correct table name, not AFVG)</t>
        </is>
      </c>
      <c r="T408" s="7" t="inlineStr">
        <is>
          <t>7. פקודות עבודה (פק"ע)</t>
        </is>
      </c>
      <c r="U408" s="7" t="inlineStr">
        <is>
          <t>A18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פונקציה</t>
        </is>
      </c>
      <c r="Q409" s="8" t="inlineStr">
        <is>
          <t>BAPI_ALM_ORDER_MAINTAIN</t>
        </is>
      </c>
      <c r="R409" s="7" t="inlineStr">
        <is>
          <t>הוספת/שינוי פעולות בפק"ע (METHOD=OPERATION)</t>
        </is>
      </c>
      <c r="S409" s="7" t="inlineStr">
        <is>
          <t>Order operations (correct table name, not AFVG)</t>
        </is>
      </c>
      <c r="T409" s="7" t="inlineStr">
        <is>
          <t>7. פקודות עבודה (פק"ע)</t>
        </is>
      </c>
      <c r="U409" s="7" t="inlineStr">
        <is>
          <t>G18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פונקציה</t>
        </is>
      </c>
      <c r="Q410" s="8" t="inlineStr">
        <is>
          <t>CO_ZF_OPERATIONS_READ</t>
        </is>
      </c>
      <c r="R410" s="7" t="inlineStr">
        <is>
          <t>קריאת פעולות הפקודה</t>
        </is>
      </c>
      <c r="S410" s="7" t="inlineStr">
        <is>
          <t>Order operations (correct table name, not AFVG)</t>
        </is>
      </c>
      <c r="T410" s="7" t="inlineStr">
        <is>
          <t>7. פקודות עבודה (פק"ע)</t>
        </is>
      </c>
      <c r="U410" s="7" t="inlineStr">
        <is>
          <t>G18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תוכנית</t>
        </is>
      </c>
      <c r="Q411" s="8" t="inlineStr">
        <is>
          <t>RIAFVC00</t>
        </is>
      </c>
      <c r="R411" s="7" t="inlineStr">
        <is>
          <t>ניתוח פעולות ועומסי קיבולת</t>
        </is>
      </c>
      <c r="S411" s="7" t="inlineStr">
        <is>
          <t>Order operations (correct table name, not AFVG)</t>
        </is>
      </c>
      <c r="T411" s="7" t="inlineStr">
        <is>
          <t>7. פקודות עבודה (פק"ע)</t>
        </is>
      </c>
      <c r="U411" s="7" t="inlineStr">
        <is>
          <t>I18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Fiori</t>
        </is>
      </c>
      <c r="Q412" s="8" t="inlineStr">
        <is>
          <t>Find Maintenance Order (F2393)</t>
        </is>
      </c>
      <c r="R412" s="7" t="inlineStr">
        <is>
          <t>פעולות הפקודה (Operations - השם התקני; לא AFVG)</t>
        </is>
      </c>
      <c r="S412" s="7" t="inlineStr">
        <is>
          <t>Order operations (correct table name, not AFVG)</t>
        </is>
      </c>
      <c r="T412" s="7" t="inlineStr">
        <is>
          <t>7. פקודות עבודה (פק"ע)</t>
        </is>
      </c>
      <c r="U412" s="7" t="inlineStr">
        <is>
          <t>N18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טבלה</t>
        </is>
      </c>
      <c r="Q413" s="8" t="inlineStr">
        <is>
          <t>AFPO</t>
        </is>
      </c>
      <c r="R413" s="7" t="inlineStr">
        <is>
          <t>פריט פקודה</t>
        </is>
      </c>
      <c r="S413" s="7" t="inlineStr">
        <is>
          <t>Order item</t>
        </is>
      </c>
      <c r="T413" s="7" t="inlineStr">
        <is>
          <t>7. פקודות עבודה (פק"ע)</t>
        </is>
      </c>
      <c r="U413" s="7" t="inlineStr">
        <is>
          <t>A25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שדה</t>
        </is>
      </c>
      <c r="Q414" s="8" t="inlineStr">
        <is>
          <t>AUFNR</t>
        </is>
      </c>
      <c r="R414" s="7" t="inlineStr">
        <is>
          <t>מספר פק"ע</t>
        </is>
      </c>
      <c r="S414" s="7" t="inlineStr">
        <is>
          <t>Order number</t>
        </is>
      </c>
      <c r="T414" s="7" t="inlineStr">
        <is>
          <t>7. פקודות עבודה (פק"ע)</t>
        </is>
      </c>
      <c r="U414" s="7" t="inlineStr">
        <is>
          <t>D26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שדה</t>
        </is>
      </c>
      <c r="Q415" s="8" t="inlineStr">
        <is>
          <t>POSNR</t>
        </is>
      </c>
      <c r="R415" s="7" t="inlineStr">
        <is>
          <t>מספר פריט</t>
        </is>
      </c>
      <c r="S415" s="7" t="inlineStr">
        <is>
          <t>Order item number</t>
        </is>
      </c>
      <c r="T415" s="7" t="inlineStr">
        <is>
          <t>7. פקודות עבודה (פק"ע)</t>
        </is>
      </c>
      <c r="U415" s="7" t="inlineStr">
        <is>
          <t>D27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שדה</t>
        </is>
      </c>
      <c r="Q416" s="8" t="inlineStr">
        <is>
          <t>MATNR</t>
        </is>
      </c>
      <c r="R416" s="7" t="inlineStr">
        <is>
          <t>חומר (שיפוץ)</t>
        </is>
      </c>
      <c r="S416" s="7" t="inlineStr">
        <is>
          <t>Material (refurbishment)</t>
        </is>
      </c>
      <c r="T416" s="7" t="inlineStr">
        <is>
          <t>7. פקודות עבודה (פק"ע)</t>
        </is>
      </c>
      <c r="U416" s="7" t="inlineStr">
        <is>
          <t>D28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שדה</t>
        </is>
      </c>
      <c r="Q417" s="8" t="inlineStr">
        <is>
          <t>PSAMG</t>
        </is>
      </c>
      <c r="R417" s="7" t="inlineStr">
        <is>
          <t>כמות פריט</t>
        </is>
      </c>
      <c r="S417" s="7" t="inlineStr">
        <is>
          <t>Order item quantity</t>
        </is>
      </c>
      <c r="T417" s="7" t="inlineStr">
        <is>
          <t>7. פקודות עבודה (פק"ע)</t>
        </is>
      </c>
      <c r="U417" s="7" t="inlineStr">
        <is>
          <t>D29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טרנזקציה</t>
        </is>
      </c>
      <c r="Q418" s="8" t="inlineStr">
        <is>
          <t>IW32</t>
        </is>
      </c>
      <c r="R418" s="7" t="inlineStr">
        <is>
          <t>פריט פקודה</t>
        </is>
      </c>
      <c r="S418" s="7" t="inlineStr">
        <is>
          <t>Order item</t>
        </is>
      </c>
      <c r="T418" s="7" t="inlineStr">
        <is>
          <t>7. פקודות עבודה (פק"ע)</t>
        </is>
      </c>
      <c r="U418" s="7" t="inlineStr">
        <is>
          <t>A26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טרנזקציה</t>
        </is>
      </c>
      <c r="Q419" s="8" t="inlineStr">
        <is>
          <t>IW33</t>
        </is>
      </c>
      <c r="R419" s="7" t="inlineStr">
        <is>
          <t>פריט פקודה</t>
        </is>
      </c>
      <c r="S419" s="7" t="inlineStr">
        <is>
          <t>Order item</t>
        </is>
      </c>
      <c r="T419" s="7" t="inlineStr">
        <is>
          <t>7. פקודות עבודה (פק"ע)</t>
        </is>
      </c>
      <c r="U419" s="7" t="inlineStr">
        <is>
          <t>A26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פונקציה</t>
        </is>
      </c>
      <c r="Q420" s="8" t="inlineStr">
        <is>
          <t>CO_ZF_ORDER_ITEM_READ</t>
        </is>
      </c>
      <c r="R420" s="7" t="inlineStr">
        <is>
          <t>קריאת פריט הפקודה</t>
        </is>
      </c>
      <c r="S420" s="7" t="inlineStr">
        <is>
          <t>Order item</t>
        </is>
      </c>
      <c r="T420" s="7" t="inlineStr">
        <is>
          <t>7. פקודות עבודה (פק"ע)</t>
        </is>
      </c>
      <c r="U420" s="7" t="inlineStr">
        <is>
          <t>G26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תוכנית</t>
        </is>
      </c>
      <c r="Q421" s="8" t="inlineStr">
        <is>
          <t>RIAFPO00</t>
        </is>
      </c>
      <c r="R421" s="7" t="inlineStr">
        <is>
          <t>ניתוח פריטי פקודה</t>
        </is>
      </c>
      <c r="S421" s="7" t="inlineStr">
        <is>
          <t>Order item</t>
        </is>
      </c>
      <c r="T421" s="7" t="inlineStr">
        <is>
          <t>7. פקודות עבודה (פק"ע)</t>
        </is>
      </c>
      <c r="U421" s="7" t="inlineStr">
        <is>
          <t>I26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Fiori</t>
        </is>
      </c>
      <c r="Q422" s="8" t="inlineStr">
        <is>
          <t>Find Maintenance Order (F2393)</t>
        </is>
      </c>
      <c r="R422" s="7" t="inlineStr">
        <is>
          <t>פריט פקודה</t>
        </is>
      </c>
      <c r="S422" s="7" t="inlineStr">
        <is>
          <t>Order item</t>
        </is>
      </c>
      <c r="T422" s="7" t="inlineStr">
        <is>
          <t>7. פקודות עבודה (פק"ע)</t>
        </is>
      </c>
      <c r="U422" s="7" t="inlineStr">
        <is>
          <t>N26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טבלה</t>
        </is>
      </c>
      <c r="Q423" s="8" t="inlineStr">
        <is>
          <t>AFIH</t>
        </is>
      </c>
      <c r="R423" s="7" t="inlineStr">
        <is>
          <t>כותרת פקודה - נתוני אחזקה (PM)</t>
        </is>
      </c>
      <c r="S423" s="7" t="inlineStr">
        <is>
          <t>Maintenance order header (PM)</t>
        </is>
      </c>
      <c r="T423" s="7" t="inlineStr">
        <is>
          <t>7. פקודות עבודה (פק"ע)</t>
        </is>
      </c>
      <c r="U423" s="7" t="inlineStr">
        <is>
          <t>A31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שדה</t>
        </is>
      </c>
      <c r="Q424" s="8" t="inlineStr">
        <is>
          <t>AUFNR</t>
        </is>
      </c>
      <c r="R424" s="7" t="inlineStr">
        <is>
          <t>מספר פק"ע</t>
        </is>
      </c>
      <c r="S424" s="7" t="inlineStr">
        <is>
          <t>Order number</t>
        </is>
      </c>
      <c r="T424" s="7" t="inlineStr">
        <is>
          <t>7. פקודות עבודה (פק"ע)</t>
        </is>
      </c>
      <c r="U424" s="7" t="inlineStr">
        <is>
          <t>D32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שדה</t>
        </is>
      </c>
      <c r="Q425" s="8" t="inlineStr">
        <is>
          <t>EQUNR</t>
        </is>
      </c>
      <c r="R425" s="7" t="inlineStr">
        <is>
          <t>ציוד מתייחס</t>
        </is>
      </c>
      <c r="S425" s="7" t="inlineStr">
        <is>
          <t>Reference equipment</t>
        </is>
      </c>
      <c r="T425" s="7" t="inlineStr">
        <is>
          <t>7. פקודות עבודה (פק"ע)</t>
        </is>
      </c>
      <c r="U425" s="7" t="inlineStr">
        <is>
          <t>D33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TPLNR</t>
        </is>
      </c>
      <c r="R426" s="7" t="inlineStr">
        <is>
          <t>מיקום מתייחס</t>
        </is>
      </c>
      <c r="S426" s="7" t="inlineStr">
        <is>
          <t>Reference functional location</t>
        </is>
      </c>
      <c r="T426" s="7" t="inlineStr">
        <is>
          <t>7. פקודות עבודה (פק"ע)</t>
        </is>
      </c>
      <c r="U426" s="7" t="inlineStr">
        <is>
          <t>D34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ILART</t>
        </is>
      </c>
      <c r="R427" s="7" t="inlineStr">
        <is>
          <t>סוג פעילות אחזקה</t>
        </is>
      </c>
      <c r="S427" s="7" t="inlineStr">
        <is>
          <t>Maintenance activity type</t>
        </is>
      </c>
      <c r="T427" s="7" t="inlineStr">
        <is>
          <t>7. פקודות עבודה (פק"ע)</t>
        </is>
      </c>
      <c r="U427" s="7" t="inlineStr">
        <is>
          <t>D35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שדה</t>
        </is>
      </c>
      <c r="Q428" s="8" t="inlineStr">
        <is>
          <t>PRIOK</t>
        </is>
      </c>
      <c r="R428" s="7" t="inlineStr">
        <is>
          <t>עדיפות</t>
        </is>
      </c>
      <c r="S428" s="7" t="inlineStr">
        <is>
          <t>Priority</t>
        </is>
      </c>
      <c r="T428" s="7" t="inlineStr">
        <is>
          <t>7. פקודות עבודה (פק"ע)</t>
        </is>
      </c>
      <c r="U428" s="7" t="inlineStr">
        <is>
          <t>D36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שדה</t>
        </is>
      </c>
      <c r="Q429" s="8" t="inlineStr">
        <is>
          <t>GEWRK</t>
        </is>
      </c>
      <c r="R429" s="7" t="inlineStr">
        <is>
          <t>מרכז עבודה ראשי</t>
        </is>
      </c>
      <c r="S429" s="7" t="inlineStr">
        <is>
          <t>Main work center</t>
        </is>
      </c>
      <c r="T429" s="7" t="inlineStr">
        <is>
          <t>7. פקודות עבודה (פק"ע)</t>
        </is>
      </c>
      <c r="U429" s="7" t="inlineStr">
        <is>
          <t>D37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IW32</t>
        </is>
      </c>
      <c r="R430" s="7" t="inlineStr">
        <is>
          <t>כותרת פקודה - נתוני אחזקה (PM)</t>
        </is>
      </c>
      <c r="S430" s="7" t="inlineStr">
        <is>
          <t>Maintenance order header (PM)</t>
        </is>
      </c>
      <c r="T430" s="7" t="inlineStr">
        <is>
          <t>7. פקודות עבודה (פק"ע)</t>
        </is>
      </c>
      <c r="U430" s="7" t="inlineStr">
        <is>
          <t>A32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IW33</t>
        </is>
      </c>
      <c r="R431" s="7" t="inlineStr">
        <is>
          <t>כותרת פקודה - נתוני אחזקה (PM)</t>
        </is>
      </c>
      <c r="S431" s="7" t="inlineStr">
        <is>
          <t>Maintenance order header (PM)</t>
        </is>
      </c>
      <c r="T431" s="7" t="inlineStr">
        <is>
          <t>7. פקודות עבודה (פק"ע)</t>
        </is>
      </c>
      <c r="U431" s="7" t="inlineStr">
        <is>
          <t>A32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BAPI_ALM_ORDER_GET_DETAIL</t>
        </is>
      </c>
      <c r="R432" s="7" t="inlineStr">
        <is>
          <t>שליפת נתוני אחזקה של הפק"ע</t>
        </is>
      </c>
      <c r="S432" s="7" t="inlineStr">
        <is>
          <t>Maintenance order header (PM)</t>
        </is>
      </c>
      <c r="T432" s="7" t="inlineStr">
        <is>
          <t>7. פקודות עבודה (פק"ע)</t>
        </is>
      </c>
      <c r="U432" s="7" t="inlineStr">
        <is>
          <t>G32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תוכנית</t>
        </is>
      </c>
      <c r="Q433" s="8" t="inlineStr">
        <is>
          <t>RIAUFK20</t>
        </is>
      </c>
      <c r="R433" s="7" t="inlineStr">
        <is>
          <t>רשימת פק"ע אחזקה</t>
        </is>
      </c>
      <c r="S433" s="7" t="inlineStr">
        <is>
          <t>Maintenance order header (PM)</t>
        </is>
      </c>
      <c r="T433" s="7" t="inlineStr">
        <is>
          <t>7. פקודות עבודה (פק"ע)</t>
        </is>
      </c>
      <c r="U433" s="7" t="inlineStr">
        <is>
          <t>I32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Fiori</t>
        </is>
      </c>
      <c r="Q434" s="8" t="inlineStr">
        <is>
          <t>Find Maintenance Order (F2393)</t>
        </is>
      </c>
      <c r="R434" s="7" t="inlineStr">
        <is>
          <t>כותרת פקודה - נתוני אחזקה (PM)</t>
        </is>
      </c>
      <c r="S434" s="7" t="inlineStr">
        <is>
          <t>Maintenance order header (PM)</t>
        </is>
      </c>
      <c r="T434" s="7" t="inlineStr">
        <is>
          <t>7. פקודות עבודה (פק"ע)</t>
        </is>
      </c>
      <c r="U434" s="7" t="inlineStr">
        <is>
          <t>N32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טבלה</t>
        </is>
      </c>
      <c r="Q435" s="8" t="inlineStr">
        <is>
          <t>AFWI</t>
        </is>
      </c>
      <c r="R435" s="7" t="inlineStr">
        <is>
          <t>תנועות מלאי המקושרות לדיווחי ביצוע</t>
        </is>
      </c>
      <c r="S435" s="7" t="inlineStr">
        <is>
          <t>Goods movements for confirmations</t>
        </is>
      </c>
      <c r="T435" s="7" t="inlineStr">
        <is>
          <t>7. פקודות עבודה (פק"ע)</t>
        </is>
      </c>
      <c r="U435" s="7" t="inlineStr">
        <is>
          <t>A39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שדה</t>
        </is>
      </c>
      <c r="Q436" s="8" t="inlineStr">
        <is>
          <t>RUECK</t>
        </is>
      </c>
      <c r="R436" s="7" t="inlineStr">
        <is>
          <t>מספר דיווח ביצוע</t>
        </is>
      </c>
      <c r="S436" s="7" t="inlineStr">
        <is>
          <t>Confirmation counter</t>
        </is>
      </c>
      <c r="T436" s="7" t="inlineStr">
        <is>
          <t>7. פקודות עבודה (פק"ע)</t>
        </is>
      </c>
      <c r="U436" s="7" t="inlineStr">
        <is>
          <t>D40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שדה</t>
        </is>
      </c>
      <c r="Q437" s="8" t="inlineStr">
        <is>
          <t>RMZHL</t>
        </is>
      </c>
      <c r="R437" s="7" t="inlineStr">
        <is>
          <t>מונה דיווח</t>
        </is>
      </c>
      <c r="S437" s="7" t="inlineStr">
        <is>
          <t>Confirmation number</t>
        </is>
      </c>
      <c r="T437" s="7" t="inlineStr">
        <is>
          <t>7. פקודות עבודה (פק"ע)</t>
        </is>
      </c>
      <c r="U437" s="7" t="inlineStr">
        <is>
          <t>D41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MBLNR</t>
        </is>
      </c>
      <c r="R438" s="7" t="inlineStr">
        <is>
          <t>מסמך חומר</t>
        </is>
      </c>
      <c r="S438" s="7" t="inlineStr">
        <is>
          <t>Material document number</t>
        </is>
      </c>
      <c r="T438" s="7" t="inlineStr">
        <is>
          <t>7. פקודות עבודה (פק"ע)</t>
        </is>
      </c>
      <c r="U438" s="7" t="inlineStr">
        <is>
          <t>D42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MATNR</t>
        </is>
      </c>
      <c r="R439" s="7" t="inlineStr">
        <is>
          <t>חומר</t>
        </is>
      </c>
      <c r="S439" s="7" t="inlineStr">
        <is>
          <t>Material</t>
        </is>
      </c>
      <c r="T439" s="7" t="inlineStr">
        <is>
          <t>7. פקודות עבודה (פק"ע)</t>
        </is>
      </c>
      <c r="U439" s="7" t="inlineStr">
        <is>
          <t>D43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טרנזקציה</t>
        </is>
      </c>
      <c r="Q440" s="8" t="inlineStr">
        <is>
          <t>IW41</t>
        </is>
      </c>
      <c r="R440" s="7" t="inlineStr">
        <is>
          <t>תנועות מלאי המקושרות לדיווחי ביצוע</t>
        </is>
      </c>
      <c r="S440" s="7" t="inlineStr">
        <is>
          <t>Goods movements for confirmations</t>
        </is>
      </c>
      <c r="T440" s="7" t="inlineStr">
        <is>
          <t>7. פקודות עבודה (פק"ע)</t>
        </is>
      </c>
      <c r="U440" s="7" t="inlineStr">
        <is>
          <t>A40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טרנזקציה</t>
        </is>
      </c>
      <c r="Q441" s="8" t="inlineStr">
        <is>
          <t>IW42</t>
        </is>
      </c>
      <c r="R441" s="7" t="inlineStr">
        <is>
          <t>תנועות מלאי המקושרות לדיווחי ביצוע</t>
        </is>
      </c>
      <c r="S441" s="7" t="inlineStr">
        <is>
          <t>Goods movements for confirmations</t>
        </is>
      </c>
      <c r="T441" s="7" t="inlineStr">
        <is>
          <t>7. פקודות עבודה (פק"ע)</t>
        </is>
      </c>
      <c r="U441" s="7" t="inlineStr">
        <is>
          <t>A40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פונקציה</t>
        </is>
      </c>
      <c r="Q442" s="8" t="inlineStr">
        <is>
          <t>BAPI_ALM_CONF_CREATE</t>
        </is>
      </c>
      <c r="R442" s="7" t="inlineStr">
        <is>
          <t>יצירת דיווח ביצוע עם תנועות מלאי</t>
        </is>
      </c>
      <c r="S442" s="7" t="inlineStr">
        <is>
          <t>Goods movements for confirmations</t>
        </is>
      </c>
      <c r="T442" s="7" t="inlineStr">
        <is>
          <t>7. פקודות עבודה (פק"ע)</t>
        </is>
      </c>
      <c r="U442" s="7" t="inlineStr">
        <is>
          <t>G40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תוכנית</t>
        </is>
      </c>
      <c r="Q443" s="8" t="inlineStr">
        <is>
          <t>RIAFRU00</t>
        </is>
      </c>
      <c r="R443" s="7" t="inlineStr">
        <is>
          <t>ניתוח דיווחי ביצוע ותנועות נלוות</t>
        </is>
      </c>
      <c r="S443" s="7" t="inlineStr">
        <is>
          <t>Goods movements for confirmations</t>
        </is>
      </c>
      <c r="T443" s="7" t="inlineStr">
        <is>
          <t>7. פקודות עבודה (פק"ע)</t>
        </is>
      </c>
      <c r="U443" s="7" t="inlineStr">
        <is>
          <t>I40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Fiori</t>
        </is>
      </c>
      <c r="Q444" s="8" t="inlineStr">
        <is>
          <t>Confirm Maintenance Order (אמת ID)</t>
        </is>
      </c>
      <c r="R444" s="7" t="inlineStr">
        <is>
          <t>תנועות מלאי המקושרות לדיווחי ביצוע</t>
        </is>
      </c>
      <c r="S444" s="7" t="inlineStr">
        <is>
          <t>Goods movements for confirmations</t>
        </is>
      </c>
      <c r="T444" s="7" t="inlineStr">
        <is>
          <t>7. פקודות עבודה (פק"ע)</t>
        </is>
      </c>
      <c r="U444" s="7" t="inlineStr">
        <is>
          <t>N40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User Exit</t>
        </is>
      </c>
      <c r="Q445" s="8" t="inlineStr">
        <is>
          <t>IWO10009</t>
        </is>
      </c>
      <c r="R445" s="7" t="inlineStr">
        <is>
          <t>הרחבת לקוח לפק"ע - בדיקות והשלמת שדות בכותרת</t>
        </is>
      </c>
      <c r="S445" s="7" t="inlineStr"/>
      <c r="T445" s="7" t="inlineStr">
        <is>
          <t>7. פקודות עבודה (פק"ע)</t>
        </is>
      </c>
      <c r="U445" s="7" t="inlineStr">
        <is>
          <t>A48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User Exit</t>
        </is>
      </c>
      <c r="Q446" s="8" t="inlineStr">
        <is>
          <t>IWO10002</t>
        </is>
      </c>
      <c r="R446" s="7" t="inlineStr">
        <is>
          <t>בדיקות בעת שמירת פקודת עבודה</t>
        </is>
      </c>
      <c r="S446" s="7" t="inlineStr"/>
      <c r="T446" s="7" t="inlineStr">
        <is>
          <t>7. פקודות עבודה (פק"ע)</t>
        </is>
      </c>
      <c r="U446" s="7" t="inlineStr">
        <is>
          <t>A49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User Exit</t>
        </is>
      </c>
      <c r="Q447" s="8" t="inlineStr">
        <is>
          <t>IWO10012</t>
        </is>
      </c>
      <c r="R447" s="7" t="inlineStr">
        <is>
          <t>בדיקת אישורי עבודה (Permits) בפק"ע</t>
        </is>
      </c>
      <c r="S447" s="7" t="inlineStr"/>
      <c r="T447" s="7" t="inlineStr">
        <is>
          <t>7. פקודות עבודה (פק"ע)</t>
        </is>
      </c>
      <c r="U447" s="7" t="inlineStr">
        <is>
          <t>A50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User Exit</t>
        </is>
      </c>
      <c r="Q448" s="8" t="inlineStr">
        <is>
          <t>IWO10018</t>
        </is>
      </c>
      <c r="R448" s="7" t="inlineStr">
        <is>
          <t>בדיקת/הרחבת רכיבים בפק"ע</t>
        </is>
      </c>
      <c r="S448" s="7" t="inlineStr"/>
      <c r="T448" s="7" t="inlineStr">
        <is>
          <t>7. פקודות עבודה (פק"ע)</t>
        </is>
      </c>
      <c r="U448" s="7" t="inlineStr">
        <is>
          <t>A51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User Exit</t>
        </is>
      </c>
      <c r="Q449" s="8" t="inlineStr">
        <is>
          <t>IWO10024</t>
        </is>
      </c>
      <c r="R449" s="7" t="inlineStr">
        <is>
          <t>הרחבת פעולות (Operations) בפק"ע</t>
        </is>
      </c>
      <c r="S449" s="7" t="inlineStr"/>
      <c r="T449" s="7" t="inlineStr">
        <is>
          <t>7. פקודות עבודה (פק"ע)</t>
        </is>
      </c>
      <c r="U449" s="7" t="inlineStr">
        <is>
          <t>A52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BAdI</t>
        </is>
      </c>
      <c r="Q450" s="8" t="inlineStr">
        <is>
          <t>WORKORDER_UPDATE</t>
        </is>
      </c>
      <c r="R450" s="7" t="inlineStr">
        <is>
          <t>BAdI לעדכון/בדיקת פקודת עבודה (לפני שמירה)</t>
        </is>
      </c>
      <c r="S450" s="7" t="inlineStr"/>
      <c r="T450" s="7" t="inlineStr">
        <is>
          <t>7. פקודות עבודה (פק"ע)</t>
        </is>
      </c>
      <c r="U450" s="7" t="inlineStr">
        <is>
          <t>A53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BAdI</t>
        </is>
      </c>
      <c r="Q451" s="8" t="inlineStr">
        <is>
          <t>WORKORDER_GOODSMVT</t>
        </is>
      </c>
      <c r="R451" s="7" t="inlineStr">
        <is>
          <t>BAdI לתנועות מלאי בפק"ע</t>
        </is>
      </c>
      <c r="S451" s="7" t="inlineStr"/>
      <c r="T451" s="7" t="inlineStr">
        <is>
          <t>7. פקודות עבודה (פק"ע)</t>
        </is>
      </c>
      <c r="U451" s="7" t="inlineStr">
        <is>
          <t>A54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BAdI</t>
        </is>
      </c>
      <c r="Q452" s="8" t="inlineStr">
        <is>
          <t>WORKORDER_INFOSYSTEM</t>
        </is>
      </c>
      <c r="R452" s="7" t="inlineStr">
        <is>
          <t>BAdI לרשימות/דוחות פק"ע (IW38/39)</t>
        </is>
      </c>
      <c r="S452" s="7" t="inlineStr"/>
      <c r="T452" s="7" t="inlineStr">
        <is>
          <t>7. פקודות עבודה (פק"ע)</t>
        </is>
      </c>
      <c r="U452" s="7" t="inlineStr">
        <is>
          <t>A55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טבלה</t>
        </is>
      </c>
      <c r="Q453" s="8" t="inlineStr">
        <is>
          <t>JEST</t>
        </is>
      </c>
      <c r="R453" s="7" t="inlineStr">
        <is>
          <t>סטטוס אובייקט (פעיל/לא פעיל)</t>
        </is>
      </c>
      <c r="S453" s="7" t="inlineStr">
        <is>
          <t>Individual object status</t>
        </is>
      </c>
      <c r="T453" s="7" t="inlineStr">
        <is>
          <t>8. ניהול סטטוסים (Status Mgmt)</t>
        </is>
      </c>
      <c r="U453" s="7" t="inlineStr">
        <is>
          <t>A3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שדה</t>
        </is>
      </c>
      <c r="Q454" s="8" t="inlineStr">
        <is>
          <t>OBJNR</t>
        </is>
      </c>
      <c r="R454" s="7" t="inlineStr">
        <is>
          <t>מפתח אובייקט</t>
        </is>
      </c>
      <c r="S454" s="7" t="inlineStr">
        <is>
          <t>Object number</t>
        </is>
      </c>
      <c r="T454" s="7" t="inlineStr">
        <is>
          <t>8. ניהול סטטוסים (Status Mgmt)</t>
        </is>
      </c>
      <c r="U454" s="7" t="inlineStr">
        <is>
          <t>D4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שדה</t>
        </is>
      </c>
      <c r="Q455" s="8" t="inlineStr">
        <is>
          <t>STAT</t>
        </is>
      </c>
      <c r="R455" s="7" t="inlineStr">
        <is>
          <t>קוד סטטוס</t>
        </is>
      </c>
      <c r="S455" s="7" t="inlineStr">
        <is>
          <t>Status code</t>
        </is>
      </c>
      <c r="T455" s="7" t="inlineStr">
        <is>
          <t>8. ניהול סטטוסים (Status Mgmt)</t>
        </is>
      </c>
      <c r="U455" s="7" t="inlineStr">
        <is>
          <t>D5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שדה</t>
        </is>
      </c>
      <c r="Q456" s="8" t="inlineStr">
        <is>
          <t>INACT</t>
        </is>
      </c>
      <c r="R456" s="7" t="inlineStr">
        <is>
          <t>מחוון לא-פעיל</t>
        </is>
      </c>
      <c r="S456" s="7" t="inlineStr">
        <is>
          <t>Inactive indicator</t>
        </is>
      </c>
      <c r="T456" s="7" t="inlineStr">
        <is>
          <t>8. ניהול סטטוסים (Status Mgmt)</t>
        </is>
      </c>
      <c r="U456" s="7" t="inlineStr">
        <is>
          <t>D6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שדה</t>
        </is>
      </c>
      <c r="Q457" s="8" t="inlineStr">
        <is>
          <t>CHGNR</t>
        </is>
      </c>
      <c r="R457" s="7" t="inlineStr">
        <is>
          <t>מספר שינוי</t>
        </is>
      </c>
      <c r="S457" s="7" t="inlineStr">
        <is>
          <t>Change number</t>
        </is>
      </c>
      <c r="T457" s="7" t="inlineStr">
        <is>
          <t>8. ניהול סטטוסים (Status Mgmt)</t>
        </is>
      </c>
      <c r="U457" s="7" t="inlineStr">
        <is>
          <t>D7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טרנזקציה</t>
        </is>
      </c>
      <c r="Q458" s="8" t="inlineStr">
        <is>
          <t>BS22</t>
        </is>
      </c>
      <c r="R458" s="7" t="inlineStr">
        <is>
          <t>סטטוס אובייקט (פעיל/לא פעיל)</t>
        </is>
      </c>
      <c r="S458" s="7" t="inlineStr">
        <is>
          <t>Individual object status</t>
        </is>
      </c>
      <c r="T458" s="7" t="inlineStr">
        <is>
          <t>8. ניהול סטטוסים (Status Mgmt)</t>
        </is>
      </c>
      <c r="U458" s="7" t="inlineStr">
        <is>
          <t>A4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טרנזקציה</t>
        </is>
      </c>
      <c r="Q459" s="8" t="inlineStr">
        <is>
          <t>BS23</t>
        </is>
      </c>
      <c r="R459" s="7" t="inlineStr">
        <is>
          <t>סטטוס אובייקט (פעיל/לא פעיל)</t>
        </is>
      </c>
      <c r="S459" s="7" t="inlineStr">
        <is>
          <t>Individual object status</t>
        </is>
      </c>
      <c r="T459" s="7" t="inlineStr">
        <is>
          <t>8. ניהול סטטוסים (Status Mgmt)</t>
        </is>
      </c>
      <c r="U459" s="7" t="inlineStr">
        <is>
          <t>A4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טרנזקציה</t>
        </is>
      </c>
      <c r="Q460" s="8" t="inlineStr">
        <is>
          <t>IW33</t>
        </is>
      </c>
      <c r="R460" s="7" t="inlineStr">
        <is>
          <t>סטטוס אובייקט (פעיל/לא פעיל)</t>
        </is>
      </c>
      <c r="S460" s="7" t="inlineStr">
        <is>
          <t>Individual object status</t>
        </is>
      </c>
      <c r="T460" s="7" t="inlineStr">
        <is>
          <t>8. ניהול סטטוסים (Status Mgmt)</t>
        </is>
      </c>
      <c r="U460" s="7" t="inlineStr">
        <is>
          <t>A4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טרנזקציה</t>
        </is>
      </c>
      <c r="Q461" s="8" t="inlineStr">
        <is>
          <t>IE03</t>
        </is>
      </c>
      <c r="R461" s="7" t="inlineStr">
        <is>
          <t>סטטוס אובייקט (פעיל/לא פעיל)</t>
        </is>
      </c>
      <c r="S461" s="7" t="inlineStr">
        <is>
          <t>Individual object status</t>
        </is>
      </c>
      <c r="T461" s="7" t="inlineStr">
        <is>
          <t>8. ניהול סטטוסים (Status Mgmt)</t>
        </is>
      </c>
      <c r="U461" s="7" t="inlineStr">
        <is>
          <t>A4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פונקציה</t>
        </is>
      </c>
      <c r="Q462" s="8" t="inlineStr">
        <is>
          <t>STATUS_READ</t>
        </is>
      </c>
      <c r="R462" s="7" t="inlineStr">
        <is>
          <t>קריאת סטטוסי אובייקט</t>
        </is>
      </c>
      <c r="S462" s="7" t="inlineStr">
        <is>
          <t>Individual object status</t>
        </is>
      </c>
      <c r="T462" s="7" t="inlineStr">
        <is>
          <t>8. ניהול סטטוסים (Status Mgmt)</t>
        </is>
      </c>
      <c r="U462" s="7" t="inlineStr">
        <is>
          <t>G4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פונקציה</t>
        </is>
      </c>
      <c r="Q463" s="8" t="inlineStr">
        <is>
          <t>STATUS_CHANGE_INTERN</t>
        </is>
      </c>
      <c r="R463" s="7" t="inlineStr">
        <is>
          <t>שינוי סטטוס מערכת פנימי</t>
        </is>
      </c>
      <c r="S463" s="7" t="inlineStr">
        <is>
          <t>Individual object status</t>
        </is>
      </c>
      <c r="T463" s="7" t="inlineStr">
        <is>
          <t>8. ניהול סטטוסים (Status Mgmt)</t>
        </is>
      </c>
      <c r="U463" s="7" t="inlineStr">
        <is>
          <t>G4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פונקציה</t>
        </is>
      </c>
      <c r="Q464" s="8" t="inlineStr">
        <is>
          <t>STATUS_CHANGE_EXTERN</t>
        </is>
      </c>
      <c r="R464" s="7" t="inlineStr">
        <is>
          <t>שינוי סטטוס משתמש</t>
        </is>
      </c>
      <c r="S464" s="7" t="inlineStr">
        <is>
          <t>Individual object status</t>
        </is>
      </c>
      <c r="T464" s="7" t="inlineStr">
        <is>
          <t>8. ניהול סטטוסים (Status Mgmt)</t>
        </is>
      </c>
      <c r="U464" s="7" t="inlineStr">
        <is>
          <t>G4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תוכנית</t>
        </is>
      </c>
      <c r="Q465" s="8" t="inlineStr">
        <is>
          <t>RISTAT00</t>
        </is>
      </c>
      <c r="R465" s="7" t="inlineStr">
        <is>
          <t>ניתוח סטטוסים פעילים לאובייקטים</t>
        </is>
      </c>
      <c r="S465" s="7" t="inlineStr">
        <is>
          <t>Individual object status</t>
        </is>
      </c>
      <c r="T465" s="7" t="inlineStr">
        <is>
          <t>8. ניהול סטטוסים (Status Mgmt)</t>
        </is>
      </c>
      <c r="U465" s="7" t="inlineStr">
        <is>
          <t>I4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Fiori</t>
        </is>
      </c>
      <c r="Q466" s="8" t="inlineStr">
        <is>
          <t>מוטמע באפליקציות PM (אין ייעודי)</t>
        </is>
      </c>
      <c r="R466" s="7" t="inlineStr">
        <is>
          <t>סטטוס אובייקט (פעיל/לא פעיל)</t>
        </is>
      </c>
      <c r="S466" s="7" t="inlineStr">
        <is>
          <t>Individual object status</t>
        </is>
      </c>
      <c r="T466" s="7" t="inlineStr">
        <is>
          <t>8. ניהול סטטוסים (Status Mgmt)</t>
        </is>
      </c>
      <c r="U466" s="7" t="inlineStr">
        <is>
          <t>N4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טבלה</t>
        </is>
      </c>
      <c r="Q467" s="8" t="inlineStr">
        <is>
          <t>JSTO</t>
        </is>
      </c>
      <c r="R467" s="7" t="inlineStr">
        <is>
          <t>כותרת אובייקט סטטוס + פרופיל</t>
        </is>
      </c>
      <c r="S467" s="7" t="inlineStr">
        <is>
          <t>Status object header + profile</t>
        </is>
      </c>
      <c r="T467" s="7" t="inlineStr">
        <is>
          <t>8. ניהול סטטוסים (Status Mgmt)</t>
        </is>
      </c>
      <c r="U467" s="7" t="inlineStr">
        <is>
          <t>A9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שדה</t>
        </is>
      </c>
      <c r="Q468" s="8" t="inlineStr">
        <is>
          <t>OBJNR</t>
        </is>
      </c>
      <c r="R468" s="7" t="inlineStr">
        <is>
          <t>מפתח אובייקט</t>
        </is>
      </c>
      <c r="S468" s="7" t="inlineStr">
        <is>
          <t>Object number</t>
        </is>
      </c>
      <c r="T468" s="7" t="inlineStr">
        <is>
          <t>8. ניהול סטטוסים (Status Mgmt)</t>
        </is>
      </c>
      <c r="U468" s="7" t="inlineStr">
        <is>
          <t>D10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שדה</t>
        </is>
      </c>
      <c r="Q469" s="8" t="inlineStr">
        <is>
          <t>STSMA</t>
        </is>
      </c>
      <c r="R469" s="7" t="inlineStr">
        <is>
          <t>פרופיל סטטוס</t>
        </is>
      </c>
      <c r="S469" s="7" t="inlineStr">
        <is>
          <t>Status profile</t>
        </is>
      </c>
      <c r="T469" s="7" t="inlineStr">
        <is>
          <t>8. ניהול סטטוסים (Status Mgmt)</t>
        </is>
      </c>
      <c r="U469" s="7" t="inlineStr">
        <is>
          <t>D11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שדה</t>
        </is>
      </c>
      <c r="Q470" s="8" t="inlineStr">
        <is>
          <t>OBTYP</t>
        </is>
      </c>
      <c r="R470" s="7" t="inlineStr">
        <is>
          <t>סוג אובייקט</t>
        </is>
      </c>
      <c r="S470" s="7" t="inlineStr">
        <is>
          <t>Object type</t>
        </is>
      </c>
      <c r="T470" s="7" t="inlineStr">
        <is>
          <t>8. ניהול סטטוסים (Status Mgmt)</t>
        </is>
      </c>
      <c r="U470" s="7" t="inlineStr">
        <is>
          <t>D12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שדה</t>
        </is>
      </c>
      <c r="Q471" s="8" t="inlineStr">
        <is>
          <t>CHGKZ</t>
        </is>
      </c>
      <c r="R471" s="7" t="inlineStr">
        <is>
          <t>מחוון שינוי</t>
        </is>
      </c>
      <c r="S471" s="7" t="inlineStr">
        <is>
          <t>Change flag</t>
        </is>
      </c>
      <c r="T471" s="7" t="inlineStr">
        <is>
          <t>8. ניהול סטטוסים (Status Mgmt)</t>
        </is>
      </c>
      <c r="U471" s="7" t="inlineStr">
        <is>
          <t>D13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טרנזקציה</t>
        </is>
      </c>
      <c r="Q472" s="8" t="inlineStr">
        <is>
          <t>BS02</t>
        </is>
      </c>
      <c r="R472" s="7" t="inlineStr">
        <is>
          <t>כותרת אובייקט סטטוס + פרופיל</t>
        </is>
      </c>
      <c r="S472" s="7" t="inlineStr">
        <is>
          <t>Status object header + profile</t>
        </is>
      </c>
      <c r="T472" s="7" t="inlineStr">
        <is>
          <t>8. ניהול סטטוסים (Status Mgmt)</t>
        </is>
      </c>
      <c r="U472" s="7" t="inlineStr">
        <is>
          <t>A10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טרנזקציה</t>
        </is>
      </c>
      <c r="Q473" s="8" t="inlineStr">
        <is>
          <t>BS03</t>
        </is>
      </c>
      <c r="R473" s="7" t="inlineStr">
        <is>
          <t>כותרת אובייקט סטטוס + פרופיל</t>
        </is>
      </c>
      <c r="S473" s="7" t="inlineStr">
        <is>
          <t>Status object header + profile</t>
        </is>
      </c>
      <c r="T473" s="7" t="inlineStr">
        <is>
          <t>8. ניהול סטטוסים (Status Mgmt)</t>
        </is>
      </c>
      <c r="U473" s="7" t="inlineStr">
        <is>
          <t>A10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טרנזקציה</t>
        </is>
      </c>
      <c r="Q474" s="8" t="inlineStr">
        <is>
          <t>OIBS</t>
        </is>
      </c>
      <c r="R474" s="7" t="inlineStr">
        <is>
          <t>כותרת אובייקט סטטוס + פרופיל</t>
        </is>
      </c>
      <c r="S474" s="7" t="inlineStr">
        <is>
          <t>Status object header + profile</t>
        </is>
      </c>
      <c r="T474" s="7" t="inlineStr">
        <is>
          <t>8. ניהול סטטוסים (Status Mgmt)</t>
        </is>
      </c>
      <c r="U474" s="7" t="inlineStr">
        <is>
          <t>A10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פונקציה</t>
        </is>
      </c>
      <c r="Q475" s="8" t="inlineStr">
        <is>
          <t>STATUS_OBJECT_CREATE</t>
        </is>
      </c>
      <c r="R475" s="7" t="inlineStr">
        <is>
          <t>יצירת אובייקט סטטוס</t>
        </is>
      </c>
      <c r="S475" s="7" t="inlineStr">
        <is>
          <t>Status object header + profile</t>
        </is>
      </c>
      <c r="T475" s="7" t="inlineStr">
        <is>
          <t>8. ניהול סטטוסים (Status Mgmt)</t>
        </is>
      </c>
      <c r="U475" s="7" t="inlineStr">
        <is>
          <t>G10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פונקציה</t>
        </is>
      </c>
      <c r="Q476" s="8" t="inlineStr">
        <is>
          <t>STATUS_PROFILE_READ</t>
        </is>
      </c>
      <c r="R476" s="7" t="inlineStr">
        <is>
          <t>קריאת פרופיל סטטוס</t>
        </is>
      </c>
      <c r="S476" s="7" t="inlineStr">
        <is>
          <t>Status object header + profile</t>
        </is>
      </c>
      <c r="T476" s="7" t="inlineStr">
        <is>
          <t>8. ניהול סטטוסים (Status Mgmt)</t>
        </is>
      </c>
      <c r="U476" s="7" t="inlineStr">
        <is>
          <t>G10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תוכנית</t>
        </is>
      </c>
      <c r="Q477" s="8" t="inlineStr">
        <is>
          <t>RIBS0200</t>
        </is>
      </c>
      <c r="R477" s="7" t="inlineStr">
        <is>
          <t>סקירת פרופילי סטטוס וחסימות</t>
        </is>
      </c>
      <c r="S477" s="7" t="inlineStr">
        <is>
          <t>Status object header + profile</t>
        </is>
      </c>
      <c r="T477" s="7" t="inlineStr">
        <is>
          <t>8. ניהול סטטוסים (Status Mgmt)</t>
        </is>
      </c>
      <c r="U477" s="7" t="inlineStr">
        <is>
          <t>I10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Fiori</t>
        </is>
      </c>
      <c r="Q478" s="8" t="inlineStr">
        <is>
          <t>מוטמע באפליקציות PM (אין ייעודי)</t>
        </is>
      </c>
      <c r="R478" s="7" t="inlineStr">
        <is>
          <t>כותרת אובייקט סטטוס + פרופיל</t>
        </is>
      </c>
      <c r="S478" s="7" t="inlineStr">
        <is>
          <t>Status object header + profile</t>
        </is>
      </c>
      <c r="T478" s="7" t="inlineStr">
        <is>
          <t>8. ניהול סטטוסים (Status Mgmt)</t>
        </is>
      </c>
      <c r="U478" s="7" t="inlineStr">
        <is>
          <t>N10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טבלה</t>
        </is>
      </c>
      <c r="Q479" s="8" t="inlineStr">
        <is>
          <t>TJ02T</t>
        </is>
      </c>
      <c r="R479" s="7" t="inlineStr">
        <is>
          <t>טקסטים של סטטוסי מערכת</t>
        </is>
      </c>
      <c r="S479" s="7" t="inlineStr">
        <is>
          <t>System status texts</t>
        </is>
      </c>
      <c r="T479" s="7" t="inlineStr">
        <is>
          <t>8. ניהול סטטוסים (Status Mgmt)</t>
        </is>
      </c>
      <c r="U479" s="7" t="inlineStr">
        <is>
          <t>A15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שדה</t>
        </is>
      </c>
      <c r="Q480" s="8" t="inlineStr">
        <is>
          <t>ISTAT</t>
        </is>
      </c>
      <c r="R480" s="7" t="inlineStr">
        <is>
          <t>סטטוס מערכת פנימי</t>
        </is>
      </c>
      <c r="S480" s="7" t="inlineStr">
        <is>
          <t>Internal system status</t>
        </is>
      </c>
      <c r="T480" s="7" t="inlineStr">
        <is>
          <t>8. ניהול סטטוסים (Status Mgmt)</t>
        </is>
      </c>
      <c r="U480" s="7" t="inlineStr">
        <is>
          <t>D16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שדה</t>
        </is>
      </c>
      <c r="Q481" s="8" t="inlineStr">
        <is>
          <t>SPRAS</t>
        </is>
      </c>
      <c r="R481" s="7" t="inlineStr">
        <is>
          <t>שפה</t>
        </is>
      </c>
      <c r="S481" s="7" t="inlineStr">
        <is>
          <t>Language key</t>
        </is>
      </c>
      <c r="T481" s="7" t="inlineStr">
        <is>
          <t>8. ניהול סטטוסים (Status Mgmt)</t>
        </is>
      </c>
      <c r="U481" s="7" t="inlineStr">
        <is>
          <t>D17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שדה</t>
        </is>
      </c>
      <c r="Q482" s="8" t="inlineStr">
        <is>
          <t>TXT04</t>
        </is>
      </c>
      <c r="R482" s="7" t="inlineStr">
        <is>
          <t>קוד סטטוס מקוצר</t>
        </is>
      </c>
      <c r="S482" s="7" t="inlineStr">
        <is>
          <t>Status code (CRTD/REL/TECO/CLSD)</t>
        </is>
      </c>
      <c r="T482" s="7" t="inlineStr">
        <is>
          <t>8. ניהול סטטוסים (Status Mgmt)</t>
        </is>
      </c>
      <c r="U482" s="7" t="inlineStr">
        <is>
          <t>D18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שדה</t>
        </is>
      </c>
      <c r="Q483" s="8" t="inlineStr">
        <is>
          <t>TXT30</t>
        </is>
      </c>
      <c r="R483" s="7" t="inlineStr">
        <is>
          <t>תיאור ארוך</t>
        </is>
      </c>
      <c r="S483" s="7" t="inlineStr">
        <is>
          <t>Status long text</t>
        </is>
      </c>
      <c r="T483" s="7" t="inlineStr">
        <is>
          <t>8. ניהול סטטוסים (Status Mgmt)</t>
        </is>
      </c>
      <c r="U483" s="7" t="inlineStr">
        <is>
          <t>D19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טרנזקציה</t>
        </is>
      </c>
      <c r="Q484" s="8" t="inlineStr">
        <is>
          <t>BS23</t>
        </is>
      </c>
      <c r="R484" s="7" t="inlineStr">
        <is>
          <t>טקסטים של סטטוסי מערכת</t>
        </is>
      </c>
      <c r="S484" s="7" t="inlineStr">
        <is>
          <t>System status texts</t>
        </is>
      </c>
      <c r="T484" s="7" t="inlineStr">
        <is>
          <t>8. ניהול סטטוסים (Status Mgmt)</t>
        </is>
      </c>
      <c r="U484" s="7" t="inlineStr">
        <is>
          <t>A16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טרנזקציה</t>
        </is>
      </c>
      <c r="Q485" s="8" t="inlineStr">
        <is>
          <t>BS22</t>
        </is>
      </c>
      <c r="R485" s="7" t="inlineStr">
        <is>
          <t>טקסטים של סטטוסי מערכת</t>
        </is>
      </c>
      <c r="S485" s="7" t="inlineStr">
        <is>
          <t>System status texts</t>
        </is>
      </c>
      <c r="T485" s="7" t="inlineStr">
        <is>
          <t>8. ניהול סטטוסים (Status Mgmt)</t>
        </is>
      </c>
      <c r="U485" s="7" t="inlineStr">
        <is>
          <t>A16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פונקציה</t>
        </is>
      </c>
      <c r="Q486" s="8" t="inlineStr">
        <is>
          <t>STATUS_TEXT_READ</t>
        </is>
      </c>
      <c r="R486" s="7" t="inlineStr">
        <is>
          <t>קריאת טקסט סטטוס מערכת</t>
        </is>
      </c>
      <c r="S486" s="7" t="inlineStr">
        <is>
          <t>System status texts</t>
        </is>
      </c>
      <c r="T486" s="7" t="inlineStr">
        <is>
          <t>8. ניהול סטטוסים (Status Mgmt)</t>
        </is>
      </c>
      <c r="U486" s="7" t="inlineStr">
        <is>
          <t>G16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תוכנית</t>
        </is>
      </c>
      <c r="Q487" s="8" t="inlineStr">
        <is>
          <t>RISTAT00</t>
        </is>
      </c>
      <c r="R487" s="7" t="inlineStr">
        <is>
          <t>פענוח קודי סטטוס בדוחות</t>
        </is>
      </c>
      <c r="S487" s="7" t="inlineStr">
        <is>
          <t>System status texts</t>
        </is>
      </c>
      <c r="T487" s="7" t="inlineStr">
        <is>
          <t>8. ניהול סטטוסים (Status Mgmt)</t>
        </is>
      </c>
      <c r="U487" s="7" t="inlineStr">
        <is>
          <t>I16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Fiori</t>
        </is>
      </c>
      <c r="Q488" s="8" t="inlineStr">
        <is>
          <t>מוטמע (אין ייעודי)</t>
        </is>
      </c>
      <c r="R488" s="7" t="inlineStr">
        <is>
          <t>טקסטים של סטטוסי מערכת</t>
        </is>
      </c>
      <c r="S488" s="7" t="inlineStr">
        <is>
          <t>System status texts</t>
        </is>
      </c>
      <c r="T488" s="7" t="inlineStr">
        <is>
          <t>8. ניהול סטטוסים (Status Mgmt)</t>
        </is>
      </c>
      <c r="U488" s="7" t="inlineStr">
        <is>
          <t>N16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טבלה</t>
        </is>
      </c>
      <c r="Q489" s="8" t="inlineStr">
        <is>
          <t>TJ30T</t>
        </is>
      </c>
      <c r="R489" s="7" t="inlineStr">
        <is>
          <t>טקסטים של סטטוסי משתמש</t>
        </is>
      </c>
      <c r="S489" s="7" t="inlineStr">
        <is>
          <t>User status texts</t>
        </is>
      </c>
      <c r="T489" s="7" t="inlineStr">
        <is>
          <t>8. ניהול סטטוסים (Status Mgmt)</t>
        </is>
      </c>
      <c r="U489" s="7" t="inlineStr">
        <is>
          <t>A21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שדה</t>
        </is>
      </c>
      <c r="Q490" s="8" t="inlineStr">
        <is>
          <t>STSMA</t>
        </is>
      </c>
      <c r="R490" s="7" t="inlineStr">
        <is>
          <t>פרופיל סטטוס</t>
        </is>
      </c>
      <c r="S490" s="7" t="inlineStr">
        <is>
          <t>Status profile</t>
        </is>
      </c>
      <c r="T490" s="7" t="inlineStr">
        <is>
          <t>8. ניהול סטטוסים (Status Mgmt)</t>
        </is>
      </c>
      <c r="U490" s="7" t="inlineStr">
        <is>
          <t>D22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שדה</t>
        </is>
      </c>
      <c r="Q491" s="8" t="inlineStr">
        <is>
          <t>ESTAT</t>
        </is>
      </c>
      <c r="R491" s="7" t="inlineStr">
        <is>
          <t>סטטוס משתמש</t>
        </is>
      </c>
      <c r="S491" s="7" t="inlineStr">
        <is>
          <t>User status</t>
        </is>
      </c>
      <c r="T491" s="7" t="inlineStr">
        <is>
          <t>8. ניהול סטטוסים (Status Mgmt)</t>
        </is>
      </c>
      <c r="U491" s="7" t="inlineStr">
        <is>
          <t>D23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SPRAS</t>
        </is>
      </c>
      <c r="R492" s="7" t="inlineStr">
        <is>
          <t>שפה</t>
        </is>
      </c>
      <c r="S492" s="7" t="inlineStr">
        <is>
          <t>Language key</t>
        </is>
      </c>
      <c r="T492" s="7" t="inlineStr">
        <is>
          <t>8. ניהול סטטוסים (Status Mgmt)</t>
        </is>
      </c>
      <c r="U492" s="7" t="inlineStr">
        <is>
          <t>D24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TXT04</t>
        </is>
      </c>
      <c r="R493" s="7" t="inlineStr">
        <is>
          <t>קוד מקוצר</t>
        </is>
      </c>
      <c r="S493" s="7" t="inlineStr">
        <is>
          <t>User status short code</t>
        </is>
      </c>
      <c r="T493" s="7" t="inlineStr">
        <is>
          <t>8. ניהול סטטוסים (Status Mgmt)</t>
        </is>
      </c>
      <c r="U493" s="7" t="inlineStr">
        <is>
          <t>D25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שדה</t>
        </is>
      </c>
      <c r="Q494" s="8" t="inlineStr">
        <is>
          <t>TXT30</t>
        </is>
      </c>
      <c r="R494" s="7" t="inlineStr">
        <is>
          <t>תיאור סטטוס משתמש</t>
        </is>
      </c>
      <c r="S494" s="7" t="inlineStr">
        <is>
          <t>User status text</t>
        </is>
      </c>
      <c r="T494" s="7" t="inlineStr">
        <is>
          <t>8. ניהול סטטוסים (Status Mgmt)</t>
        </is>
      </c>
      <c r="U494" s="7" t="inlineStr">
        <is>
          <t>D26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טרנזקציה</t>
        </is>
      </c>
      <c r="Q495" s="8" t="inlineStr">
        <is>
          <t>BS02</t>
        </is>
      </c>
      <c r="R495" s="7" t="inlineStr">
        <is>
          <t>טקסטים של סטטוסי משתמש</t>
        </is>
      </c>
      <c r="S495" s="7" t="inlineStr">
        <is>
          <t>User status texts</t>
        </is>
      </c>
      <c r="T495" s="7" t="inlineStr">
        <is>
          <t>8. ניהול סטטוסים (Status Mgmt)</t>
        </is>
      </c>
      <c r="U495" s="7" t="inlineStr">
        <is>
          <t>A22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BS03</t>
        </is>
      </c>
      <c r="R496" s="7" t="inlineStr">
        <is>
          <t>טקסטים של סטטוסי משתמש</t>
        </is>
      </c>
      <c r="S496" s="7" t="inlineStr">
        <is>
          <t>User status texts</t>
        </is>
      </c>
      <c r="T496" s="7" t="inlineStr">
        <is>
          <t>8. ניהול סטטוסים (Status Mgmt)</t>
        </is>
      </c>
      <c r="U496" s="7" t="inlineStr">
        <is>
          <t>A22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פונקציה</t>
        </is>
      </c>
      <c r="Q497" s="8" t="inlineStr">
        <is>
          <t>USER_STATUS_TEXT_READ</t>
        </is>
      </c>
      <c r="R497" s="7" t="inlineStr">
        <is>
          <t>קריאת טקסט סטטוס משתמש</t>
        </is>
      </c>
      <c r="S497" s="7" t="inlineStr">
        <is>
          <t>User status texts</t>
        </is>
      </c>
      <c r="T497" s="7" t="inlineStr">
        <is>
          <t>8. ניהול סטטוסים (Status Mgmt)</t>
        </is>
      </c>
      <c r="U497" s="7" t="inlineStr">
        <is>
          <t>G22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תוכנית</t>
        </is>
      </c>
      <c r="Q498" s="8" t="inlineStr">
        <is>
          <t>RIBS0200</t>
        </is>
      </c>
      <c r="R498" s="7" t="inlineStr">
        <is>
          <t>סקירת סטטוסי משתמש בפרופיל</t>
        </is>
      </c>
      <c r="S498" s="7" t="inlineStr">
        <is>
          <t>User status texts</t>
        </is>
      </c>
      <c r="T498" s="7" t="inlineStr">
        <is>
          <t>8. ניהול סטטוסים (Status Mgmt)</t>
        </is>
      </c>
      <c r="U498" s="7" t="inlineStr">
        <is>
          <t>I22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Fiori</t>
        </is>
      </c>
      <c r="Q499" s="8" t="inlineStr">
        <is>
          <t>מוטמע (אין ייעודי)</t>
        </is>
      </c>
      <c r="R499" s="7" t="inlineStr">
        <is>
          <t>טקסטים של סטטוסי משתמש</t>
        </is>
      </c>
      <c r="S499" s="7" t="inlineStr">
        <is>
          <t>User status texts</t>
        </is>
      </c>
      <c r="T499" s="7" t="inlineStr">
        <is>
          <t>8. ניהול סטטוסים (Status Mgmt)</t>
        </is>
      </c>
      <c r="U499" s="7" t="inlineStr">
        <is>
          <t>N22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User Exit</t>
        </is>
      </c>
      <c r="Q500" s="8" t="inlineStr">
        <is>
          <t>STATUS (BS02/BS22)</t>
        </is>
      </c>
      <c r="R500" s="7" t="inlineStr">
        <is>
          <t>סטטוס משתמש מוגדר בפרופיל ולא דרך user-exit ייעודי</t>
        </is>
      </c>
      <c r="S500" s="7" t="inlineStr"/>
      <c r="T500" s="7" t="inlineStr">
        <is>
          <t>8. ניהול סטטוסים (Status Mgmt)</t>
        </is>
      </c>
      <c r="U500" s="7" t="inlineStr">
        <is>
          <t>A31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BAdI</t>
        </is>
      </c>
      <c r="Q501" s="8" t="inlineStr">
        <is>
          <t>BADI_STATUS_MANAGEMENT</t>
        </is>
      </c>
      <c r="R501" s="7" t="inlineStr">
        <is>
          <t>הרחבת לוגיקת סטטוס (אמת שם ב-SE18)</t>
        </is>
      </c>
      <c r="S501" s="7" t="inlineStr"/>
      <c r="T501" s="7" t="inlineStr">
        <is>
          <t>8. ניהול סטטוסים (Status Mgmt)</t>
        </is>
      </c>
      <c r="U501" s="7" t="inlineStr">
        <is>
          <t>A32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טבלה</t>
        </is>
      </c>
      <c r="Q502" s="8" t="inlineStr">
        <is>
          <t>RESB</t>
        </is>
      </c>
      <c r="R502" s="7" t="inlineStr">
        <is>
          <t>הזמנת רכיבים (Reservation)</t>
        </is>
      </c>
      <c r="S502" s="7" t="inlineStr">
        <is>
          <t>Reservation / dependent requirements</t>
        </is>
      </c>
      <c r="T502" s="7" t="inlineStr">
        <is>
          <t>9. אינטגרציית מלאי ורכש (PM-MM)</t>
        </is>
      </c>
      <c r="U502" s="7" t="inlineStr">
        <is>
          <t>A3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שדה</t>
        </is>
      </c>
      <c r="Q503" s="8" t="inlineStr">
        <is>
          <t>RSNUM</t>
        </is>
      </c>
      <c r="R503" s="7" t="inlineStr">
        <is>
          <t>מספר הזמנה</t>
        </is>
      </c>
      <c r="S503" s="7" t="inlineStr">
        <is>
          <t>Reservation number</t>
        </is>
      </c>
      <c r="T503" s="7" t="inlineStr">
        <is>
          <t>9. אינטגרציית מלאי ורכש (PM-MM)</t>
        </is>
      </c>
      <c r="U503" s="7" t="inlineStr">
        <is>
          <t>D4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RSPOS</t>
        </is>
      </c>
      <c r="R504" s="7" t="inlineStr">
        <is>
          <t>פריט הזמנה</t>
        </is>
      </c>
      <c r="S504" s="7" t="inlineStr">
        <is>
          <t>Reservation item</t>
        </is>
      </c>
      <c r="T504" s="7" t="inlineStr">
        <is>
          <t>9. אינטגרציית מלאי ורכש (PM-MM)</t>
        </is>
      </c>
      <c r="U504" s="7" t="inlineStr">
        <is>
          <t>D5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MATNR</t>
        </is>
      </c>
      <c r="R505" s="7" t="inlineStr">
        <is>
          <t>חומר רכיב</t>
        </is>
      </c>
      <c r="S505" s="7" t="inlineStr">
        <is>
          <t>Component material</t>
        </is>
      </c>
      <c r="T505" s="7" t="inlineStr">
        <is>
          <t>9. אינטגרציית מלאי ורכש (PM-MM)</t>
        </is>
      </c>
      <c r="U505" s="7" t="inlineStr">
        <is>
          <t>D6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BDMNG</t>
        </is>
      </c>
      <c r="R506" s="7" t="inlineStr">
        <is>
          <t>כמות נדרשת</t>
        </is>
      </c>
      <c r="S506" s="7" t="inlineStr">
        <is>
          <t>Requirement quantity</t>
        </is>
      </c>
      <c r="T506" s="7" t="inlineStr">
        <is>
          <t>9. אינטגרציית מלאי ורכש (PM-MM)</t>
        </is>
      </c>
      <c r="U506" s="7" t="inlineStr">
        <is>
          <t>D7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ENMNG</t>
        </is>
      </c>
      <c r="R507" s="7" t="inlineStr">
        <is>
          <t>כמות שנפלטה</t>
        </is>
      </c>
      <c r="S507" s="7" t="inlineStr">
        <is>
          <t>Quantity withdrawn</t>
        </is>
      </c>
      <c r="T507" s="7" t="inlineStr">
        <is>
          <t>9. אינטגרציית מלאי ורכש (PM-MM)</t>
        </is>
      </c>
      <c r="U507" s="7" t="inlineStr">
        <is>
          <t>D8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שדה</t>
        </is>
      </c>
      <c r="Q508" s="8" t="inlineStr">
        <is>
          <t>AUFNR</t>
        </is>
      </c>
      <c r="R508" s="7" t="inlineStr">
        <is>
          <t>פק"ע מחויבת</t>
        </is>
      </c>
      <c r="S508" s="7" t="inlineStr">
        <is>
          <t>Order (account assignment)</t>
        </is>
      </c>
      <c r="T508" s="7" t="inlineStr">
        <is>
          <t>9. אינטגרציית מלאי ורכש (PM-MM)</t>
        </is>
      </c>
      <c r="U508" s="7" t="inlineStr">
        <is>
          <t>D9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MB1A</t>
        </is>
      </c>
      <c r="R509" s="7" t="inlineStr">
        <is>
          <t>הזמנת רכיבים (Reservation)</t>
        </is>
      </c>
      <c r="S509" s="7" t="inlineStr">
        <is>
          <t>Reservation / dependent requirements</t>
        </is>
      </c>
      <c r="T509" s="7" t="inlineStr">
        <is>
          <t>9. אינטגרציית מלאי ורכש (PM-MM)</t>
        </is>
      </c>
      <c r="U509" s="7" t="inlineStr">
        <is>
          <t>A4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טרנזקציה</t>
        </is>
      </c>
      <c r="Q510" s="8" t="inlineStr">
        <is>
          <t>MIGO</t>
        </is>
      </c>
      <c r="R510" s="7" t="inlineStr">
        <is>
          <t>הזמנת רכיבים (Reservation)</t>
        </is>
      </c>
      <c r="S510" s="7" t="inlineStr">
        <is>
          <t>Reservation / dependent requirements</t>
        </is>
      </c>
      <c r="T510" s="7" t="inlineStr">
        <is>
          <t>9. אינטגרציית מלאי ורכש (PM-MM)</t>
        </is>
      </c>
      <c r="U510" s="7" t="inlineStr">
        <is>
          <t>A4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טרנזקציה</t>
        </is>
      </c>
      <c r="Q511" s="8" t="inlineStr">
        <is>
          <t>MB21</t>
        </is>
      </c>
      <c r="R511" s="7" t="inlineStr">
        <is>
          <t>הזמנת רכיבים (Reservation)</t>
        </is>
      </c>
      <c r="S511" s="7" t="inlineStr">
        <is>
          <t>Reservation / dependent requirements</t>
        </is>
      </c>
      <c r="T511" s="7" t="inlineStr">
        <is>
          <t>9. אינטגרציית מלאי ורכש (PM-MM)</t>
        </is>
      </c>
      <c r="U511" s="7" t="inlineStr">
        <is>
          <t>A4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טרנזקציה</t>
        </is>
      </c>
      <c r="Q512" s="8" t="inlineStr">
        <is>
          <t>IW32</t>
        </is>
      </c>
      <c r="R512" s="7" t="inlineStr">
        <is>
          <t>הזמנת רכיבים (Reservation)</t>
        </is>
      </c>
      <c r="S512" s="7" t="inlineStr">
        <is>
          <t>Reservation / dependent requirements</t>
        </is>
      </c>
      <c r="T512" s="7" t="inlineStr">
        <is>
          <t>9. אינטגרציית מלאי ורכש (PM-MM)</t>
        </is>
      </c>
      <c r="U512" s="7" t="inlineStr">
        <is>
          <t>A4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פונקציה</t>
        </is>
      </c>
      <c r="Q513" s="8" t="inlineStr">
        <is>
          <t>BAPI_RESERVATION_CREATE1</t>
        </is>
      </c>
      <c r="R513" s="7" t="inlineStr">
        <is>
          <t>יצירת הזמנת מלאי</t>
        </is>
      </c>
      <c r="S513" s="7" t="inlineStr">
        <is>
          <t>Reservation / dependent requirements</t>
        </is>
      </c>
      <c r="T513" s="7" t="inlineStr">
        <is>
          <t>9. אינטגרציית מלאי ורכש (PM-MM)</t>
        </is>
      </c>
      <c r="U513" s="7" t="inlineStr">
        <is>
          <t>G4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פונקציה</t>
        </is>
      </c>
      <c r="Q514" s="8" t="inlineStr">
        <is>
          <t>BAPI_GOODSMVT_CREATE</t>
        </is>
      </c>
      <c r="R514" s="7" t="inlineStr">
        <is>
          <t>רישום פליטת חומר (261)</t>
        </is>
      </c>
      <c r="S514" s="7" t="inlineStr">
        <is>
          <t>Reservation / dependent requirements</t>
        </is>
      </c>
      <c r="T514" s="7" t="inlineStr">
        <is>
          <t>9. אינטגרציית מלאי ורכש (PM-MM)</t>
        </is>
      </c>
      <c r="U514" s="7" t="inlineStr">
        <is>
          <t>G4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פונקציה</t>
        </is>
      </c>
      <c r="Q515" s="8" t="inlineStr">
        <is>
          <t>RESERVATION_READ</t>
        </is>
      </c>
      <c r="R515" s="7" t="inlineStr">
        <is>
          <t>קריאת הזמנת רכיבים</t>
        </is>
      </c>
      <c r="S515" s="7" t="inlineStr">
        <is>
          <t>Reservation / dependent requirements</t>
        </is>
      </c>
      <c r="T515" s="7" t="inlineStr">
        <is>
          <t>9. אינטגרציית מלאי ורכש (PM-MM)</t>
        </is>
      </c>
      <c r="U515" s="7" t="inlineStr">
        <is>
          <t>G4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תוכנית</t>
        </is>
      </c>
      <c r="Q516" s="8" t="inlineStr">
        <is>
          <t>RM07RESL</t>
        </is>
      </c>
      <c r="R516" s="7" t="inlineStr">
        <is>
          <t>דוח הזמנות מלאי פתוחות</t>
        </is>
      </c>
      <c r="S516" s="7" t="inlineStr">
        <is>
          <t>Reservation / dependent requirements</t>
        </is>
      </c>
      <c r="T516" s="7" t="inlineStr">
        <is>
          <t>9. אינטגרציית מלאי ורכש (PM-MM)</t>
        </is>
      </c>
      <c r="U516" s="7" t="inlineStr">
        <is>
          <t>I4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Fiori</t>
        </is>
      </c>
      <c r="Q517" s="8" t="inlineStr">
        <is>
          <t>Post Goods Movement / MIGO (אמת ID)</t>
        </is>
      </c>
      <c r="R517" s="7" t="inlineStr">
        <is>
          <t>הזמנת רכיבים (Reservation)</t>
        </is>
      </c>
      <c r="S517" s="7" t="inlineStr">
        <is>
          <t>Reservation / dependent requirements</t>
        </is>
      </c>
      <c r="T517" s="7" t="inlineStr">
        <is>
          <t>9. אינטגרציית מלאי ורכש (PM-MM)</t>
        </is>
      </c>
      <c r="U517" s="7" t="inlineStr">
        <is>
          <t>N4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טבלה</t>
        </is>
      </c>
      <c r="Q518" s="8" t="inlineStr">
        <is>
          <t>EBAN</t>
        </is>
      </c>
      <c r="R518" s="7" t="inlineStr">
        <is>
          <t>דרישת רכש (Purchase Requisition)</t>
        </is>
      </c>
      <c r="S518" s="7" t="inlineStr">
        <is>
          <t>Purchase requisition</t>
        </is>
      </c>
      <c r="T518" s="7" t="inlineStr">
        <is>
          <t>9. אינטגרציית מלאי ורכש (PM-MM)</t>
        </is>
      </c>
      <c r="U518" s="7" t="inlineStr">
        <is>
          <t>A11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שדה</t>
        </is>
      </c>
      <c r="Q519" s="8" t="inlineStr">
        <is>
          <t>BANFN</t>
        </is>
      </c>
      <c r="R519" s="7" t="inlineStr">
        <is>
          <t>מספר דרישת רכש</t>
        </is>
      </c>
      <c r="S519" s="7" t="inlineStr">
        <is>
          <t>Purchase requisition number</t>
        </is>
      </c>
      <c r="T519" s="7" t="inlineStr">
        <is>
          <t>9. אינטגרציית מלאי ורכש (PM-MM)</t>
        </is>
      </c>
      <c r="U519" s="7" t="inlineStr">
        <is>
          <t>D12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שדה</t>
        </is>
      </c>
      <c r="Q520" s="8" t="inlineStr">
        <is>
          <t>BNFPO</t>
        </is>
      </c>
      <c r="R520" s="7" t="inlineStr">
        <is>
          <t>פריט דרישה</t>
        </is>
      </c>
      <c r="S520" s="7" t="inlineStr">
        <is>
          <t>Requisition item</t>
        </is>
      </c>
      <c r="T520" s="7" t="inlineStr">
        <is>
          <t>9. אינטגרציית מלאי ורכש (PM-MM)</t>
        </is>
      </c>
      <c r="U520" s="7" t="inlineStr">
        <is>
          <t>D13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שדה</t>
        </is>
      </c>
      <c r="Q521" s="8" t="inlineStr">
        <is>
          <t>MATNR</t>
        </is>
      </c>
      <c r="R521" s="7" t="inlineStr">
        <is>
          <t>חומר</t>
        </is>
      </c>
      <c r="S521" s="7" t="inlineStr">
        <is>
          <t>Material</t>
        </is>
      </c>
      <c r="T521" s="7" t="inlineStr">
        <is>
          <t>9. אינטגרציית מלאי ורכש (PM-MM)</t>
        </is>
      </c>
      <c r="U521" s="7" t="inlineStr">
        <is>
          <t>D14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שדה</t>
        </is>
      </c>
      <c r="Q522" s="8" t="inlineStr">
        <is>
          <t>KNTTP</t>
        </is>
      </c>
      <c r="R522" s="7" t="inlineStr">
        <is>
          <t>סוג חיוב</t>
        </is>
      </c>
      <c r="S522" s="7" t="inlineStr">
        <is>
          <t>Account assignment cat. (F=order)</t>
        </is>
      </c>
      <c r="T522" s="7" t="inlineStr">
        <is>
          <t>9. אינטגרציית מלאי ורכש (PM-MM)</t>
        </is>
      </c>
      <c r="U522" s="7" t="inlineStr">
        <is>
          <t>D15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שדה</t>
        </is>
      </c>
      <c r="Q523" s="8" t="inlineStr">
        <is>
          <t>MENGE</t>
        </is>
      </c>
      <c r="R523" s="7" t="inlineStr">
        <is>
          <t>כמות</t>
        </is>
      </c>
      <c r="S523" s="7" t="inlineStr">
        <is>
          <t>Requisition quantity</t>
        </is>
      </c>
      <c r="T523" s="7" t="inlineStr">
        <is>
          <t>9. אינטגרציית מלאי ורכש (PM-MM)</t>
        </is>
      </c>
      <c r="U523" s="7" t="inlineStr">
        <is>
          <t>D16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טרנזקציה</t>
        </is>
      </c>
      <c r="Q524" s="8" t="inlineStr">
        <is>
          <t>ME51N</t>
        </is>
      </c>
      <c r="R524" s="7" t="inlineStr">
        <is>
          <t>דרישת רכש (Purchase Requisition)</t>
        </is>
      </c>
      <c r="S524" s="7" t="inlineStr">
        <is>
          <t>Purchase requisition</t>
        </is>
      </c>
      <c r="T524" s="7" t="inlineStr">
        <is>
          <t>9. אינטגרציית מלאי ורכש (PM-MM)</t>
        </is>
      </c>
      <c r="U524" s="7" t="inlineStr">
        <is>
          <t>A12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טרנזקציה</t>
        </is>
      </c>
      <c r="Q525" s="8" t="inlineStr">
        <is>
          <t>ME52N</t>
        </is>
      </c>
      <c r="R525" s="7" t="inlineStr">
        <is>
          <t>דרישת רכש (Purchase Requisition)</t>
        </is>
      </c>
      <c r="S525" s="7" t="inlineStr">
        <is>
          <t>Purchase requisition</t>
        </is>
      </c>
      <c r="T525" s="7" t="inlineStr">
        <is>
          <t>9. אינטגרציית מלאי ורכש (PM-MM)</t>
        </is>
      </c>
      <c r="U525" s="7" t="inlineStr">
        <is>
          <t>A12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טרנזקציה</t>
        </is>
      </c>
      <c r="Q526" s="8" t="inlineStr">
        <is>
          <t>ME53N</t>
        </is>
      </c>
      <c r="R526" s="7" t="inlineStr">
        <is>
          <t>דרישת רכש (Purchase Requisition)</t>
        </is>
      </c>
      <c r="S526" s="7" t="inlineStr">
        <is>
          <t>Purchase requisition</t>
        </is>
      </c>
      <c r="T526" s="7" t="inlineStr">
        <is>
          <t>9. אינטגרציית מלאי ורכש (PM-MM)</t>
        </is>
      </c>
      <c r="U526" s="7" t="inlineStr">
        <is>
          <t>A12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טרנזקציה</t>
        </is>
      </c>
      <c r="Q527" s="8" t="inlineStr">
        <is>
          <t>ME57</t>
        </is>
      </c>
      <c r="R527" s="7" t="inlineStr">
        <is>
          <t>דרישת רכש (Purchase Requisition)</t>
        </is>
      </c>
      <c r="S527" s="7" t="inlineStr">
        <is>
          <t>Purchase requisition</t>
        </is>
      </c>
      <c r="T527" s="7" t="inlineStr">
        <is>
          <t>9. אינטגרציית מלאי ורכש (PM-MM)</t>
        </is>
      </c>
      <c r="U527" s="7" t="inlineStr">
        <is>
          <t>A12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פונקציה</t>
        </is>
      </c>
      <c r="Q528" s="8" t="inlineStr">
        <is>
          <t>BAPI_PR_CREATE</t>
        </is>
      </c>
      <c r="R528" s="7" t="inlineStr">
        <is>
          <t>יצירת דרישת רכש</t>
        </is>
      </c>
      <c r="S528" s="7" t="inlineStr">
        <is>
          <t>Purchase requisition</t>
        </is>
      </c>
      <c r="T528" s="7" t="inlineStr">
        <is>
          <t>9. אינטגרציית מלאי ורכש (PM-MM)</t>
        </is>
      </c>
      <c r="U528" s="7" t="inlineStr">
        <is>
          <t>G12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פונקציה</t>
        </is>
      </c>
      <c r="Q529" s="8" t="inlineStr">
        <is>
          <t>BAPI_REQUISITION_GETDETAIL</t>
        </is>
      </c>
      <c r="R529" s="7" t="inlineStr">
        <is>
          <t>שליפת פרטי דרישת רכש</t>
        </is>
      </c>
      <c r="S529" s="7" t="inlineStr">
        <is>
          <t>Purchase requisition</t>
        </is>
      </c>
      <c r="T529" s="7" t="inlineStr">
        <is>
          <t>9. אינטגרציית מלאי ורכש (PM-MM)</t>
        </is>
      </c>
      <c r="U529" s="7" t="inlineStr">
        <is>
          <t>G12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תוכנית</t>
        </is>
      </c>
      <c r="Q530" s="8" t="inlineStr">
        <is>
          <t>RM06BANF</t>
        </is>
      </c>
      <c r="R530" s="7" t="inlineStr">
        <is>
          <t>דוח דרישות רכש פתוחות</t>
        </is>
      </c>
      <c r="S530" s="7" t="inlineStr">
        <is>
          <t>Purchase requisition</t>
        </is>
      </c>
      <c r="T530" s="7" t="inlineStr">
        <is>
          <t>9. אינטגרציית מלאי ורכש (PM-MM)</t>
        </is>
      </c>
      <c r="U530" s="7" t="inlineStr">
        <is>
          <t>I12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Fiori</t>
        </is>
      </c>
      <c r="Q531" s="8" t="inlineStr">
        <is>
          <t>Manage Purchase Requisitions (אמת ID)</t>
        </is>
      </c>
      <c r="R531" s="7" t="inlineStr">
        <is>
          <t>דרישת רכש (Purchase Requisition)</t>
        </is>
      </c>
      <c r="S531" s="7" t="inlineStr">
        <is>
          <t>Purchase requisition</t>
        </is>
      </c>
      <c r="T531" s="7" t="inlineStr">
        <is>
          <t>9. אינטגרציית מלאי ורכש (PM-MM)</t>
        </is>
      </c>
      <c r="U531" s="7" t="inlineStr">
        <is>
          <t>N12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טבלה</t>
        </is>
      </c>
      <c r="Q532" s="8" t="inlineStr">
        <is>
          <t>EBKN</t>
        </is>
      </c>
      <c r="R532" s="7" t="inlineStr">
        <is>
          <t>חיוב דרישת רכש (לפק"ע)</t>
        </is>
      </c>
      <c r="S532" s="7" t="inlineStr">
        <is>
          <t>Requisition account assignment</t>
        </is>
      </c>
      <c r="T532" s="7" t="inlineStr">
        <is>
          <t>9. אינטגרציית מלאי ורכש (PM-MM)</t>
        </is>
      </c>
      <c r="U532" s="7" t="inlineStr">
        <is>
          <t>A18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שדה</t>
        </is>
      </c>
      <c r="Q533" s="8" t="inlineStr">
        <is>
          <t>BANFN</t>
        </is>
      </c>
      <c r="R533" s="7" t="inlineStr">
        <is>
          <t>מספר דרישת רכש</t>
        </is>
      </c>
      <c r="S533" s="7" t="inlineStr">
        <is>
          <t>Purchase requisition number</t>
        </is>
      </c>
      <c r="T533" s="7" t="inlineStr">
        <is>
          <t>9. אינטגרציית מלאי ורכש (PM-MM)</t>
        </is>
      </c>
      <c r="U533" s="7" t="inlineStr">
        <is>
          <t>D19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שדה</t>
        </is>
      </c>
      <c r="Q534" s="8" t="inlineStr">
        <is>
          <t>BNFPO</t>
        </is>
      </c>
      <c r="R534" s="7" t="inlineStr">
        <is>
          <t>פריט דרישה</t>
        </is>
      </c>
      <c r="S534" s="7" t="inlineStr">
        <is>
          <t>Requisition item</t>
        </is>
      </c>
      <c r="T534" s="7" t="inlineStr">
        <is>
          <t>9. אינטגרציית מלאי ורכש (PM-MM)</t>
        </is>
      </c>
      <c r="U534" s="7" t="inlineStr">
        <is>
          <t>D20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שדה</t>
        </is>
      </c>
      <c r="Q535" s="8" t="inlineStr">
        <is>
          <t>AUFNR</t>
        </is>
      </c>
      <c r="R535" s="7" t="inlineStr">
        <is>
          <t>פק"ע מחויבת</t>
        </is>
      </c>
      <c r="S535" s="7" t="inlineStr">
        <is>
          <t>Order (account assignment)</t>
        </is>
      </c>
      <c r="T535" s="7" t="inlineStr">
        <is>
          <t>9. אינטגרציית מלאי ורכש (PM-MM)</t>
        </is>
      </c>
      <c r="U535" s="7" t="inlineStr">
        <is>
          <t>D21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שדה</t>
        </is>
      </c>
      <c r="Q536" s="8" t="inlineStr">
        <is>
          <t>KOSTL</t>
        </is>
      </c>
      <c r="R536" s="7" t="inlineStr">
        <is>
          <t>מרכז עלות</t>
        </is>
      </c>
      <c r="S536" s="7" t="inlineStr">
        <is>
          <t>Cost center</t>
        </is>
      </c>
      <c r="T536" s="7" t="inlineStr">
        <is>
          <t>9. אינטגרציית מלאי ורכש (PM-MM)</t>
        </is>
      </c>
      <c r="U536" s="7" t="inlineStr">
        <is>
          <t>D22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שדה</t>
        </is>
      </c>
      <c r="Q537" s="8" t="inlineStr">
        <is>
          <t>SAKTO</t>
        </is>
      </c>
      <c r="R537" s="7" t="inlineStr">
        <is>
          <t>חשבון ראשי</t>
        </is>
      </c>
      <c r="S537" s="7" t="inlineStr">
        <is>
          <t>G/L account</t>
        </is>
      </c>
      <c r="T537" s="7" t="inlineStr">
        <is>
          <t>9. אינטגרציית מלאי ורכש (PM-MM)</t>
        </is>
      </c>
      <c r="U537" s="7" t="inlineStr">
        <is>
          <t>D23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טרנזקציה</t>
        </is>
      </c>
      <c r="Q538" s="8" t="inlineStr">
        <is>
          <t>ME51N</t>
        </is>
      </c>
      <c r="R538" s="7" t="inlineStr">
        <is>
          <t>חיוב דרישת רכש (לפק"ע)</t>
        </is>
      </c>
      <c r="S538" s="7" t="inlineStr">
        <is>
          <t>Requisition account assignment</t>
        </is>
      </c>
      <c r="T538" s="7" t="inlineStr">
        <is>
          <t>9. אינטגרציית מלאי ורכש (PM-MM)</t>
        </is>
      </c>
      <c r="U538" s="7" t="inlineStr">
        <is>
          <t>A19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טרנזקציה</t>
        </is>
      </c>
      <c r="Q539" s="8" t="inlineStr">
        <is>
          <t>ME52N</t>
        </is>
      </c>
      <c r="R539" s="7" t="inlineStr">
        <is>
          <t>חיוב דרישת רכש (לפק"ע)</t>
        </is>
      </c>
      <c r="S539" s="7" t="inlineStr">
        <is>
          <t>Requisition account assignment</t>
        </is>
      </c>
      <c r="T539" s="7" t="inlineStr">
        <is>
          <t>9. אינטגרציית מלאי ורכש (PM-MM)</t>
        </is>
      </c>
      <c r="U539" s="7" t="inlineStr">
        <is>
          <t>A19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פונקציה</t>
        </is>
      </c>
      <c r="Q540" s="8" t="inlineStr">
        <is>
          <t>ACCOUNT_ASSIGNMENT_READ</t>
        </is>
      </c>
      <c r="R540" s="7" t="inlineStr">
        <is>
          <t>קריאת נתוני חיוב לדרישה</t>
        </is>
      </c>
      <c r="S540" s="7" t="inlineStr">
        <is>
          <t>Requisition account assignment</t>
        </is>
      </c>
      <c r="T540" s="7" t="inlineStr">
        <is>
          <t>9. אינטגרציית מלאי ורכש (PM-MM)</t>
        </is>
      </c>
      <c r="U540" s="7" t="inlineStr">
        <is>
          <t>G19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תוכנית</t>
        </is>
      </c>
      <c r="Q541" s="8" t="inlineStr">
        <is>
          <t>RM06BANF</t>
        </is>
      </c>
      <c r="R541" s="7" t="inlineStr">
        <is>
          <t>דוח דרישות רכש מחויבות לפק"ע</t>
        </is>
      </c>
      <c r="S541" s="7" t="inlineStr">
        <is>
          <t>Requisition account assignment</t>
        </is>
      </c>
      <c r="T541" s="7" t="inlineStr">
        <is>
          <t>9. אינטגרציית מלאי ורכש (PM-MM)</t>
        </is>
      </c>
      <c r="U541" s="7" t="inlineStr">
        <is>
          <t>I19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Fiori</t>
        </is>
      </c>
      <c r="Q542" s="8" t="inlineStr">
        <is>
          <t>Manage Purchase Requisitions (אמת ID)</t>
        </is>
      </c>
      <c r="R542" s="7" t="inlineStr">
        <is>
          <t>חיוב דרישת רכש (לפק"ע)</t>
        </is>
      </c>
      <c r="S542" s="7" t="inlineStr">
        <is>
          <t>Requisition account assignment</t>
        </is>
      </c>
      <c r="T542" s="7" t="inlineStr">
        <is>
          <t>9. אינטגרציית מלאי ורכש (PM-MM)</t>
        </is>
      </c>
      <c r="U542" s="7" t="inlineStr">
        <is>
          <t>N19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טבלה</t>
        </is>
      </c>
      <c r="Q543" s="8" t="inlineStr">
        <is>
          <t>MSEG</t>
        </is>
      </c>
      <c r="R543" s="7" t="inlineStr">
        <is>
          <t>פריטי מסמך חומר (תנועות מלאי)</t>
        </is>
      </c>
      <c r="S543" s="7" t="inlineStr">
        <is>
          <t>Material document items</t>
        </is>
      </c>
      <c r="T543" s="7" t="inlineStr">
        <is>
          <t>9. אינטגרציית מלאי ורכש (PM-MM)</t>
        </is>
      </c>
      <c r="U543" s="7" t="inlineStr">
        <is>
          <t>A25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שדה</t>
        </is>
      </c>
      <c r="Q544" s="8" t="inlineStr">
        <is>
          <t>MBLNR</t>
        </is>
      </c>
      <c r="R544" s="7" t="inlineStr">
        <is>
          <t>מספר מסמך חומר</t>
        </is>
      </c>
      <c r="S544" s="7" t="inlineStr">
        <is>
          <t>Material document number</t>
        </is>
      </c>
      <c r="T544" s="7" t="inlineStr">
        <is>
          <t>9. אינטגרציית מלאי ורכש (PM-MM)</t>
        </is>
      </c>
      <c r="U544" s="7" t="inlineStr">
        <is>
          <t>D26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ZEILE</t>
        </is>
      </c>
      <c r="R545" s="7" t="inlineStr">
        <is>
          <t>פריט מסמך</t>
        </is>
      </c>
      <c r="S545" s="7" t="inlineStr">
        <is>
          <t>Material document item</t>
        </is>
      </c>
      <c r="T545" s="7" t="inlineStr">
        <is>
          <t>9. אינטגרציית מלאי ורכש (PM-MM)</t>
        </is>
      </c>
      <c r="U545" s="7" t="inlineStr">
        <is>
          <t>D27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שדה</t>
        </is>
      </c>
      <c r="Q546" s="8" t="inlineStr">
        <is>
          <t>BWART</t>
        </is>
      </c>
      <c r="R546" s="7" t="inlineStr">
        <is>
          <t>סוג תנועה</t>
        </is>
      </c>
      <c r="S546" s="7" t="inlineStr">
        <is>
          <t>Movement type (261/101)</t>
        </is>
      </c>
      <c r="T546" s="7" t="inlineStr">
        <is>
          <t>9. אינטגרציית מלאי ורכש (PM-MM)</t>
        </is>
      </c>
      <c r="U546" s="7" t="inlineStr">
        <is>
          <t>D28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שדה</t>
        </is>
      </c>
      <c r="Q547" s="8" t="inlineStr">
        <is>
          <t>MATNR</t>
        </is>
      </c>
      <c r="R547" s="7" t="inlineStr">
        <is>
          <t>חומר</t>
        </is>
      </c>
      <c r="S547" s="7" t="inlineStr">
        <is>
          <t>Material</t>
        </is>
      </c>
      <c r="T547" s="7" t="inlineStr">
        <is>
          <t>9. אינטגרציית מלאי ורכש (PM-MM)</t>
        </is>
      </c>
      <c r="U547" s="7" t="inlineStr">
        <is>
          <t>D29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שדה</t>
        </is>
      </c>
      <c r="Q548" s="8" t="inlineStr">
        <is>
          <t>MENGE</t>
        </is>
      </c>
      <c r="R548" s="7" t="inlineStr">
        <is>
          <t>כמות</t>
        </is>
      </c>
      <c r="S548" s="7" t="inlineStr">
        <is>
          <t>Quantity</t>
        </is>
      </c>
      <c r="T548" s="7" t="inlineStr">
        <is>
          <t>9. אינטגרציית מלאי ורכש (PM-MM)</t>
        </is>
      </c>
      <c r="U548" s="7" t="inlineStr">
        <is>
          <t>D30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שדה</t>
        </is>
      </c>
      <c r="Q549" s="8" t="inlineStr">
        <is>
          <t>AUFNR</t>
        </is>
      </c>
      <c r="R549" s="7" t="inlineStr">
        <is>
          <t>פק"ע מחויבת</t>
        </is>
      </c>
      <c r="S549" s="7" t="inlineStr">
        <is>
          <t>Order (account assignment)</t>
        </is>
      </c>
      <c r="T549" s="7" t="inlineStr">
        <is>
          <t>9. אינטגרציית מלאי ורכש (PM-MM)</t>
        </is>
      </c>
      <c r="U549" s="7" t="inlineStr">
        <is>
          <t>D31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טרנזקציה</t>
        </is>
      </c>
      <c r="Q550" s="8" t="inlineStr">
        <is>
          <t>MIGO</t>
        </is>
      </c>
      <c r="R550" s="7" t="inlineStr">
        <is>
          <t>פריטי מסמך חומר (תנועות מלאי)</t>
        </is>
      </c>
      <c r="S550" s="7" t="inlineStr">
        <is>
          <t>Material document items</t>
        </is>
      </c>
      <c r="T550" s="7" t="inlineStr">
        <is>
          <t>9. אינטגרציית מלאי ורכש (PM-MM)</t>
        </is>
      </c>
      <c r="U550" s="7" t="inlineStr">
        <is>
          <t>A26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טרנזקציה</t>
        </is>
      </c>
      <c r="Q551" s="8" t="inlineStr">
        <is>
          <t>MB1A</t>
        </is>
      </c>
      <c r="R551" s="7" t="inlineStr">
        <is>
          <t>פריטי מסמך חומר (תנועות מלאי)</t>
        </is>
      </c>
      <c r="S551" s="7" t="inlineStr">
        <is>
          <t>Material document items</t>
        </is>
      </c>
      <c r="T551" s="7" t="inlineStr">
        <is>
          <t>9. אינטגרציית מלאי ורכש (PM-MM)</t>
        </is>
      </c>
      <c r="U551" s="7" t="inlineStr">
        <is>
          <t>A26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טרנזקציה</t>
        </is>
      </c>
      <c r="Q552" s="8" t="inlineStr">
        <is>
          <t>MB31</t>
        </is>
      </c>
      <c r="R552" s="7" t="inlineStr">
        <is>
          <t>פריטי מסמך חומר (תנועות מלאי)</t>
        </is>
      </c>
      <c r="S552" s="7" t="inlineStr">
        <is>
          <t>Material document items</t>
        </is>
      </c>
      <c r="T552" s="7" t="inlineStr">
        <is>
          <t>9. אינטגרציית מלאי ורכש (PM-MM)</t>
        </is>
      </c>
      <c r="U552" s="7" t="inlineStr">
        <is>
          <t>A26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טרנזקציה</t>
        </is>
      </c>
      <c r="Q553" s="8" t="inlineStr">
        <is>
          <t>MB1C</t>
        </is>
      </c>
      <c r="R553" s="7" t="inlineStr">
        <is>
          <t>פריטי מסמך חומר (תנועות מלאי)</t>
        </is>
      </c>
      <c r="S553" s="7" t="inlineStr">
        <is>
          <t>Material document items</t>
        </is>
      </c>
      <c r="T553" s="7" t="inlineStr">
        <is>
          <t>9. אינטגרציית מלאי ורכש (PM-MM)</t>
        </is>
      </c>
      <c r="U553" s="7" t="inlineStr">
        <is>
          <t>A26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פונקציה</t>
        </is>
      </c>
      <c r="Q554" s="8" t="inlineStr">
        <is>
          <t>BAPI_GOODSMVT_CREATE</t>
        </is>
      </c>
      <c r="R554" s="7" t="inlineStr">
        <is>
          <t>רישום תנועת מלאי</t>
        </is>
      </c>
      <c r="S554" s="7" t="inlineStr">
        <is>
          <t>Material document items</t>
        </is>
      </c>
      <c r="T554" s="7" t="inlineStr">
        <is>
          <t>9. אינטגרציית מלאי ורכש (PM-MM)</t>
        </is>
      </c>
      <c r="U554" s="7" t="inlineStr">
        <is>
          <t>G26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פונקציה</t>
        </is>
      </c>
      <c r="Q555" s="8" t="inlineStr">
        <is>
          <t>BAPI_GOODSMVT_GETITEMS</t>
        </is>
      </c>
      <c r="R555" s="7" t="inlineStr">
        <is>
          <t>שליפת פריטי תנועה</t>
        </is>
      </c>
      <c r="S555" s="7" t="inlineStr">
        <is>
          <t>Material document items</t>
        </is>
      </c>
      <c r="T555" s="7" t="inlineStr">
        <is>
          <t>9. אינטגרציית מלאי ורכש (PM-MM)</t>
        </is>
      </c>
      <c r="U555" s="7" t="inlineStr">
        <is>
          <t>G26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תוכנית</t>
        </is>
      </c>
      <c r="Q556" s="8" t="inlineStr">
        <is>
          <t>RM07DOCS</t>
        </is>
      </c>
      <c r="R556" s="7" t="inlineStr">
        <is>
          <t>דוח מסמכי חומר לפי פק"ע/תנועה</t>
        </is>
      </c>
      <c r="S556" s="7" t="inlineStr">
        <is>
          <t>Material document items</t>
        </is>
      </c>
      <c r="T556" s="7" t="inlineStr">
        <is>
          <t>9. אינטגרציית מלאי ורכש (PM-MM)</t>
        </is>
      </c>
      <c r="U556" s="7" t="inlineStr">
        <is>
          <t>I26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Fiori</t>
        </is>
      </c>
      <c r="Q557" s="8" t="inlineStr">
        <is>
          <t>Post Goods Movement (אמת ID)</t>
        </is>
      </c>
      <c r="R557" s="7" t="inlineStr">
        <is>
          <t>פריטי מסמך חומר (תנועות מלאי)</t>
        </is>
      </c>
      <c r="S557" s="7" t="inlineStr">
        <is>
          <t>Material document items</t>
        </is>
      </c>
      <c r="T557" s="7" t="inlineStr">
        <is>
          <t>9. אינטגרציית מלאי ורכש (PM-MM)</t>
        </is>
      </c>
      <c r="U557" s="7" t="inlineStr">
        <is>
          <t>N26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טבלה</t>
        </is>
      </c>
      <c r="Q558" s="8" t="inlineStr">
        <is>
          <t>MKPF</t>
        </is>
      </c>
      <c r="R558" s="7" t="inlineStr">
        <is>
          <t>כותרת מסמך חומר</t>
        </is>
      </c>
      <c r="S558" s="7" t="inlineStr">
        <is>
          <t>Material document header</t>
        </is>
      </c>
      <c r="T558" s="7" t="inlineStr">
        <is>
          <t>9. אינטגרציית מלאי ורכש (PM-MM)</t>
        </is>
      </c>
      <c r="U558" s="7" t="inlineStr">
        <is>
          <t>A33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MBLNR</t>
        </is>
      </c>
      <c r="R559" s="7" t="inlineStr">
        <is>
          <t>מספר מסמך חומר</t>
        </is>
      </c>
      <c r="S559" s="7" t="inlineStr">
        <is>
          <t>Material document number</t>
        </is>
      </c>
      <c r="T559" s="7" t="inlineStr">
        <is>
          <t>9. אינטגרציית מלאי ורכש (PM-MM)</t>
        </is>
      </c>
      <c r="U559" s="7" t="inlineStr">
        <is>
          <t>D34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MJAHR</t>
        </is>
      </c>
      <c r="R560" s="7" t="inlineStr">
        <is>
          <t>שנת מסמך</t>
        </is>
      </c>
      <c r="S560" s="7" t="inlineStr">
        <is>
          <t>Material document year</t>
        </is>
      </c>
      <c r="T560" s="7" t="inlineStr">
        <is>
          <t>9. אינטגרציית מלאי ורכש (PM-MM)</t>
        </is>
      </c>
      <c r="U560" s="7" t="inlineStr">
        <is>
          <t>D35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שדה</t>
        </is>
      </c>
      <c r="Q561" s="8" t="inlineStr">
        <is>
          <t>BLDAT</t>
        </is>
      </c>
      <c r="R561" s="7" t="inlineStr">
        <is>
          <t>תאריך מסמך</t>
        </is>
      </c>
      <c r="S561" s="7" t="inlineStr">
        <is>
          <t>Document date</t>
        </is>
      </c>
      <c r="T561" s="7" t="inlineStr">
        <is>
          <t>9. אינטגרציית מלאי ורכש (PM-MM)</t>
        </is>
      </c>
      <c r="U561" s="7" t="inlineStr">
        <is>
          <t>D36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שדה</t>
        </is>
      </c>
      <c r="Q562" s="8" t="inlineStr">
        <is>
          <t>BUDAT</t>
        </is>
      </c>
      <c r="R562" s="7" t="inlineStr">
        <is>
          <t>תאריך רישום</t>
        </is>
      </c>
      <c r="S562" s="7" t="inlineStr">
        <is>
          <t>Posting date</t>
        </is>
      </c>
      <c r="T562" s="7" t="inlineStr">
        <is>
          <t>9. אינטגרציית מלאי ורכש (PM-MM)</t>
        </is>
      </c>
      <c r="U562" s="7" t="inlineStr">
        <is>
          <t>D37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שדה</t>
        </is>
      </c>
      <c r="Q563" s="8" t="inlineStr">
        <is>
          <t>USNAM</t>
        </is>
      </c>
      <c r="R563" s="7" t="inlineStr">
        <is>
          <t>משתמש</t>
        </is>
      </c>
      <c r="S563" s="7" t="inlineStr">
        <is>
          <t>User name</t>
        </is>
      </c>
      <c r="T563" s="7" t="inlineStr">
        <is>
          <t>9. אינטגרציית מלאי ורכש (PM-MM)</t>
        </is>
      </c>
      <c r="U563" s="7" t="inlineStr">
        <is>
          <t>D38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MIGO</t>
        </is>
      </c>
      <c r="R564" s="7" t="inlineStr">
        <is>
          <t>כותרת מסמך חומר</t>
        </is>
      </c>
      <c r="S564" s="7" t="inlineStr">
        <is>
          <t>Material document header</t>
        </is>
      </c>
      <c r="T564" s="7" t="inlineStr">
        <is>
          <t>9. אינטגרציית מלאי ורכש (PM-MM)</t>
        </is>
      </c>
      <c r="U564" s="7" t="inlineStr">
        <is>
          <t>A34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טרנזקציה</t>
        </is>
      </c>
      <c r="Q565" s="8" t="inlineStr">
        <is>
          <t>MB1A</t>
        </is>
      </c>
      <c r="R565" s="7" t="inlineStr">
        <is>
          <t>כותרת מסמך חומר</t>
        </is>
      </c>
      <c r="S565" s="7" t="inlineStr">
        <is>
          <t>Material document header</t>
        </is>
      </c>
      <c r="T565" s="7" t="inlineStr">
        <is>
          <t>9. אינטגרציית מלאי ורכש (PM-MM)</t>
        </is>
      </c>
      <c r="U565" s="7" t="inlineStr">
        <is>
          <t>A34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BAPI_GOODSMVT_GETDETAIL</t>
        </is>
      </c>
      <c r="R566" s="7" t="inlineStr">
        <is>
          <t>שליפת פרטי מסמך חומר</t>
        </is>
      </c>
      <c r="S566" s="7" t="inlineStr">
        <is>
          <t>Material document header</t>
        </is>
      </c>
      <c r="T566" s="7" t="inlineStr">
        <is>
          <t>9. אינטגרציית מלאי ורכש (PM-MM)</t>
        </is>
      </c>
      <c r="U566" s="7" t="inlineStr">
        <is>
          <t>G34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RM07DOCS</t>
        </is>
      </c>
      <c r="R567" s="7" t="inlineStr">
        <is>
          <t>דוח מסמכי חומר</t>
        </is>
      </c>
      <c r="S567" s="7" t="inlineStr">
        <is>
          <t>Material document header</t>
        </is>
      </c>
      <c r="T567" s="7" t="inlineStr">
        <is>
          <t>9. אינטגרציית מלאי ורכש (PM-MM)</t>
        </is>
      </c>
      <c r="U567" s="7" t="inlineStr">
        <is>
          <t>I34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Post Goods Movement (אמת ID)</t>
        </is>
      </c>
      <c r="R568" s="7" t="inlineStr">
        <is>
          <t>כותרת מסמך חומר</t>
        </is>
      </c>
      <c r="S568" s="7" t="inlineStr">
        <is>
          <t>Material document header</t>
        </is>
      </c>
      <c r="T568" s="7" t="inlineStr">
        <is>
          <t>9. אינטגרציית מלאי ורכש (PM-MM)</t>
        </is>
      </c>
      <c r="U568" s="7" t="inlineStr">
        <is>
          <t>N34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User Exit</t>
        </is>
      </c>
      <c r="Q569" s="8" t="inlineStr">
        <is>
          <t>MB_CF001</t>
        </is>
      </c>
      <c r="R569" s="7" t="inlineStr">
        <is>
          <t>Customer Function לתנועות מלאי (Goods Movement)</t>
        </is>
      </c>
      <c r="S569" s="7" t="inlineStr"/>
      <c r="T569" s="7" t="inlineStr">
        <is>
          <t>9. אינטגרציית מלאי ורכש (PM-MM)</t>
        </is>
      </c>
      <c r="U569" s="7" t="inlineStr">
        <is>
          <t>A43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User Exit</t>
        </is>
      </c>
      <c r="Q570" s="8" t="inlineStr">
        <is>
          <t>M06B0001</t>
        </is>
      </c>
      <c r="R570" s="7" t="inlineStr">
        <is>
          <t>הרחבת בדיקות בדרישות רכש (PR)</t>
        </is>
      </c>
      <c r="S570" s="7" t="inlineStr"/>
      <c r="T570" s="7" t="inlineStr">
        <is>
          <t>9. אינטגרציית מלאי ורכש (PM-MM)</t>
        </is>
      </c>
      <c r="U570" s="7" t="inlineStr">
        <is>
          <t>A44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User Exit</t>
        </is>
      </c>
      <c r="Q571" s="8" t="inlineStr">
        <is>
          <t>MEREQ001</t>
        </is>
      </c>
      <c r="R571" s="7" t="inlineStr">
        <is>
          <t>הרחבת לקוח לדרישות רכש (חיוב/שדות)</t>
        </is>
      </c>
      <c r="S571" s="7" t="inlineStr"/>
      <c r="T571" s="7" t="inlineStr">
        <is>
          <t>9. אינטגרציית מלאי ורכש (PM-MM)</t>
        </is>
      </c>
      <c r="U571" s="7" t="inlineStr">
        <is>
          <t>A45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BAdI</t>
        </is>
      </c>
      <c r="Q572" s="8" t="inlineStr">
        <is>
          <t>MB_DOCUMENT_BADI</t>
        </is>
      </c>
      <c r="R572" s="7" t="inlineStr">
        <is>
          <t>BAdI למסמך חומר (בדיקות/הרחבה בתנועת מלאי)</t>
        </is>
      </c>
      <c r="S572" s="7" t="inlineStr"/>
      <c r="T572" s="7" t="inlineStr">
        <is>
          <t>9. אינטגרציית מלאי ורכש (PM-MM)</t>
        </is>
      </c>
      <c r="U572" s="7" t="inlineStr">
        <is>
          <t>A46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BAdI</t>
        </is>
      </c>
      <c r="Q573" s="8" t="inlineStr">
        <is>
          <t>ME_PROCESS_REQ_CUST</t>
        </is>
      </c>
      <c r="R573" s="7" t="inlineStr">
        <is>
          <t>BAdI לעיבוד דרישת רכש</t>
        </is>
      </c>
      <c r="S573" s="7" t="inlineStr"/>
      <c r="T573" s="7" t="inlineStr">
        <is>
          <t>9. אינטגרציית מלאי ורכש (PM-MM)</t>
        </is>
      </c>
      <c r="U573" s="7" t="inlineStr">
        <is>
          <t>A47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טבלה</t>
        </is>
      </c>
      <c r="Q574" s="8" t="inlineStr">
        <is>
          <t>COSP</t>
        </is>
      </c>
      <c r="R574" s="7" t="inlineStr">
        <is>
          <t>סך עלויות חיצוניות (Primary)</t>
        </is>
      </c>
      <c r="S574" s="7" t="inlineStr">
        <is>
          <t>CO object cost totals - external postings</t>
        </is>
      </c>
      <c r="T574" s="7" t="inlineStr">
        <is>
          <t>10. עלויות והתחשבנות (PM-CO)</t>
        </is>
      </c>
      <c r="U574" s="7" t="inlineStr">
        <is>
          <t>A3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שדה</t>
        </is>
      </c>
      <c r="Q575" s="8" t="inlineStr">
        <is>
          <t>OBJNR</t>
        </is>
      </c>
      <c r="R575" s="7" t="inlineStr">
        <is>
          <t>אובייקט CO</t>
        </is>
      </c>
      <c r="S575" s="7" t="inlineStr">
        <is>
          <t>CO object (order)</t>
        </is>
      </c>
      <c r="T575" s="7" t="inlineStr">
        <is>
          <t>10. עלויות והתחשבנות (PM-CO)</t>
        </is>
      </c>
      <c r="U575" s="7" t="inlineStr">
        <is>
          <t>D4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שדה</t>
        </is>
      </c>
      <c r="Q576" s="8" t="inlineStr">
        <is>
          <t>KSTAR</t>
        </is>
      </c>
      <c r="R576" s="7" t="inlineStr">
        <is>
          <t>אלמנט עלות</t>
        </is>
      </c>
      <c r="S576" s="7" t="inlineStr">
        <is>
          <t>Cost element</t>
        </is>
      </c>
      <c r="T576" s="7" t="inlineStr">
        <is>
          <t>10. עלויות והתחשבנות (PM-CO)</t>
        </is>
      </c>
      <c r="U576" s="7" t="inlineStr">
        <is>
          <t>D5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שדה</t>
        </is>
      </c>
      <c r="Q577" s="8" t="inlineStr">
        <is>
          <t>WRTTP</t>
        </is>
      </c>
      <c r="R577" s="7" t="inlineStr">
        <is>
          <t>סוג ערך</t>
        </is>
      </c>
      <c r="S577" s="7" t="inlineStr">
        <is>
          <t>Value type (01 plan/04 actual)</t>
        </is>
      </c>
      <c r="T577" s="7" t="inlineStr">
        <is>
          <t>10. עלויות והתחשבנות (PM-CO)</t>
        </is>
      </c>
      <c r="U577" s="7" t="inlineStr">
        <is>
          <t>D6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שדה</t>
        </is>
      </c>
      <c r="Q578" s="8" t="inlineStr">
        <is>
          <t>GJAHR</t>
        </is>
      </c>
      <c r="R578" s="7" t="inlineStr">
        <is>
          <t>שנת כספים</t>
        </is>
      </c>
      <c r="S578" s="7" t="inlineStr">
        <is>
          <t>Fiscal year</t>
        </is>
      </c>
      <c r="T578" s="7" t="inlineStr">
        <is>
          <t>10. עלויות והתחשבנות (PM-CO)</t>
        </is>
      </c>
      <c r="U578" s="7" t="inlineStr">
        <is>
          <t>D7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שדה</t>
        </is>
      </c>
      <c r="Q579" s="8" t="inlineStr">
        <is>
          <t>WTG001</t>
        </is>
      </c>
      <c r="R579" s="7" t="inlineStr">
        <is>
          <t>ערך תקופה 001</t>
        </is>
      </c>
      <c r="S579" s="7" t="inlineStr">
        <is>
          <t>Period value 001</t>
        </is>
      </c>
      <c r="T579" s="7" t="inlineStr">
        <is>
          <t>10. עלויות והתחשבנות (PM-CO)</t>
        </is>
      </c>
      <c r="U579" s="7" t="inlineStr">
        <is>
          <t>D8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טרנזקציה</t>
        </is>
      </c>
      <c r="Q580" s="8" t="inlineStr">
        <is>
          <t>KO88</t>
        </is>
      </c>
      <c r="R580" s="7" t="inlineStr">
        <is>
          <t>סך עלויות חיצוניות (Primary)</t>
        </is>
      </c>
      <c r="S580" s="7" t="inlineStr">
        <is>
          <t>CO object cost totals - external postings</t>
        </is>
      </c>
      <c r="T580" s="7" t="inlineStr">
        <is>
          <t>10. עלויות והתחשבנות (PM-CO)</t>
        </is>
      </c>
      <c r="U580" s="7" t="inlineStr">
        <is>
          <t>A4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טרנזקציה</t>
        </is>
      </c>
      <c r="Q581" s="8" t="inlineStr">
        <is>
          <t>KO8G</t>
        </is>
      </c>
      <c r="R581" s="7" t="inlineStr">
        <is>
          <t>סך עלויות חיצוניות (Primary)</t>
        </is>
      </c>
      <c r="S581" s="7" t="inlineStr">
        <is>
          <t>CO object cost totals - external postings</t>
        </is>
      </c>
      <c r="T581" s="7" t="inlineStr">
        <is>
          <t>10. עלויות והתחשבנות (PM-CO)</t>
        </is>
      </c>
      <c r="U581" s="7" t="inlineStr">
        <is>
          <t>A4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טרנזקציה</t>
        </is>
      </c>
      <c r="Q582" s="8" t="inlineStr">
        <is>
          <t>KOB1</t>
        </is>
      </c>
      <c r="R582" s="7" t="inlineStr">
        <is>
          <t>סך עלויות חיצוניות (Primary)</t>
        </is>
      </c>
      <c r="S582" s="7" t="inlineStr">
        <is>
          <t>CO object cost totals - external postings</t>
        </is>
      </c>
      <c r="T582" s="7" t="inlineStr">
        <is>
          <t>10. עלויות והתחשבנות (PM-CO)</t>
        </is>
      </c>
      <c r="U582" s="7" t="inlineStr">
        <is>
          <t>A4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טרנזקציה</t>
        </is>
      </c>
      <c r="Q583" s="8" t="inlineStr">
        <is>
          <t>S_ALR_87013611</t>
        </is>
      </c>
      <c r="R583" s="7" t="inlineStr">
        <is>
          <t>סך עלויות חיצוניות (Primary)</t>
        </is>
      </c>
      <c r="S583" s="7" t="inlineStr">
        <is>
          <t>CO object cost totals - external postings</t>
        </is>
      </c>
      <c r="T583" s="7" t="inlineStr">
        <is>
          <t>10. עלויות והתחשבנות (PM-CO)</t>
        </is>
      </c>
      <c r="U583" s="7" t="inlineStr">
        <is>
          <t>A4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פונקציה</t>
        </is>
      </c>
      <c r="Q584" s="8" t="inlineStr">
        <is>
          <t>K_COSTS_READ</t>
        </is>
      </c>
      <c r="R584" s="7" t="inlineStr">
        <is>
          <t>קריאת עלויות אובייקט</t>
        </is>
      </c>
      <c r="S584" s="7" t="inlineStr">
        <is>
          <t>CO object cost totals - external postings</t>
        </is>
      </c>
      <c r="T584" s="7" t="inlineStr">
        <is>
          <t>10. עלויות והתחשבנות (PM-CO)</t>
        </is>
      </c>
      <c r="U584" s="7" t="inlineStr">
        <is>
          <t>G4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פונקציה</t>
        </is>
      </c>
      <c r="Q585" s="8" t="inlineStr">
        <is>
          <t>K_ORDER_SETTLEMENT</t>
        </is>
      </c>
      <c r="R585" s="7" t="inlineStr">
        <is>
          <t>ביצוע התחשבנות פק"ע</t>
        </is>
      </c>
      <c r="S585" s="7" t="inlineStr">
        <is>
          <t>CO object cost totals - external postings</t>
        </is>
      </c>
      <c r="T585" s="7" t="inlineStr">
        <is>
          <t>10. עלויות והתחשבנות (PM-CO)</t>
        </is>
      </c>
      <c r="U585" s="7" t="inlineStr">
        <is>
          <t>G4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תוכנית</t>
        </is>
      </c>
      <c r="Q586" s="8" t="inlineStr">
        <is>
          <t>RKO7KO88</t>
        </is>
      </c>
      <c r="R586" s="7" t="inlineStr">
        <is>
          <t>תוכנית ההתחשבנות (KO88)</t>
        </is>
      </c>
      <c r="S586" s="7" t="inlineStr">
        <is>
          <t>CO object cost totals - external postings</t>
        </is>
      </c>
      <c r="T586" s="7" t="inlineStr">
        <is>
          <t>10. עלויות והתחשבנות (PM-CO)</t>
        </is>
      </c>
      <c r="U586" s="7" t="inlineStr">
        <is>
          <t>I4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Fiori</t>
        </is>
      </c>
      <c r="Q587" s="8" t="inlineStr">
        <is>
          <t>Maintenance Order Actuals (אמת ID)</t>
        </is>
      </c>
      <c r="R587" s="7" t="inlineStr">
        <is>
          <t>סך עלויות חיצוניות (Primary)</t>
        </is>
      </c>
      <c r="S587" s="7" t="inlineStr">
        <is>
          <t>CO object cost totals - external postings</t>
        </is>
      </c>
      <c r="T587" s="7" t="inlineStr">
        <is>
          <t>10. עלויות והתחשבנות (PM-CO)</t>
        </is>
      </c>
      <c r="U587" s="7" t="inlineStr">
        <is>
          <t>N4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טבלה</t>
        </is>
      </c>
      <c r="Q588" s="8" t="inlineStr">
        <is>
          <t>COSS</t>
        </is>
      </c>
      <c r="R588" s="7" t="inlineStr">
        <is>
          <t>סך עלויות פנימיות (Secondary)</t>
        </is>
      </c>
      <c r="S588" s="7" t="inlineStr">
        <is>
          <t>CO object cost totals - internal postings</t>
        </is>
      </c>
      <c r="T588" s="7" t="inlineStr">
        <is>
          <t>10. עלויות והתחשבנות (PM-CO)</t>
        </is>
      </c>
      <c r="U588" s="7" t="inlineStr">
        <is>
          <t>A10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שדה</t>
        </is>
      </c>
      <c r="Q589" s="8" t="inlineStr">
        <is>
          <t>OBJNR</t>
        </is>
      </c>
      <c r="R589" s="7" t="inlineStr">
        <is>
          <t>אובייקט CO</t>
        </is>
      </c>
      <c r="S589" s="7" t="inlineStr">
        <is>
          <t>CO object</t>
        </is>
      </c>
      <c r="T589" s="7" t="inlineStr">
        <is>
          <t>10. עלויות והתחשבנות (PM-CO)</t>
        </is>
      </c>
      <c r="U589" s="7" t="inlineStr">
        <is>
          <t>D11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שדה</t>
        </is>
      </c>
      <c r="Q590" s="8" t="inlineStr">
        <is>
          <t>KSTAR</t>
        </is>
      </c>
      <c r="R590" s="7" t="inlineStr">
        <is>
          <t>אלמנט עלות משני</t>
        </is>
      </c>
      <c r="S590" s="7" t="inlineStr">
        <is>
          <t>Secondary cost element</t>
        </is>
      </c>
      <c r="T590" s="7" t="inlineStr">
        <is>
          <t>10. עלויות והתחשבנות (PM-CO)</t>
        </is>
      </c>
      <c r="U590" s="7" t="inlineStr">
        <is>
          <t>D12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שדה</t>
        </is>
      </c>
      <c r="Q591" s="8" t="inlineStr">
        <is>
          <t>WRTTP</t>
        </is>
      </c>
      <c r="R591" s="7" t="inlineStr">
        <is>
          <t>סוג ערך</t>
        </is>
      </c>
      <c r="S591" s="7" t="inlineStr">
        <is>
          <t>Value type</t>
        </is>
      </c>
      <c r="T591" s="7" t="inlineStr">
        <is>
          <t>10. עלויות והתחשבנות (PM-CO)</t>
        </is>
      </c>
      <c r="U591" s="7" t="inlineStr">
        <is>
          <t>D13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שדה</t>
        </is>
      </c>
      <c r="Q592" s="8" t="inlineStr">
        <is>
          <t>GJAHR</t>
        </is>
      </c>
      <c r="R592" s="7" t="inlineStr">
        <is>
          <t>שנת כספים</t>
        </is>
      </c>
      <c r="S592" s="7" t="inlineStr">
        <is>
          <t>Fiscal year</t>
        </is>
      </c>
      <c r="T592" s="7" t="inlineStr">
        <is>
          <t>10. עלויות והתחשבנות (PM-CO)</t>
        </is>
      </c>
      <c r="U592" s="7" t="inlineStr">
        <is>
          <t>D14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שדה</t>
        </is>
      </c>
      <c r="Q593" s="8" t="inlineStr">
        <is>
          <t>PARGB</t>
        </is>
      </c>
      <c r="R593" s="7" t="inlineStr">
        <is>
          <t>אובייקט שותף</t>
        </is>
      </c>
      <c r="S593" s="7" t="inlineStr">
        <is>
          <t>Partner / sender object</t>
        </is>
      </c>
      <c r="T593" s="7" t="inlineStr">
        <is>
          <t>10. עלויות והתחשבנות (PM-CO)</t>
        </is>
      </c>
      <c r="U593" s="7" t="inlineStr">
        <is>
          <t>D15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טרנזקציה</t>
        </is>
      </c>
      <c r="Q594" s="8" t="inlineStr">
        <is>
          <t>KO88</t>
        </is>
      </c>
      <c r="R594" s="7" t="inlineStr">
        <is>
          <t>סך עלויות פנימיות (Secondary)</t>
        </is>
      </c>
      <c r="S594" s="7" t="inlineStr">
        <is>
          <t>CO object cost totals - internal postings</t>
        </is>
      </c>
      <c r="T594" s="7" t="inlineStr">
        <is>
          <t>10. עלויות והתחשבנות (PM-CO)</t>
        </is>
      </c>
      <c r="U594" s="7" t="inlineStr">
        <is>
          <t>A11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טרנזקציה</t>
        </is>
      </c>
      <c r="Q595" s="8" t="inlineStr">
        <is>
          <t>KOB1</t>
        </is>
      </c>
      <c r="R595" s="7" t="inlineStr">
        <is>
          <t>סך עלויות פנימיות (Secondary)</t>
        </is>
      </c>
      <c r="S595" s="7" t="inlineStr">
        <is>
          <t>CO object cost totals - internal postings</t>
        </is>
      </c>
      <c r="T595" s="7" t="inlineStr">
        <is>
          <t>10. עלויות והתחשבנות (PM-CO)</t>
        </is>
      </c>
      <c r="U595" s="7" t="inlineStr">
        <is>
          <t>A11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פונקציה</t>
        </is>
      </c>
      <c r="Q596" s="8" t="inlineStr">
        <is>
          <t>K_COSTS_READ</t>
        </is>
      </c>
      <c r="R596" s="7" t="inlineStr">
        <is>
          <t>קריאת עלויות פנימיות</t>
        </is>
      </c>
      <c r="S596" s="7" t="inlineStr">
        <is>
          <t>CO object cost totals - internal postings</t>
        </is>
      </c>
      <c r="T596" s="7" t="inlineStr">
        <is>
          <t>10. עלויות והתחשבנות (PM-CO)</t>
        </is>
      </c>
      <c r="U596" s="7" t="inlineStr">
        <is>
          <t>G11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תוכנית</t>
        </is>
      </c>
      <c r="Q597" s="8" t="inlineStr">
        <is>
          <t>RKAEP000</t>
        </is>
      </c>
      <c r="R597" s="7" t="inlineStr">
        <is>
          <t>דוח פריטי עלות בפועל</t>
        </is>
      </c>
      <c r="S597" s="7" t="inlineStr">
        <is>
          <t>CO object cost totals - internal postings</t>
        </is>
      </c>
      <c r="T597" s="7" t="inlineStr">
        <is>
          <t>10. עלויות והתחשבנות (PM-CO)</t>
        </is>
      </c>
      <c r="U597" s="7" t="inlineStr">
        <is>
          <t>I11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Fiori</t>
        </is>
      </c>
      <c r="Q598" s="8" t="inlineStr">
        <is>
          <t>Maintenance Order Actuals (אמת ID)</t>
        </is>
      </c>
      <c r="R598" s="7" t="inlineStr">
        <is>
          <t>סך עלויות פנימיות (Secondary)</t>
        </is>
      </c>
      <c r="S598" s="7" t="inlineStr">
        <is>
          <t>CO object cost totals - internal postings</t>
        </is>
      </c>
      <c r="T598" s="7" t="inlineStr">
        <is>
          <t>10. עלויות והתחשבנות (PM-CO)</t>
        </is>
      </c>
      <c r="U598" s="7" t="inlineStr">
        <is>
          <t>N11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טבלה</t>
        </is>
      </c>
      <c r="Q599" s="8" t="inlineStr">
        <is>
          <t>COBRA</t>
        </is>
      </c>
      <c r="R599" s="7" t="inlineStr">
        <is>
          <t>כותרת חוק התחשבנות</t>
        </is>
      </c>
      <c r="S599" s="7" t="inlineStr">
        <is>
          <t>Settlement rule header</t>
        </is>
      </c>
      <c r="T599" s="7" t="inlineStr">
        <is>
          <t>10. עלויות והתחשבנות (PM-CO)</t>
        </is>
      </c>
      <c r="U599" s="7" t="inlineStr">
        <is>
          <t>A17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שדה</t>
        </is>
      </c>
      <c r="Q600" s="8" t="inlineStr">
        <is>
          <t>OBJNR</t>
        </is>
      </c>
      <c r="R600" s="7" t="inlineStr">
        <is>
          <t>אובייקט מקור</t>
        </is>
      </c>
      <c r="S600" s="7" t="inlineStr">
        <is>
          <t>Source object (order)</t>
        </is>
      </c>
      <c r="T600" s="7" t="inlineStr">
        <is>
          <t>10. עלויות והתחשבנות (PM-CO)</t>
        </is>
      </c>
      <c r="U600" s="7" t="inlineStr">
        <is>
          <t>D18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שדה</t>
        </is>
      </c>
      <c r="Q601" s="8" t="inlineStr">
        <is>
          <t>BUREG</t>
        </is>
      </c>
      <c r="R601" s="7" t="inlineStr">
        <is>
          <t>חוק התחשבנות</t>
        </is>
      </c>
      <c r="S601" s="7" t="inlineStr">
        <is>
          <t>Settlement rule</t>
        </is>
      </c>
      <c r="T601" s="7" t="inlineStr">
        <is>
          <t>10. עלויות והתחשבנות (PM-CO)</t>
        </is>
      </c>
      <c r="U601" s="7" t="inlineStr">
        <is>
          <t>D19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שדה</t>
        </is>
      </c>
      <c r="Q602" s="8" t="inlineStr">
        <is>
          <t>PERBZ</t>
        </is>
      </c>
      <c r="R602" s="7" t="inlineStr">
        <is>
          <t>סוג תקופה</t>
        </is>
      </c>
      <c r="S602" s="7" t="inlineStr">
        <is>
          <t>Period type</t>
        </is>
      </c>
      <c r="T602" s="7" t="inlineStr">
        <is>
          <t>10. עלויות והתחשבנות (PM-CO)</t>
        </is>
      </c>
      <c r="U602" s="7" t="inlineStr">
        <is>
          <t>D20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שדה</t>
        </is>
      </c>
      <c r="Q603" s="8" t="inlineStr">
        <is>
          <t>ERLKZ</t>
        </is>
      </c>
      <c r="R603" s="7" t="inlineStr">
        <is>
          <t>מחוון השלמה</t>
        </is>
      </c>
      <c r="S603" s="7" t="inlineStr">
        <is>
          <t>Completion indicator</t>
        </is>
      </c>
      <c r="T603" s="7" t="inlineStr">
        <is>
          <t>10. עלויות והתחשבנות (PM-CO)</t>
        </is>
      </c>
      <c r="U603" s="7" t="inlineStr">
        <is>
          <t>D21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טרנזקציה</t>
        </is>
      </c>
      <c r="Q604" s="8" t="inlineStr">
        <is>
          <t>KO02</t>
        </is>
      </c>
      <c r="R604" s="7" t="inlineStr">
        <is>
          <t>כותרת חוק התחשבנות</t>
        </is>
      </c>
      <c r="S604" s="7" t="inlineStr">
        <is>
          <t>Settlement rule header</t>
        </is>
      </c>
      <c r="T604" s="7" t="inlineStr">
        <is>
          <t>10. עלויות והתחשבנות (PM-CO)</t>
        </is>
      </c>
      <c r="U604" s="7" t="inlineStr">
        <is>
          <t>A18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טרנזקציה</t>
        </is>
      </c>
      <c r="Q605" s="8" t="inlineStr">
        <is>
          <t>IW32</t>
        </is>
      </c>
      <c r="R605" s="7" t="inlineStr">
        <is>
          <t>כותרת חוק התחשבנות</t>
        </is>
      </c>
      <c r="S605" s="7" t="inlineStr">
        <is>
          <t>Settlement rule header</t>
        </is>
      </c>
      <c r="T605" s="7" t="inlineStr">
        <is>
          <t>10. עלויות והתחשבנות (PM-CO)</t>
        </is>
      </c>
      <c r="U605" s="7" t="inlineStr">
        <is>
          <t>A18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פונקציה</t>
        </is>
      </c>
      <c r="Q606" s="8" t="inlineStr">
        <is>
          <t>K_SETTLEMENT_RULE_READ</t>
        </is>
      </c>
      <c r="R606" s="7" t="inlineStr">
        <is>
          <t>קריאת חוק התחשבנות</t>
        </is>
      </c>
      <c r="S606" s="7" t="inlineStr">
        <is>
          <t>Settlement rule header</t>
        </is>
      </c>
      <c r="T606" s="7" t="inlineStr">
        <is>
          <t>10. עלויות והתחשבנות (PM-CO)</t>
        </is>
      </c>
      <c r="U606" s="7" t="inlineStr">
        <is>
          <t>G18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תוכנית</t>
        </is>
      </c>
      <c r="Q607" s="8" t="inlineStr">
        <is>
          <t>RKACOR40</t>
        </is>
      </c>
      <c r="R607" s="7" t="inlineStr">
        <is>
          <t>איתור חוקי התחשבנות חסרים</t>
        </is>
      </c>
      <c r="S607" s="7" t="inlineStr">
        <is>
          <t>Settlement rule header</t>
        </is>
      </c>
      <c r="T607" s="7" t="inlineStr">
        <is>
          <t>10. עלויות והתחשבנות (PM-CO)</t>
        </is>
      </c>
      <c r="U607" s="7" t="inlineStr">
        <is>
          <t>I18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Fiori</t>
        </is>
      </c>
      <c r="Q608" s="8" t="inlineStr">
        <is>
          <t>Manage Settlement Rules (אמת ID)</t>
        </is>
      </c>
      <c r="R608" s="7" t="inlineStr">
        <is>
          <t>כותרת חוק התחשבנות</t>
        </is>
      </c>
      <c r="S608" s="7" t="inlineStr">
        <is>
          <t>Settlement rule header</t>
        </is>
      </c>
      <c r="T608" s="7" t="inlineStr">
        <is>
          <t>10. עלויות והתחשבנות (PM-CO)</t>
        </is>
      </c>
      <c r="U608" s="7" t="inlineStr">
        <is>
          <t>N18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טבלה</t>
        </is>
      </c>
      <c r="Q609" s="8" t="inlineStr">
        <is>
          <t>COBRB</t>
        </is>
      </c>
      <c r="R609" s="7" t="inlineStr">
        <is>
          <t>פריטי חוק התחשבנות (חוקי חלוקה)</t>
        </is>
      </c>
      <c r="S609" s="7" t="inlineStr">
        <is>
          <t>Settlement / distribution rules</t>
        </is>
      </c>
      <c r="T609" s="7" t="inlineStr">
        <is>
          <t>10. עלויות והתחשבנות (PM-CO)</t>
        </is>
      </c>
      <c r="U609" s="7" t="inlineStr">
        <is>
          <t>A23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OBJNR</t>
        </is>
      </c>
      <c r="R610" s="7" t="inlineStr">
        <is>
          <t>אובייקט מקור</t>
        </is>
      </c>
      <c r="S610" s="7" t="inlineStr">
        <is>
          <t>Source object</t>
        </is>
      </c>
      <c r="T610" s="7" t="inlineStr">
        <is>
          <t>10. עלויות והתחשבנות (PM-CO)</t>
        </is>
      </c>
      <c r="U610" s="7" t="inlineStr">
        <is>
          <t>D24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BUREG</t>
        </is>
      </c>
      <c r="R611" s="7" t="inlineStr">
        <is>
          <t>חוק התחשבנות</t>
        </is>
      </c>
      <c r="S611" s="7" t="inlineStr">
        <is>
          <t>Settlement rule</t>
        </is>
      </c>
      <c r="T611" s="7" t="inlineStr">
        <is>
          <t>10. עלויות והתחשבנות (PM-CO)</t>
        </is>
      </c>
      <c r="U611" s="7" t="inlineStr">
        <is>
          <t>D25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שדה</t>
        </is>
      </c>
      <c r="Q612" s="8" t="inlineStr">
        <is>
          <t>KONTY</t>
        </is>
      </c>
      <c r="R612" s="7" t="inlineStr">
        <is>
          <t>סוג מקבל</t>
        </is>
      </c>
      <c r="S612" s="7" t="inlineStr">
        <is>
          <t>Receiver category</t>
        </is>
      </c>
      <c r="T612" s="7" t="inlineStr">
        <is>
          <t>10. עלויות והתחשבנות (PM-CO)</t>
        </is>
      </c>
      <c r="U612" s="7" t="inlineStr">
        <is>
          <t>D26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שדה</t>
        </is>
      </c>
      <c r="Q613" s="8" t="inlineStr">
        <is>
          <t>EMPGE</t>
        </is>
      </c>
      <c r="R613" s="7" t="inlineStr">
        <is>
          <t>המקבל בפועל</t>
        </is>
      </c>
      <c r="S613" s="7" t="inlineStr">
        <is>
          <t>Settlement receiver</t>
        </is>
      </c>
      <c r="T613" s="7" t="inlineStr">
        <is>
          <t>10. עלויות והתחשבנות (PM-CO)</t>
        </is>
      </c>
      <c r="U613" s="7" t="inlineStr">
        <is>
          <t>D27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שדה</t>
        </is>
      </c>
      <c r="Q614" s="8" t="inlineStr">
        <is>
          <t>PROZS</t>
        </is>
      </c>
      <c r="R614" s="7" t="inlineStr">
        <is>
          <t>אחוז התחשבנות</t>
        </is>
      </c>
      <c r="S614" s="7" t="inlineStr">
        <is>
          <t>Settlement percentage</t>
        </is>
      </c>
      <c r="T614" s="7" t="inlineStr">
        <is>
          <t>10. עלויות והתחשבנות (PM-CO)</t>
        </is>
      </c>
      <c r="U614" s="7" t="inlineStr">
        <is>
          <t>D28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טרנזקציה</t>
        </is>
      </c>
      <c r="Q615" s="8" t="inlineStr">
        <is>
          <t>KO02</t>
        </is>
      </c>
      <c r="R615" s="7" t="inlineStr">
        <is>
          <t>פריטי חוק התחשבנות (חוקי חלוקה)</t>
        </is>
      </c>
      <c r="S615" s="7" t="inlineStr">
        <is>
          <t>Settlement / distribution rules</t>
        </is>
      </c>
      <c r="T615" s="7" t="inlineStr">
        <is>
          <t>10. עלויות והתחשבנות (PM-CO)</t>
        </is>
      </c>
      <c r="U615" s="7" t="inlineStr">
        <is>
          <t>A24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טרנזקציה</t>
        </is>
      </c>
      <c r="Q616" s="8" t="inlineStr">
        <is>
          <t>IW32</t>
        </is>
      </c>
      <c r="R616" s="7" t="inlineStr">
        <is>
          <t>פריטי חוק התחשבנות (חוקי חלוקה)</t>
        </is>
      </c>
      <c r="S616" s="7" t="inlineStr">
        <is>
          <t>Settlement / distribution rules</t>
        </is>
      </c>
      <c r="T616" s="7" t="inlineStr">
        <is>
          <t>10. עלויות והתחשבנות (PM-CO)</t>
        </is>
      </c>
      <c r="U616" s="7" t="inlineStr">
        <is>
          <t>A24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פונקציה</t>
        </is>
      </c>
      <c r="Q617" s="8" t="inlineStr">
        <is>
          <t>K_SETTLEMENT_RULE_READ</t>
        </is>
      </c>
      <c r="R617" s="7" t="inlineStr">
        <is>
          <t>קריאת פריטי חוק התחשבנות</t>
        </is>
      </c>
      <c r="S617" s="7" t="inlineStr">
        <is>
          <t>Settlement / distribution rules</t>
        </is>
      </c>
      <c r="T617" s="7" t="inlineStr">
        <is>
          <t>10. עלויות והתחשבנות (PM-CO)</t>
        </is>
      </c>
      <c r="U617" s="7" t="inlineStr">
        <is>
          <t>G24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תוכנית</t>
        </is>
      </c>
      <c r="Q618" s="8" t="inlineStr">
        <is>
          <t>RKACOR40</t>
        </is>
      </c>
      <c r="R618" s="7" t="inlineStr">
        <is>
          <t>בדיקת תקינות חוקי חלוקה</t>
        </is>
      </c>
      <c r="S618" s="7" t="inlineStr">
        <is>
          <t>Settlement / distribution rules</t>
        </is>
      </c>
      <c r="T618" s="7" t="inlineStr">
        <is>
          <t>10. עלויות והתחשבנות (PM-CO)</t>
        </is>
      </c>
      <c r="U618" s="7" t="inlineStr">
        <is>
          <t>I24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Fiori</t>
        </is>
      </c>
      <c r="Q619" s="8" t="inlineStr">
        <is>
          <t>Manage Settlement Rules (אמת ID)</t>
        </is>
      </c>
      <c r="R619" s="7" t="inlineStr">
        <is>
          <t>פריטי חוק התחשבנות (חוקי חלוקה)</t>
        </is>
      </c>
      <c r="S619" s="7" t="inlineStr">
        <is>
          <t>Settlement / distribution rules</t>
        </is>
      </c>
      <c r="T619" s="7" t="inlineStr">
        <is>
          <t>10. עלויות והתחשבנות (PM-CO)</t>
        </is>
      </c>
      <c r="U619" s="7" t="inlineStr">
        <is>
          <t>N24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User Exit</t>
        </is>
      </c>
      <c r="Q620" s="8" t="inlineStr">
        <is>
          <t>COOMEP01</t>
        </is>
      </c>
      <c r="R620" s="7" t="inlineStr">
        <is>
          <t>הרחבת פריטי עלות/התחשבנות (אמת שם מדויק)</t>
        </is>
      </c>
      <c r="S620" s="7" t="inlineStr"/>
      <c r="T620" s="7" t="inlineStr">
        <is>
          <t>10. עלויות והתחשבנות (PM-CO)</t>
        </is>
      </c>
      <c r="U620" s="7" t="inlineStr">
        <is>
          <t>A33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User Exit</t>
        </is>
      </c>
      <c r="Q621" s="8" t="inlineStr">
        <is>
          <t>KOAB0001</t>
        </is>
      </c>
      <c r="R621" s="7" t="inlineStr">
        <is>
          <t>הרחבת חוקי התחשבנות (Settlement)</t>
        </is>
      </c>
      <c r="S621" s="7" t="inlineStr"/>
      <c r="T621" s="7" t="inlineStr">
        <is>
          <t>10. עלויות והתחשבנות (PM-CO)</t>
        </is>
      </c>
      <c r="U621" s="7" t="inlineStr">
        <is>
          <t>A34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BAdI</t>
        </is>
      </c>
      <c r="Q622" s="8" t="inlineStr">
        <is>
          <t>BADI_SETTLEMENT</t>
        </is>
      </c>
      <c r="R622" s="7" t="inlineStr">
        <is>
          <t>הרחבת לוגיקת התחשבנות (אמת שם ב-SE18)</t>
        </is>
      </c>
      <c r="S622" s="7" t="inlineStr"/>
      <c r="T622" s="7" t="inlineStr">
        <is>
          <t>10. עלויות והתחשבנות (PM-CO)</t>
        </is>
      </c>
      <c r="U622" s="7" t="inlineStr">
        <is>
          <t>A35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טבלה</t>
        </is>
      </c>
      <c r="Q623" s="8" t="inlineStr">
        <is>
          <t>PLKO</t>
        </is>
      </c>
      <c r="R623" s="7" t="inlineStr">
        <is>
          <t>כותרת רשימת פעולות אחזקה</t>
        </is>
      </c>
      <c r="S623" s="7" t="inlineStr">
        <is>
          <t>Task list header</t>
        </is>
      </c>
      <c r="T623" s="7" t="inlineStr">
        <is>
          <t>11. אחזקה מונעת ותוכניות</t>
        </is>
      </c>
      <c r="U623" s="7" t="inlineStr">
        <is>
          <t>A3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שדה</t>
        </is>
      </c>
      <c r="Q624" s="8" t="inlineStr">
        <is>
          <t>PLNNR</t>
        </is>
      </c>
      <c r="R624" s="7" t="inlineStr">
        <is>
          <t>קבוצת רשימת פעולות</t>
        </is>
      </c>
      <c r="S624" s="7" t="inlineStr">
        <is>
          <t>Task list group</t>
        </is>
      </c>
      <c r="T624" s="7" t="inlineStr">
        <is>
          <t>11. אחזקה מונעת ותוכניות</t>
        </is>
      </c>
      <c r="U624" s="7" t="inlineStr">
        <is>
          <t>D4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PLNAL</t>
        </is>
      </c>
      <c r="R625" s="7" t="inlineStr">
        <is>
          <t>חלופת רשימה</t>
        </is>
      </c>
      <c r="S625" s="7" t="inlineStr">
        <is>
          <t>Group counter / alternative</t>
        </is>
      </c>
      <c r="T625" s="7" t="inlineStr">
        <is>
          <t>11. אחזקה מונעת ותוכניות</t>
        </is>
      </c>
      <c r="U625" s="7" t="inlineStr">
        <is>
          <t>D5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PLNTY</t>
        </is>
      </c>
      <c r="R626" s="7" t="inlineStr">
        <is>
          <t>סוג רשימה</t>
        </is>
      </c>
      <c r="S626" s="7" t="inlineStr">
        <is>
          <t>Task list type (A/E/T)</t>
        </is>
      </c>
      <c r="T626" s="7" t="inlineStr">
        <is>
          <t>11. אחזקה מונעת ותוכניות</t>
        </is>
      </c>
      <c r="U626" s="7" t="inlineStr">
        <is>
          <t>D6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שדה</t>
        </is>
      </c>
      <c r="Q627" s="8" t="inlineStr">
        <is>
          <t>VERWE</t>
        </is>
      </c>
      <c r="R627" s="7" t="inlineStr">
        <is>
          <t>שימוש רשימה</t>
        </is>
      </c>
      <c r="S627" s="7" t="inlineStr">
        <is>
          <t>Task list usage</t>
        </is>
      </c>
      <c r="T627" s="7" t="inlineStr">
        <is>
          <t>11. אחזקה מונעת ותוכניות</t>
        </is>
      </c>
      <c r="U627" s="7" t="inlineStr">
        <is>
          <t>D7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שדה</t>
        </is>
      </c>
      <c r="Q628" s="8" t="inlineStr">
        <is>
          <t>STATU</t>
        </is>
      </c>
      <c r="R628" s="7" t="inlineStr">
        <is>
          <t>סטטוס רשימה</t>
        </is>
      </c>
      <c r="S628" s="7" t="inlineStr">
        <is>
          <t>Task list status</t>
        </is>
      </c>
      <c r="T628" s="7" t="inlineStr">
        <is>
          <t>11. אחזקה מונעת ותוכניות</t>
        </is>
      </c>
      <c r="U628" s="7" t="inlineStr">
        <is>
          <t>D8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טרנזקציה</t>
        </is>
      </c>
      <c r="Q629" s="8" t="inlineStr">
        <is>
          <t>IA05</t>
        </is>
      </c>
      <c r="R629" s="7" t="inlineStr">
        <is>
          <t>כותרת רשימת פעולות אחזקה</t>
        </is>
      </c>
      <c r="S629" s="7" t="inlineStr">
        <is>
          <t>Task list header</t>
        </is>
      </c>
      <c r="T629" s="7" t="inlineStr">
        <is>
          <t>11. אחזקה מונעת ותוכניות</t>
        </is>
      </c>
      <c r="U629" s="7" t="inlineStr">
        <is>
          <t>A4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IA01</t>
        </is>
      </c>
      <c r="R630" s="7" t="inlineStr">
        <is>
          <t>כותרת רשימת פעולות אחזקה</t>
        </is>
      </c>
      <c r="S630" s="7" t="inlineStr">
        <is>
          <t>Task list header</t>
        </is>
      </c>
      <c r="T630" s="7" t="inlineStr">
        <is>
          <t>11. אחזקה מונעת ותוכניות</t>
        </is>
      </c>
      <c r="U630" s="7" t="inlineStr">
        <is>
          <t>A4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IA11</t>
        </is>
      </c>
      <c r="R631" s="7" t="inlineStr">
        <is>
          <t>כותרת רשימת פעולות אחזקה</t>
        </is>
      </c>
      <c r="S631" s="7" t="inlineStr">
        <is>
          <t>Task list header</t>
        </is>
      </c>
      <c r="T631" s="7" t="inlineStr">
        <is>
          <t>11. אחזקה מונעת ותוכניות</t>
        </is>
      </c>
      <c r="U631" s="7" t="inlineStr">
        <is>
          <t>A4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טרנזקציה</t>
        </is>
      </c>
      <c r="Q632" s="8" t="inlineStr">
        <is>
          <t>IA06</t>
        </is>
      </c>
      <c r="R632" s="7" t="inlineStr">
        <is>
          <t>כותרת רשימת פעולות אחזקה</t>
        </is>
      </c>
      <c r="S632" s="7" t="inlineStr">
        <is>
          <t>Task list header</t>
        </is>
      </c>
      <c r="T632" s="7" t="inlineStr">
        <is>
          <t>11. אחזקה מונעת ותוכניות</t>
        </is>
      </c>
      <c r="U632" s="7" t="inlineStr">
        <is>
          <t>A4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טרנזקציה</t>
        </is>
      </c>
      <c r="Q633" s="8" t="inlineStr">
        <is>
          <t>IA08</t>
        </is>
      </c>
      <c r="R633" s="7" t="inlineStr">
        <is>
          <t>כותרת רשימת פעולות אחזקה</t>
        </is>
      </c>
      <c r="S633" s="7" t="inlineStr">
        <is>
          <t>Task list header</t>
        </is>
      </c>
      <c r="T633" s="7" t="inlineStr">
        <is>
          <t>11. אחזקה מונעת ותוכניות</t>
        </is>
      </c>
      <c r="U633" s="7" t="inlineStr">
        <is>
          <t>A4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פונקציה</t>
        </is>
      </c>
      <c r="Q634" s="8" t="inlineStr">
        <is>
          <t>BAPI_TASKLIST_CREATE</t>
        </is>
      </c>
      <c r="R634" s="7" t="inlineStr">
        <is>
          <t>יצירת רשימת פעולות</t>
        </is>
      </c>
      <c r="S634" s="7" t="inlineStr">
        <is>
          <t>Task list header</t>
        </is>
      </c>
      <c r="T634" s="7" t="inlineStr">
        <is>
          <t>11. אחזקה מונעת ותוכניות</t>
        </is>
      </c>
      <c r="U634" s="7" t="inlineStr">
        <is>
          <t>G4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פונקציה</t>
        </is>
      </c>
      <c r="Q635" s="8" t="inlineStr">
        <is>
          <t>CARO_TASKLIST_READ</t>
        </is>
      </c>
      <c r="R635" s="7" t="inlineStr">
        <is>
          <t>קריאת רשימת פעולות</t>
        </is>
      </c>
      <c r="S635" s="7" t="inlineStr">
        <is>
          <t>Task list header</t>
        </is>
      </c>
      <c r="T635" s="7" t="inlineStr">
        <is>
          <t>11. אחזקה מונעת ותוכניות</t>
        </is>
      </c>
      <c r="U635" s="7" t="inlineStr">
        <is>
          <t>G4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תוכנית</t>
        </is>
      </c>
      <c r="Q636" s="8" t="inlineStr">
        <is>
          <t>RIPLKO00</t>
        </is>
      </c>
      <c r="R636" s="7" t="inlineStr">
        <is>
          <t>דוח רשימות פעולות לפי קבוצה</t>
        </is>
      </c>
      <c r="S636" s="7" t="inlineStr">
        <is>
          <t>Task list header</t>
        </is>
      </c>
      <c r="T636" s="7" t="inlineStr">
        <is>
          <t>11. אחזקה מונעת ותוכניות</t>
        </is>
      </c>
      <c r="U636" s="7" t="inlineStr">
        <is>
          <t>I4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Fiori</t>
        </is>
      </c>
      <c r="Q637" s="8" t="inlineStr">
        <is>
          <t>Manage Task Lists (אמת ID)</t>
        </is>
      </c>
      <c r="R637" s="7" t="inlineStr">
        <is>
          <t>כותרת רשימת פעולות אחזקה</t>
        </is>
      </c>
      <c r="S637" s="7" t="inlineStr">
        <is>
          <t>Task list header</t>
        </is>
      </c>
      <c r="T637" s="7" t="inlineStr">
        <is>
          <t>11. אחזקה מונעת ותוכניות</t>
        </is>
      </c>
      <c r="U637" s="7" t="inlineStr">
        <is>
          <t>N4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טבלה</t>
        </is>
      </c>
      <c r="Q638" s="8" t="inlineStr">
        <is>
          <t>PLPO</t>
        </is>
      </c>
      <c r="R638" s="7" t="inlineStr">
        <is>
          <t>פעולות ברשימת פעולות</t>
        </is>
      </c>
      <c r="S638" s="7" t="inlineStr">
        <is>
          <t>Task list operations</t>
        </is>
      </c>
      <c r="T638" s="7" t="inlineStr">
        <is>
          <t>11. אחזקה מונעת ותוכניות</t>
        </is>
      </c>
      <c r="U638" s="7" t="inlineStr">
        <is>
          <t>A10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PLNTY</t>
        </is>
      </c>
      <c r="R639" s="7" t="inlineStr">
        <is>
          <t>סוג רשימה</t>
        </is>
      </c>
      <c r="S639" s="7" t="inlineStr">
        <is>
          <t>Task list type</t>
        </is>
      </c>
      <c r="T639" s="7" t="inlineStr">
        <is>
          <t>11. אחזקה מונעת ותוכניות</t>
        </is>
      </c>
      <c r="U639" s="7" t="inlineStr">
        <is>
          <t>D11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PLNNR</t>
        </is>
      </c>
      <c r="R640" s="7" t="inlineStr">
        <is>
          <t>קבוצת רשימה</t>
        </is>
      </c>
      <c r="S640" s="7" t="inlineStr">
        <is>
          <t>Task list group</t>
        </is>
      </c>
      <c r="T640" s="7" t="inlineStr">
        <is>
          <t>11. אחזקה מונעת ותוכניות</t>
        </is>
      </c>
      <c r="U640" s="7" t="inlineStr">
        <is>
          <t>D12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VORNR</t>
        </is>
      </c>
      <c r="R641" s="7" t="inlineStr">
        <is>
          <t>מספר פעולה</t>
        </is>
      </c>
      <c r="S641" s="7" t="inlineStr">
        <is>
          <t>Operation number</t>
        </is>
      </c>
      <c r="T641" s="7" t="inlineStr">
        <is>
          <t>11. אחזקה מונעת ותוכניות</t>
        </is>
      </c>
      <c r="U641" s="7" t="inlineStr">
        <is>
          <t>D13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ARBID</t>
        </is>
      </c>
      <c r="R642" s="7" t="inlineStr">
        <is>
          <t>מרכז עבודה</t>
        </is>
      </c>
      <c r="S642" s="7" t="inlineStr">
        <is>
          <t>Work center (object id)</t>
        </is>
      </c>
      <c r="T642" s="7" t="inlineStr">
        <is>
          <t>11. אחזקה מונעת ותוכניות</t>
        </is>
      </c>
      <c r="U642" s="7" t="inlineStr">
        <is>
          <t>D14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שדה</t>
        </is>
      </c>
      <c r="Q643" s="8" t="inlineStr">
        <is>
          <t>STEUS</t>
        </is>
      </c>
      <c r="R643" s="7" t="inlineStr">
        <is>
          <t>מפתח בקרה</t>
        </is>
      </c>
      <c r="S643" s="7" t="inlineStr">
        <is>
          <t>Control key</t>
        </is>
      </c>
      <c r="T643" s="7" t="inlineStr">
        <is>
          <t>11. אחזקה מונעת ותוכניות</t>
        </is>
      </c>
      <c r="U643" s="7" t="inlineStr">
        <is>
          <t>D15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שדה</t>
        </is>
      </c>
      <c r="Q644" s="8" t="inlineStr">
        <is>
          <t>ARBEI</t>
        </is>
      </c>
      <c r="R644" s="7" t="inlineStr">
        <is>
          <t>עבודה מתוכננת</t>
        </is>
      </c>
      <c r="S644" s="7" t="inlineStr">
        <is>
          <t>Planned work</t>
        </is>
      </c>
      <c r="T644" s="7" t="inlineStr">
        <is>
          <t>11. אחזקה מונעת ותוכניות</t>
        </is>
      </c>
      <c r="U644" s="7" t="inlineStr">
        <is>
          <t>D16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טרנזקציה</t>
        </is>
      </c>
      <c r="Q645" s="8" t="inlineStr">
        <is>
          <t>IA01</t>
        </is>
      </c>
      <c r="R645" s="7" t="inlineStr">
        <is>
          <t>פעולות ברשימת פעולות</t>
        </is>
      </c>
      <c r="S645" s="7" t="inlineStr">
        <is>
          <t>Task list operations</t>
        </is>
      </c>
      <c r="T645" s="7" t="inlineStr">
        <is>
          <t>11. אחזקה מונעת ותוכניות</t>
        </is>
      </c>
      <c r="U645" s="7" t="inlineStr">
        <is>
          <t>A11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טרנזקציה</t>
        </is>
      </c>
      <c r="Q646" s="8" t="inlineStr">
        <is>
          <t>IA05</t>
        </is>
      </c>
      <c r="R646" s="7" t="inlineStr">
        <is>
          <t>פעולות ברשימת פעולות</t>
        </is>
      </c>
      <c r="S646" s="7" t="inlineStr">
        <is>
          <t>Task list operations</t>
        </is>
      </c>
      <c r="T646" s="7" t="inlineStr">
        <is>
          <t>11. אחזקה מונעת ותוכניות</t>
        </is>
      </c>
      <c r="U646" s="7" t="inlineStr">
        <is>
          <t>A11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טרנזקציה</t>
        </is>
      </c>
      <c r="Q647" s="8" t="inlineStr">
        <is>
          <t>IA06</t>
        </is>
      </c>
      <c r="R647" s="7" t="inlineStr">
        <is>
          <t>פעולות ברשימת פעולות</t>
        </is>
      </c>
      <c r="S647" s="7" t="inlineStr">
        <is>
          <t>Task list operations</t>
        </is>
      </c>
      <c r="T647" s="7" t="inlineStr">
        <is>
          <t>11. אחזקה מונעת ותוכניות</t>
        </is>
      </c>
      <c r="U647" s="7" t="inlineStr">
        <is>
          <t>A11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פונקציה</t>
        </is>
      </c>
      <c r="Q648" s="8" t="inlineStr">
        <is>
          <t>CP_DI_OPERATION_READ</t>
        </is>
      </c>
      <c r="R648" s="7" t="inlineStr">
        <is>
          <t>קריאת פעולות הרשימה</t>
        </is>
      </c>
      <c r="S648" s="7" t="inlineStr">
        <is>
          <t>Task list operations</t>
        </is>
      </c>
      <c r="T648" s="7" t="inlineStr">
        <is>
          <t>11. אחזקה מונעת ותוכניות</t>
        </is>
      </c>
      <c r="U648" s="7" t="inlineStr">
        <is>
          <t>G11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תוכנית</t>
        </is>
      </c>
      <c r="Q649" s="8" t="inlineStr">
        <is>
          <t>RIPLKO00</t>
        </is>
      </c>
      <c r="R649" s="7" t="inlineStr">
        <is>
          <t>דוח פעולות רשימה</t>
        </is>
      </c>
      <c r="S649" s="7" t="inlineStr">
        <is>
          <t>Task list operations</t>
        </is>
      </c>
      <c r="T649" s="7" t="inlineStr">
        <is>
          <t>11. אחזקה מונעת ותוכניות</t>
        </is>
      </c>
      <c r="U649" s="7" t="inlineStr">
        <is>
          <t>I11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Fiori</t>
        </is>
      </c>
      <c r="Q650" s="8" t="inlineStr">
        <is>
          <t>Manage Task Lists (אמת ID)</t>
        </is>
      </c>
      <c r="R650" s="7" t="inlineStr">
        <is>
          <t>פעולות ברשימת פעולות</t>
        </is>
      </c>
      <c r="S650" s="7" t="inlineStr">
        <is>
          <t>Task list operations</t>
        </is>
      </c>
      <c r="T650" s="7" t="inlineStr">
        <is>
          <t>11. אחזקה מונעת ותוכניות</t>
        </is>
      </c>
      <c r="U650" s="7" t="inlineStr">
        <is>
          <t>N11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טבלה</t>
        </is>
      </c>
      <c r="Q651" s="8" t="inlineStr">
        <is>
          <t>MPLA</t>
        </is>
      </c>
      <c r="R651" s="7" t="inlineStr">
        <is>
          <t>כותרת תכנית אחזקה ונתוני תזמון</t>
        </is>
      </c>
      <c r="S651" s="7" t="inlineStr">
        <is>
          <t>Maintenance plan header</t>
        </is>
      </c>
      <c r="T651" s="7" t="inlineStr">
        <is>
          <t>11. אחזקה מונעת ותוכניות</t>
        </is>
      </c>
      <c r="U651" s="7" t="inlineStr">
        <is>
          <t>A18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WARPL</t>
        </is>
      </c>
      <c r="R652" s="7" t="inlineStr">
        <is>
          <t>מספר תכנית אחזקה</t>
        </is>
      </c>
      <c r="S652" s="7" t="inlineStr">
        <is>
          <t>Maintenance plan number</t>
        </is>
      </c>
      <c r="T652" s="7" t="inlineStr">
        <is>
          <t>11. אחזקה מונעת ותוכניות</t>
        </is>
      </c>
      <c r="U652" s="7" t="inlineStr">
        <is>
          <t>D19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MPTYP</t>
        </is>
      </c>
      <c r="R653" s="7" t="inlineStr">
        <is>
          <t>סוג תכנית</t>
        </is>
      </c>
      <c r="S653" s="7" t="inlineStr">
        <is>
          <t>Maintenance plan category</t>
        </is>
      </c>
      <c r="T653" s="7" t="inlineStr">
        <is>
          <t>11. אחזקה מונעת ותוכניות</t>
        </is>
      </c>
      <c r="U653" s="7" t="inlineStr">
        <is>
          <t>D20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שדה</t>
        </is>
      </c>
      <c r="Q654" s="8" t="inlineStr">
        <is>
          <t>STRAT</t>
        </is>
      </c>
      <c r="R654" s="7" t="inlineStr">
        <is>
          <t>אסטרטגיית אחזקה</t>
        </is>
      </c>
      <c r="S654" s="7" t="inlineStr">
        <is>
          <t>Maintenance strategy</t>
        </is>
      </c>
      <c r="T654" s="7" t="inlineStr">
        <is>
          <t>11. אחזקה מונעת ותוכניות</t>
        </is>
      </c>
      <c r="U654" s="7" t="inlineStr">
        <is>
          <t>D21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שדה</t>
        </is>
      </c>
      <c r="Q655" s="8" t="inlineStr">
        <is>
          <t>HORIZ</t>
        </is>
      </c>
      <c r="R655" s="7" t="inlineStr">
        <is>
          <t>אופק שחרור</t>
        </is>
      </c>
      <c r="S655" s="7" t="inlineStr">
        <is>
          <t>Call horizon</t>
        </is>
      </c>
      <c r="T655" s="7" t="inlineStr">
        <is>
          <t>11. אחזקה מונעת ותוכניות</t>
        </is>
      </c>
      <c r="U655" s="7" t="inlineStr">
        <is>
          <t>D22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שדה</t>
        </is>
      </c>
      <c r="Q656" s="8" t="inlineStr">
        <is>
          <t>ABRHO</t>
        </is>
      </c>
      <c r="R656" s="7" t="inlineStr">
        <is>
          <t>תקופת תזמון</t>
        </is>
      </c>
      <c r="S656" s="7" t="inlineStr">
        <is>
          <t>Scheduling period</t>
        </is>
      </c>
      <c r="T656" s="7" t="inlineStr">
        <is>
          <t>11. אחזקה מונעת ותוכניות</t>
        </is>
      </c>
      <c r="U656" s="7" t="inlineStr">
        <is>
          <t>D23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טרנזקציה</t>
        </is>
      </c>
      <c r="Q657" s="8" t="inlineStr">
        <is>
          <t>IP01</t>
        </is>
      </c>
      <c r="R657" s="7" t="inlineStr">
        <is>
          <t>כותרת תכנית אחזקה ונתוני תזמון</t>
        </is>
      </c>
      <c r="S657" s="7" t="inlineStr">
        <is>
          <t>Maintenance plan header</t>
        </is>
      </c>
      <c r="T657" s="7" t="inlineStr">
        <is>
          <t>11. אחזקה מונעת ותוכניות</t>
        </is>
      </c>
      <c r="U657" s="7" t="inlineStr">
        <is>
          <t>A19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טרנזקציה</t>
        </is>
      </c>
      <c r="Q658" s="8" t="inlineStr">
        <is>
          <t>IP02</t>
        </is>
      </c>
      <c r="R658" s="7" t="inlineStr">
        <is>
          <t>כותרת תכנית אחזקה ונתוני תזמון</t>
        </is>
      </c>
      <c r="S658" s="7" t="inlineStr">
        <is>
          <t>Maintenance plan header</t>
        </is>
      </c>
      <c r="T658" s="7" t="inlineStr">
        <is>
          <t>11. אחזקה מונעת ותוכניות</t>
        </is>
      </c>
      <c r="U658" s="7" t="inlineStr">
        <is>
          <t>A19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טרנזקציה</t>
        </is>
      </c>
      <c r="Q659" s="8" t="inlineStr">
        <is>
          <t>IP03</t>
        </is>
      </c>
      <c r="R659" s="7" t="inlineStr">
        <is>
          <t>כותרת תכנית אחזקה ונתוני תזמון</t>
        </is>
      </c>
      <c r="S659" s="7" t="inlineStr">
        <is>
          <t>Maintenance plan header</t>
        </is>
      </c>
      <c r="T659" s="7" t="inlineStr">
        <is>
          <t>11. אחזקה מונעת ותוכניות</t>
        </is>
      </c>
      <c r="U659" s="7" t="inlineStr">
        <is>
          <t>A19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טרנזקציה</t>
        </is>
      </c>
      <c r="Q660" s="8" t="inlineStr">
        <is>
          <t>IP41</t>
        </is>
      </c>
      <c r="R660" s="7" t="inlineStr">
        <is>
          <t>כותרת תכנית אחזקה ונתוני תזמון</t>
        </is>
      </c>
      <c r="S660" s="7" t="inlineStr">
        <is>
          <t>Maintenance plan header</t>
        </is>
      </c>
      <c r="T660" s="7" t="inlineStr">
        <is>
          <t>11. אחזקה מונעת ותוכניות</t>
        </is>
      </c>
      <c r="U660" s="7" t="inlineStr">
        <is>
          <t>A19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טרנזקציה</t>
        </is>
      </c>
      <c r="Q661" s="8" t="inlineStr">
        <is>
          <t>IP42</t>
        </is>
      </c>
      <c r="R661" s="7" t="inlineStr">
        <is>
          <t>כותרת תכנית אחזקה ונתוני תזמון</t>
        </is>
      </c>
      <c r="S661" s="7" t="inlineStr">
        <is>
          <t>Maintenance plan header</t>
        </is>
      </c>
      <c r="T661" s="7" t="inlineStr">
        <is>
          <t>11. אחזקה מונעת ותוכניות</t>
        </is>
      </c>
      <c r="U661" s="7" t="inlineStr">
        <is>
          <t>A19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פונקציה</t>
        </is>
      </c>
      <c r="Q662" s="8" t="inlineStr">
        <is>
          <t>BAPI_MAINTENANCEPLAN_CREATE</t>
        </is>
      </c>
      <c r="R662" s="7" t="inlineStr">
        <is>
          <t>יצירת תכנית אחזקה</t>
        </is>
      </c>
      <c r="S662" s="7" t="inlineStr">
        <is>
          <t>Maintenance plan header</t>
        </is>
      </c>
      <c r="T662" s="7" t="inlineStr">
        <is>
          <t>11. אחזקה מונעת ותוכניות</t>
        </is>
      </c>
      <c r="U662" s="7" t="inlineStr">
        <is>
          <t>G19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פונקציה</t>
        </is>
      </c>
      <c r="Q663" s="8" t="inlineStr">
        <is>
          <t>MAINTENANCE_PLAN_SCHEDULE</t>
        </is>
      </c>
      <c r="R663" s="7" t="inlineStr">
        <is>
          <t>תזמון תכנית אחזקה</t>
        </is>
      </c>
      <c r="S663" s="7" t="inlineStr">
        <is>
          <t>Maintenance plan header</t>
        </is>
      </c>
      <c r="T663" s="7" t="inlineStr">
        <is>
          <t>11. אחזקה מונעת ותוכניות</t>
        </is>
      </c>
      <c r="U663" s="7" t="inlineStr">
        <is>
          <t>G19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תוכנית</t>
        </is>
      </c>
      <c r="Q664" s="8" t="inlineStr">
        <is>
          <t>RIMPLA00</t>
        </is>
      </c>
      <c r="R664" s="7" t="inlineStr">
        <is>
          <t>דוח תכניות אחזקה ופריטיהן</t>
        </is>
      </c>
      <c r="S664" s="7" t="inlineStr">
        <is>
          <t>Maintenance plan header</t>
        </is>
      </c>
      <c r="T664" s="7" t="inlineStr">
        <is>
          <t>11. אחזקה מונעת ותוכניות</t>
        </is>
      </c>
      <c r="U664" s="7" t="inlineStr">
        <is>
          <t>I19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Fiori</t>
        </is>
      </c>
      <c r="Q665" s="8" t="inlineStr">
        <is>
          <t>Manage Maintenance Plans (אמת ID)</t>
        </is>
      </c>
      <c r="R665" s="7" t="inlineStr">
        <is>
          <t>כותרת תכנית אחזקה ונתוני תזמון</t>
        </is>
      </c>
      <c r="S665" s="7" t="inlineStr">
        <is>
          <t>Maintenance plan header</t>
        </is>
      </c>
      <c r="T665" s="7" t="inlineStr">
        <is>
          <t>11. אחזקה מונעת ותוכניות</t>
        </is>
      </c>
      <c r="U665" s="7" t="inlineStr">
        <is>
          <t>N19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טבלה</t>
        </is>
      </c>
      <c r="Q666" s="8" t="inlineStr">
        <is>
          <t>MPOS</t>
        </is>
      </c>
      <c r="R666" s="7" t="inlineStr">
        <is>
          <t>פריט תכנית אחזקה</t>
        </is>
      </c>
      <c r="S666" s="7" t="inlineStr">
        <is>
          <t>Maintenance item</t>
        </is>
      </c>
      <c r="T666" s="7" t="inlineStr">
        <is>
          <t>11. אחזקה מונעת ותוכניות</t>
        </is>
      </c>
      <c r="U666" s="7" t="inlineStr">
        <is>
          <t>A25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שדה</t>
        </is>
      </c>
      <c r="Q667" s="8" t="inlineStr">
        <is>
          <t>WAPOS</t>
        </is>
      </c>
      <c r="R667" s="7" t="inlineStr">
        <is>
          <t>מספר פריט תכנית</t>
        </is>
      </c>
      <c r="S667" s="7" t="inlineStr">
        <is>
          <t>Maintenance item number</t>
        </is>
      </c>
      <c r="T667" s="7" t="inlineStr">
        <is>
          <t>11. אחזקה מונעת ותוכניות</t>
        </is>
      </c>
      <c r="U667" s="7" t="inlineStr">
        <is>
          <t>D26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שדה</t>
        </is>
      </c>
      <c r="Q668" s="8" t="inlineStr">
        <is>
          <t>WARPL</t>
        </is>
      </c>
      <c r="R668" s="7" t="inlineStr">
        <is>
          <t>תכנית אחזקה</t>
        </is>
      </c>
      <c r="S668" s="7" t="inlineStr">
        <is>
          <t>Maintenance plan</t>
        </is>
      </c>
      <c r="T668" s="7" t="inlineStr">
        <is>
          <t>11. אחזקה מונעת ותוכניות</t>
        </is>
      </c>
      <c r="U668" s="7" t="inlineStr">
        <is>
          <t>D27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שדה</t>
        </is>
      </c>
      <c r="Q669" s="8" t="inlineStr">
        <is>
          <t>EQUNR</t>
        </is>
      </c>
      <c r="R669" s="7" t="inlineStr">
        <is>
          <t>ציוד מתייחס</t>
        </is>
      </c>
      <c r="S669" s="7" t="inlineStr">
        <is>
          <t>Reference equipment</t>
        </is>
      </c>
      <c r="T669" s="7" t="inlineStr">
        <is>
          <t>11. אחזקה מונעת ותוכניות</t>
        </is>
      </c>
      <c r="U669" s="7" t="inlineStr">
        <is>
          <t>D28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שדה</t>
        </is>
      </c>
      <c r="Q670" s="8" t="inlineStr">
        <is>
          <t>TPLNR</t>
        </is>
      </c>
      <c r="R670" s="7" t="inlineStr">
        <is>
          <t>מיקום מתייחס</t>
        </is>
      </c>
      <c r="S670" s="7" t="inlineStr">
        <is>
          <t>Reference functional location</t>
        </is>
      </c>
      <c r="T670" s="7" t="inlineStr">
        <is>
          <t>11. אחזקה מונעת ותוכניות</t>
        </is>
      </c>
      <c r="U670" s="7" t="inlineStr">
        <is>
          <t>D29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שדה</t>
        </is>
      </c>
      <c r="Q671" s="8" t="inlineStr">
        <is>
          <t>AUART</t>
        </is>
      </c>
      <c r="R671" s="7" t="inlineStr">
        <is>
          <t>סוג פק"ע ליצירה</t>
        </is>
      </c>
      <c r="S671" s="7" t="inlineStr">
        <is>
          <t>Order type to create</t>
        </is>
      </c>
      <c r="T671" s="7" t="inlineStr">
        <is>
          <t>11. אחזקה מונעת ותוכניות</t>
        </is>
      </c>
      <c r="U671" s="7" t="inlineStr">
        <is>
          <t>D30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שדה</t>
        </is>
      </c>
      <c r="Q672" s="8" t="inlineStr">
        <is>
          <t>PLNNR</t>
        </is>
      </c>
      <c r="R672" s="7" t="inlineStr">
        <is>
          <t>קבוצת רשימת פעולות</t>
        </is>
      </c>
      <c r="S672" s="7" t="inlineStr">
        <is>
          <t>Task list group</t>
        </is>
      </c>
      <c r="T672" s="7" t="inlineStr">
        <is>
          <t>11. אחזקה מונעת ותוכניות</t>
        </is>
      </c>
      <c r="U672" s="7" t="inlineStr">
        <is>
          <t>D31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טרנזקציה</t>
        </is>
      </c>
      <c r="Q673" s="8" t="inlineStr">
        <is>
          <t>IP04</t>
        </is>
      </c>
      <c r="R673" s="7" t="inlineStr">
        <is>
          <t>פריט תכנית אחזקה</t>
        </is>
      </c>
      <c r="S673" s="7" t="inlineStr">
        <is>
          <t>Maintenance item</t>
        </is>
      </c>
      <c r="T673" s="7" t="inlineStr">
        <is>
          <t>11. אחזקה מונעת ותוכניות</t>
        </is>
      </c>
      <c r="U673" s="7" t="inlineStr">
        <is>
          <t>A26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טרנזקציה</t>
        </is>
      </c>
      <c r="Q674" s="8" t="inlineStr">
        <is>
          <t>IP02</t>
        </is>
      </c>
      <c r="R674" s="7" t="inlineStr">
        <is>
          <t>פריט תכנית אחזקה</t>
        </is>
      </c>
      <c r="S674" s="7" t="inlineStr">
        <is>
          <t>Maintenance item</t>
        </is>
      </c>
      <c r="T674" s="7" t="inlineStr">
        <is>
          <t>11. אחזקה מונעת ותוכניות</t>
        </is>
      </c>
      <c r="U674" s="7" t="inlineStr">
        <is>
          <t>A26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פונקציה</t>
        </is>
      </c>
      <c r="Q675" s="8" t="inlineStr">
        <is>
          <t>MAINTENANCE_ITEM_READ</t>
        </is>
      </c>
      <c r="R675" s="7" t="inlineStr">
        <is>
          <t>קריאת פריט תכנית אחזקה</t>
        </is>
      </c>
      <c r="S675" s="7" t="inlineStr">
        <is>
          <t>Maintenance item</t>
        </is>
      </c>
      <c r="T675" s="7" t="inlineStr">
        <is>
          <t>11. אחזקה מונעת ותוכניות</t>
        </is>
      </c>
      <c r="U675" s="7" t="inlineStr">
        <is>
          <t>G26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תוכנית</t>
        </is>
      </c>
      <c r="Q676" s="8" t="inlineStr">
        <is>
          <t>RIMPLA00</t>
        </is>
      </c>
      <c r="R676" s="7" t="inlineStr">
        <is>
          <t>דוח פריטי תכנית אחזקה</t>
        </is>
      </c>
      <c r="S676" s="7" t="inlineStr">
        <is>
          <t>Maintenance item</t>
        </is>
      </c>
      <c r="T676" s="7" t="inlineStr">
        <is>
          <t>11. אחזקה מונעת ותוכניות</t>
        </is>
      </c>
      <c r="U676" s="7" t="inlineStr">
        <is>
          <t>I26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Fiori</t>
        </is>
      </c>
      <c r="Q677" s="8" t="inlineStr">
        <is>
          <t>Manage Maintenance Plans (אמת ID)</t>
        </is>
      </c>
      <c r="R677" s="7" t="inlineStr">
        <is>
          <t>פריט תכנית אחזקה</t>
        </is>
      </c>
      <c r="S677" s="7" t="inlineStr">
        <is>
          <t>Maintenance item</t>
        </is>
      </c>
      <c r="T677" s="7" t="inlineStr">
        <is>
          <t>11. אחזקה מונעת ותוכניות</t>
        </is>
      </c>
      <c r="U677" s="7" t="inlineStr">
        <is>
          <t>N26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טבלה</t>
        </is>
      </c>
      <c r="Q678" s="8" t="inlineStr">
        <is>
          <t>MHIO</t>
        </is>
      </c>
      <c r="R678" s="7" t="inlineStr">
        <is>
          <t>אובייקטי קריאת תכנית האחזקה</t>
        </is>
      </c>
      <c r="S678" s="7" t="inlineStr">
        <is>
          <t>Maintenance plan call objects</t>
        </is>
      </c>
      <c r="T678" s="7" t="inlineStr">
        <is>
          <t>11. אחזקה מונעת ותוכניות</t>
        </is>
      </c>
      <c r="U678" s="7" t="inlineStr">
        <is>
          <t>A33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שדה</t>
        </is>
      </c>
      <c r="Q679" s="8" t="inlineStr">
        <is>
          <t>WARPL</t>
        </is>
      </c>
      <c r="R679" s="7" t="inlineStr">
        <is>
          <t>תכנית אחזקה</t>
        </is>
      </c>
      <c r="S679" s="7" t="inlineStr">
        <is>
          <t>Maintenance plan</t>
        </is>
      </c>
      <c r="T679" s="7" t="inlineStr">
        <is>
          <t>11. אחזקה מונעת ותוכניות</t>
        </is>
      </c>
      <c r="U679" s="7" t="inlineStr">
        <is>
          <t>D34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שדה</t>
        </is>
      </c>
      <c r="Q680" s="8" t="inlineStr">
        <is>
          <t>ABNUM</t>
        </is>
      </c>
      <c r="R680" s="7" t="inlineStr">
        <is>
          <t>מספר קריאה</t>
        </is>
      </c>
      <c r="S680" s="7" t="inlineStr">
        <is>
          <t>Maintenance call number</t>
        </is>
      </c>
      <c r="T680" s="7" t="inlineStr">
        <is>
          <t>11. אחזקה מונעת ותוכניות</t>
        </is>
      </c>
      <c r="U680" s="7" t="inlineStr">
        <is>
          <t>D35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שדה</t>
        </is>
      </c>
      <c r="Q681" s="8" t="inlineStr">
        <is>
          <t>NPLDA</t>
        </is>
      </c>
      <c r="R681" s="7" t="inlineStr">
        <is>
          <t>תאריך מתוכנן הבא</t>
        </is>
      </c>
      <c r="S681" s="7" t="inlineStr">
        <is>
          <t>Next planned date</t>
        </is>
      </c>
      <c r="T681" s="7" t="inlineStr">
        <is>
          <t>11. אחזקה מונעת ותוכניות</t>
        </is>
      </c>
      <c r="U681" s="7" t="inlineStr">
        <is>
          <t>D36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שדה</t>
        </is>
      </c>
      <c r="Q682" s="8" t="inlineStr">
        <is>
          <t>AUFNR</t>
        </is>
      </c>
      <c r="R682" s="7" t="inlineStr">
        <is>
          <t>פק"ע שנוצרה</t>
        </is>
      </c>
      <c r="S682" s="7" t="inlineStr">
        <is>
          <t>Order created</t>
        </is>
      </c>
      <c r="T682" s="7" t="inlineStr">
        <is>
          <t>11. אחזקה מונעת ותוכניות</t>
        </is>
      </c>
      <c r="U682" s="7" t="inlineStr">
        <is>
          <t>D37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שדה</t>
        </is>
      </c>
      <c r="Q683" s="8" t="inlineStr">
        <is>
          <t>ABRUF</t>
        </is>
      </c>
      <c r="R683" s="7" t="inlineStr">
        <is>
          <t>סטטוס קריאה</t>
        </is>
      </c>
      <c r="S683" s="7" t="inlineStr">
        <is>
          <t>Call status</t>
        </is>
      </c>
      <c r="T683" s="7" t="inlineStr">
        <is>
          <t>11. אחזקה מונעת ותוכניות</t>
        </is>
      </c>
      <c r="U683" s="7" t="inlineStr">
        <is>
          <t>D38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טרנזקציה</t>
        </is>
      </c>
      <c r="Q684" s="8" t="inlineStr">
        <is>
          <t>IP10</t>
        </is>
      </c>
      <c r="R684" s="7" t="inlineStr">
        <is>
          <t>אובייקטי קריאת תכנית האחזקה</t>
        </is>
      </c>
      <c r="S684" s="7" t="inlineStr">
        <is>
          <t>Maintenance plan call objects</t>
        </is>
      </c>
      <c r="T684" s="7" t="inlineStr">
        <is>
          <t>11. אחזקה מונעת ותוכניות</t>
        </is>
      </c>
      <c r="U684" s="7" t="inlineStr">
        <is>
          <t>A34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טרנזקציה</t>
        </is>
      </c>
      <c r="Q685" s="8" t="inlineStr">
        <is>
          <t>IP30</t>
        </is>
      </c>
      <c r="R685" s="7" t="inlineStr">
        <is>
          <t>אובייקטי קריאת תכנית האחזקה</t>
        </is>
      </c>
      <c r="S685" s="7" t="inlineStr">
        <is>
          <t>Maintenance plan call objects</t>
        </is>
      </c>
      <c r="T685" s="7" t="inlineStr">
        <is>
          <t>11. אחזקה מונעת ותוכניות</t>
        </is>
      </c>
      <c r="U685" s="7" t="inlineStr">
        <is>
          <t>A34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טרנזקציה</t>
        </is>
      </c>
      <c r="Q686" s="8" t="inlineStr">
        <is>
          <t>IP24</t>
        </is>
      </c>
      <c r="R686" s="7" t="inlineStr">
        <is>
          <t>אובייקטי קריאת תכנית האחזקה</t>
        </is>
      </c>
      <c r="S686" s="7" t="inlineStr">
        <is>
          <t>Maintenance plan call objects</t>
        </is>
      </c>
      <c r="T686" s="7" t="inlineStr">
        <is>
          <t>11. אחזקה מונעת ותוכניות</t>
        </is>
      </c>
      <c r="U686" s="7" t="inlineStr">
        <is>
          <t>A34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פונקציה</t>
        </is>
      </c>
      <c r="Q687" s="8" t="inlineStr">
        <is>
          <t>ISCHED_CALL_GENERATE</t>
        </is>
      </c>
      <c r="R687" s="7" t="inlineStr">
        <is>
          <t>יצירת קריאת אחזקה ופק"ע</t>
        </is>
      </c>
      <c r="S687" s="7" t="inlineStr">
        <is>
          <t>Maintenance plan call objects</t>
        </is>
      </c>
      <c r="T687" s="7" t="inlineStr">
        <is>
          <t>11. אחזקה מונעת ותוכניות</t>
        </is>
      </c>
      <c r="U687" s="7" t="inlineStr">
        <is>
          <t>G34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פונקציה</t>
        </is>
      </c>
      <c r="Q688" s="8" t="inlineStr">
        <is>
          <t>MAINTENANCE_PLAN_SCHEDULE</t>
        </is>
      </c>
      <c r="R688" s="7" t="inlineStr">
        <is>
          <t>תזמון ושחרור קריאות</t>
        </is>
      </c>
      <c r="S688" s="7" t="inlineStr">
        <is>
          <t>Maintenance plan call objects</t>
        </is>
      </c>
      <c r="T688" s="7" t="inlineStr">
        <is>
          <t>11. אחזקה מונעת ותוכניות</t>
        </is>
      </c>
      <c r="U688" s="7" t="inlineStr">
        <is>
          <t>G34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תוכנית</t>
        </is>
      </c>
      <c r="Q689" s="8" t="inlineStr">
        <is>
          <t>RISTRA20</t>
        </is>
      </c>
      <c r="R689" s="7" t="inlineStr">
        <is>
          <t>ניטור מועדים ברקע (IP30)</t>
        </is>
      </c>
      <c r="S689" s="7" t="inlineStr">
        <is>
          <t>Maintenance plan call objects</t>
        </is>
      </c>
      <c r="T689" s="7" t="inlineStr">
        <is>
          <t>11. אחזקה מונעת ותוכניות</t>
        </is>
      </c>
      <c r="U689" s="7" t="inlineStr">
        <is>
          <t>I34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Fiori</t>
        </is>
      </c>
      <c r="Q690" s="8" t="inlineStr">
        <is>
          <t>Schedule Maintenance Plans (אמת ID)</t>
        </is>
      </c>
      <c r="R690" s="7" t="inlineStr">
        <is>
          <t>אובייקטי קריאת תכנית האחזקה</t>
        </is>
      </c>
      <c r="S690" s="7" t="inlineStr">
        <is>
          <t>Maintenance plan call objects</t>
        </is>
      </c>
      <c r="T690" s="7" t="inlineStr">
        <is>
          <t>11. אחזקה מונעת ותוכניות</t>
        </is>
      </c>
      <c r="U690" s="7" t="inlineStr">
        <is>
          <t>N34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טבלה</t>
        </is>
      </c>
      <c r="Q691" s="8" t="inlineStr">
        <is>
          <t>MHIS</t>
        </is>
      </c>
      <c r="R691" s="7" t="inlineStr">
        <is>
          <t>היסטוריית תזמון תכנית אחזקה</t>
        </is>
      </c>
      <c r="S691" s="7" t="inlineStr">
        <is>
          <t>Maintenance plan scheduling history</t>
        </is>
      </c>
      <c r="T691" s="7" t="inlineStr">
        <is>
          <t>11. אחזקה מונעת ותוכניות</t>
        </is>
      </c>
      <c r="U691" s="7" t="inlineStr">
        <is>
          <t>A40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WARPL</t>
        </is>
      </c>
      <c r="R692" s="7" t="inlineStr">
        <is>
          <t>תכנית אחזקה</t>
        </is>
      </c>
      <c r="S692" s="7" t="inlineStr">
        <is>
          <t>Maintenance plan</t>
        </is>
      </c>
      <c r="T692" s="7" t="inlineStr">
        <is>
          <t>11. אחזקה מונעת ותוכניות</t>
        </is>
      </c>
      <c r="U692" s="7" t="inlineStr">
        <is>
          <t>D41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שדה</t>
        </is>
      </c>
      <c r="Q693" s="8" t="inlineStr">
        <is>
          <t>ABNUM</t>
        </is>
      </c>
      <c r="R693" s="7" t="inlineStr">
        <is>
          <t>מספר קריאה</t>
        </is>
      </c>
      <c r="S693" s="7" t="inlineStr">
        <is>
          <t>Call number</t>
        </is>
      </c>
      <c r="T693" s="7" t="inlineStr">
        <is>
          <t>11. אחזקה מונעת ותוכניות</t>
        </is>
      </c>
      <c r="U693" s="7" t="inlineStr">
        <is>
          <t>D42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שדה</t>
        </is>
      </c>
      <c r="Q694" s="8" t="inlineStr">
        <is>
          <t>NTERM</t>
        </is>
      </c>
      <c r="R694" s="7" t="inlineStr">
        <is>
          <t>מועד מתוכנן</t>
        </is>
      </c>
      <c r="S694" s="7" t="inlineStr">
        <is>
          <t>Planned date</t>
        </is>
      </c>
      <c r="T694" s="7" t="inlineStr">
        <is>
          <t>11. אחזקה מונעת ותוכניות</t>
        </is>
      </c>
      <c r="U694" s="7" t="inlineStr">
        <is>
          <t>D43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שדה</t>
        </is>
      </c>
      <c r="Q695" s="8" t="inlineStr">
        <is>
          <t>HORIZ</t>
        </is>
      </c>
      <c r="R695" s="7" t="inlineStr">
        <is>
          <t>אופק בעת תזמון</t>
        </is>
      </c>
      <c r="S695" s="7" t="inlineStr">
        <is>
          <t>Call horizon at scheduling</t>
        </is>
      </c>
      <c r="T695" s="7" t="inlineStr">
        <is>
          <t>11. אחזקה מונעת ותוכניות</t>
        </is>
      </c>
      <c r="U695" s="7" t="inlineStr">
        <is>
          <t>D44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טרנזקציה</t>
        </is>
      </c>
      <c r="Q696" s="8" t="inlineStr">
        <is>
          <t>IP10</t>
        </is>
      </c>
      <c r="R696" s="7" t="inlineStr">
        <is>
          <t>היסטוריית תזמון תכנית אחזקה</t>
        </is>
      </c>
      <c r="S696" s="7" t="inlineStr">
        <is>
          <t>Maintenance plan scheduling history</t>
        </is>
      </c>
      <c r="T696" s="7" t="inlineStr">
        <is>
          <t>11. אחזקה מונעת ותוכניות</t>
        </is>
      </c>
      <c r="U696" s="7" t="inlineStr">
        <is>
          <t>A41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טרנזקציה</t>
        </is>
      </c>
      <c r="Q697" s="8" t="inlineStr">
        <is>
          <t>IP30</t>
        </is>
      </c>
      <c r="R697" s="7" t="inlineStr">
        <is>
          <t>היסטוריית תזמון תכנית אחזקה</t>
        </is>
      </c>
      <c r="S697" s="7" t="inlineStr">
        <is>
          <t>Maintenance plan scheduling history</t>
        </is>
      </c>
      <c r="T697" s="7" t="inlineStr">
        <is>
          <t>11. אחזקה מונעת ותוכניות</t>
        </is>
      </c>
      <c r="U697" s="7" t="inlineStr">
        <is>
          <t>A41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פונקציה</t>
        </is>
      </c>
      <c r="Q698" s="8" t="inlineStr">
        <is>
          <t>SCHEDULING_HISTORY_READ</t>
        </is>
      </c>
      <c r="R698" s="7" t="inlineStr">
        <is>
          <t>קריאת היסטוריית תזמון</t>
        </is>
      </c>
      <c r="S698" s="7" t="inlineStr">
        <is>
          <t>Maintenance plan scheduling history</t>
        </is>
      </c>
      <c r="T698" s="7" t="inlineStr">
        <is>
          <t>11. אחזקה מונעת ותוכניות</t>
        </is>
      </c>
      <c r="U698" s="7" t="inlineStr">
        <is>
          <t>G41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תוכנית</t>
        </is>
      </c>
      <c r="Q699" s="8" t="inlineStr">
        <is>
          <t>RISTRA10</t>
        </is>
      </c>
      <c r="R699" s="7" t="inlineStr">
        <is>
          <t>ניתוח אסטרטגיות וחבילות אחזקה</t>
        </is>
      </c>
      <c r="S699" s="7" t="inlineStr">
        <is>
          <t>Maintenance plan scheduling history</t>
        </is>
      </c>
      <c r="T699" s="7" t="inlineStr">
        <is>
          <t>11. אחזקה מונעת ותוכניות</t>
        </is>
      </c>
      <c r="U699" s="7" t="inlineStr">
        <is>
          <t>I41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Fiori</t>
        </is>
      </c>
      <c r="Q700" s="8" t="inlineStr">
        <is>
          <t>Schedule Maintenance Plans (אמת ID)</t>
        </is>
      </c>
      <c r="R700" s="7" t="inlineStr">
        <is>
          <t>היסטוריית תזמון תכנית אחזקה</t>
        </is>
      </c>
      <c r="S700" s="7" t="inlineStr">
        <is>
          <t>Maintenance plan scheduling history</t>
        </is>
      </c>
      <c r="T700" s="7" t="inlineStr">
        <is>
          <t>11. אחזקה מונעת ותוכניות</t>
        </is>
      </c>
      <c r="U700" s="7" t="inlineStr">
        <is>
          <t>N41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User Exit</t>
        </is>
      </c>
      <c r="Q701" s="8" t="inlineStr">
        <is>
          <t>IPRM0001</t>
        </is>
      </c>
      <c r="R701" s="7" t="inlineStr">
        <is>
          <t>הרחבת לקוח לתכניות אחזקה (Maintenance Plans)</t>
        </is>
      </c>
      <c r="S701" s="7" t="inlineStr"/>
      <c r="T701" s="7" t="inlineStr">
        <is>
          <t>11. אחזקה מונעת ותוכניות</t>
        </is>
      </c>
      <c r="U701" s="7" t="inlineStr">
        <is>
          <t>A49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User Exit</t>
        </is>
      </c>
      <c r="Q702" s="8" t="inlineStr">
        <is>
          <t>IPRM0002</t>
        </is>
      </c>
      <c r="R702" s="7" t="inlineStr">
        <is>
          <t>הרחבת לוגיקת תזמון (Scheduling)</t>
        </is>
      </c>
      <c r="S702" s="7" t="inlineStr"/>
      <c r="T702" s="7" t="inlineStr">
        <is>
          <t>11. אחזקה מונעת ותוכניות</t>
        </is>
      </c>
      <c r="U702" s="7" t="inlineStr">
        <is>
          <t>A50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BAdI</t>
        </is>
      </c>
      <c r="Q703" s="8" t="inlineStr">
        <is>
          <t>BADI_EAM_MAINT_PLAN</t>
        </is>
      </c>
      <c r="R703" s="7" t="inlineStr">
        <is>
          <t>הרחבת תכניות אחזקה ותזמון (אמת שם ב-SE18)</t>
        </is>
      </c>
      <c r="S703" s="7" t="inlineStr"/>
      <c r="T703" s="7" t="inlineStr">
        <is>
          <t>11. אחזקה מונעת ותוכניות</t>
        </is>
      </c>
      <c r="U703" s="7" t="inlineStr">
        <is>
          <t>A51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טבלה</t>
        </is>
      </c>
      <c r="Q704" s="8" t="inlineStr">
        <is>
          <t>QMEL</t>
        </is>
      </c>
      <c r="R704" s="7" t="inlineStr">
        <is>
          <t>הודעות (כולל היסטוריות) לניתוח אמינות</t>
        </is>
      </c>
      <c r="S704" s="7" t="inlineStr">
        <is>
          <t>Notifications incl. historical</t>
        </is>
      </c>
      <c r="T704" s="7" t="inlineStr">
        <is>
          <t>12. היסטוריה וארכיון</t>
        </is>
      </c>
      <c r="U704" s="7" t="inlineStr">
        <is>
          <t>A3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שדה</t>
        </is>
      </c>
      <c r="Q705" s="8" t="inlineStr">
        <is>
          <t>QMNUM</t>
        </is>
      </c>
      <c r="R705" s="7" t="inlineStr">
        <is>
          <t>מספר הודעה</t>
        </is>
      </c>
      <c r="S705" s="7" t="inlineStr">
        <is>
          <t>Notification number</t>
        </is>
      </c>
      <c r="T705" s="7" t="inlineStr">
        <is>
          <t>12. היסטוריה וארכיון</t>
        </is>
      </c>
      <c r="U705" s="7" t="inlineStr">
        <is>
          <t>D4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שדה</t>
        </is>
      </c>
      <c r="Q706" s="8" t="inlineStr">
        <is>
          <t>QMART</t>
        </is>
      </c>
      <c r="R706" s="7" t="inlineStr">
        <is>
          <t>סוג הודעה</t>
        </is>
      </c>
      <c r="S706" s="7" t="inlineStr">
        <is>
          <t>Notification type</t>
        </is>
      </c>
      <c r="T706" s="7" t="inlineStr">
        <is>
          <t>12. היסטוריה וארכיון</t>
        </is>
      </c>
      <c r="U706" s="7" t="inlineStr">
        <is>
          <t>D5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שדה</t>
        </is>
      </c>
      <c r="Q707" s="8" t="inlineStr">
        <is>
          <t>AUSVN</t>
        </is>
      </c>
      <c r="R707" s="7" t="inlineStr">
        <is>
          <t>תחילת השבתה</t>
        </is>
      </c>
      <c r="S707" s="7" t="inlineStr">
        <is>
          <t>Breakdown start</t>
        </is>
      </c>
      <c r="T707" s="7" t="inlineStr">
        <is>
          <t>12. היסטוריה וארכיון</t>
        </is>
      </c>
      <c r="U707" s="7" t="inlineStr">
        <is>
          <t>D6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שדה</t>
        </is>
      </c>
      <c r="Q708" s="8" t="inlineStr">
        <is>
          <t>AUSBS</t>
        </is>
      </c>
      <c r="R708" s="7" t="inlineStr">
        <is>
          <t>סיום השבתה</t>
        </is>
      </c>
      <c r="S708" s="7" t="inlineStr">
        <is>
          <t>Breakdown end</t>
        </is>
      </c>
      <c r="T708" s="7" t="inlineStr">
        <is>
          <t>12. היסטוריה וארכיון</t>
        </is>
      </c>
      <c r="U708" s="7" t="inlineStr">
        <is>
          <t>D7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שדה</t>
        </is>
      </c>
      <c r="Q709" s="8" t="inlineStr">
        <is>
          <t>AUSZT</t>
        </is>
      </c>
      <c r="R709" s="7" t="inlineStr">
        <is>
          <t>משך השבתה</t>
        </is>
      </c>
      <c r="S709" s="7" t="inlineStr">
        <is>
          <t>Breakdown duration</t>
        </is>
      </c>
      <c r="T709" s="7" t="inlineStr">
        <is>
          <t>12. היסטוריה וארכיון</t>
        </is>
      </c>
      <c r="U709" s="7" t="inlineStr">
        <is>
          <t>D8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טרנזקציה</t>
        </is>
      </c>
      <c r="Q710" s="8" t="inlineStr">
        <is>
          <t>IW64</t>
        </is>
      </c>
      <c r="R710" s="7" t="inlineStr">
        <is>
          <t>הודעות (כולל היסטוריות) לניתוח אמינות</t>
        </is>
      </c>
      <c r="S710" s="7" t="inlineStr">
        <is>
          <t>Notifications incl. historical</t>
        </is>
      </c>
      <c r="T710" s="7" t="inlineStr">
        <is>
          <t>12. היסטוריה וארכיון</t>
        </is>
      </c>
      <c r="U710" s="7" t="inlineStr">
        <is>
          <t>A4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טרנזקציה</t>
        </is>
      </c>
      <c r="Q711" s="8" t="inlineStr">
        <is>
          <t>IW66</t>
        </is>
      </c>
      <c r="R711" s="7" t="inlineStr">
        <is>
          <t>הודעות (כולל היסטוריות) לניתוח אמינות</t>
        </is>
      </c>
      <c r="S711" s="7" t="inlineStr">
        <is>
          <t>Notifications incl. historical</t>
        </is>
      </c>
      <c r="T711" s="7" t="inlineStr">
        <is>
          <t>12. היסטוריה וארכיון</t>
        </is>
      </c>
      <c r="U711" s="7" t="inlineStr">
        <is>
          <t>A4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טרנזקציה</t>
        </is>
      </c>
      <c r="Q712" s="8" t="inlineStr">
        <is>
          <t>IW67</t>
        </is>
      </c>
      <c r="R712" s="7" t="inlineStr">
        <is>
          <t>הודעות (כולל היסטוריות) לניתוח אמינות</t>
        </is>
      </c>
      <c r="S712" s="7" t="inlineStr">
        <is>
          <t>Notifications incl. historical</t>
        </is>
      </c>
      <c r="T712" s="7" t="inlineStr">
        <is>
          <t>12. היסטוריה וארכיון</t>
        </is>
      </c>
      <c r="U712" s="7" t="inlineStr">
        <is>
          <t>A4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פונקציה</t>
        </is>
      </c>
      <c r="Q713" s="8" t="inlineStr">
        <is>
          <t>BAPI_ALM_NOTIF_GET_DETAIL</t>
        </is>
      </c>
      <c r="R713" s="7" t="inlineStr">
        <is>
          <t>שליפת פרטי הודעה היסטורית</t>
        </is>
      </c>
      <c r="S713" s="7" t="inlineStr">
        <is>
          <t>Notifications incl. historical</t>
        </is>
      </c>
      <c r="T713" s="7" t="inlineStr">
        <is>
          <t>12. היסטוריה וארכיון</t>
        </is>
      </c>
      <c r="U713" s="7" t="inlineStr">
        <is>
          <t>G4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פונקציה</t>
        </is>
      </c>
      <c r="Q714" s="8" t="inlineStr">
        <is>
          <t>BAPI_ALM_NOTIF_LIST_FILTER</t>
        </is>
      </c>
      <c r="R714" s="7" t="inlineStr">
        <is>
          <t>סינון הודעות לפי קריטריון</t>
        </is>
      </c>
      <c r="S714" s="7" t="inlineStr">
        <is>
          <t>Notifications incl. historical</t>
        </is>
      </c>
      <c r="T714" s="7" t="inlineStr">
        <is>
          <t>12. היסטוריה וארכיון</t>
        </is>
      </c>
      <c r="U714" s="7" t="inlineStr">
        <is>
          <t>G4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תוכנית</t>
        </is>
      </c>
      <c r="Q715" s="8" t="inlineStr">
        <is>
          <t>RIQMEL20</t>
        </is>
      </c>
      <c r="R715" s="7" t="inlineStr">
        <is>
          <t>דוח היסטוריית הודעות (MTBF/MTTR)</t>
        </is>
      </c>
      <c r="S715" s="7" t="inlineStr">
        <is>
          <t>Notifications incl. historical</t>
        </is>
      </c>
      <c r="T715" s="7" t="inlineStr">
        <is>
          <t>12. היסטוריה וארכיון</t>
        </is>
      </c>
      <c r="U715" s="7" t="inlineStr">
        <is>
          <t>I4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Fiori</t>
        </is>
      </c>
      <c r="Q716" s="8" t="inlineStr">
        <is>
          <t>Maintenance Backlog (אמת ID)</t>
        </is>
      </c>
      <c r="R716" s="7" t="inlineStr">
        <is>
          <t>הודעות (כולל היסטוריות) לניתוח אמינות</t>
        </is>
      </c>
      <c r="S716" s="7" t="inlineStr">
        <is>
          <t>Notifications incl. historical</t>
        </is>
      </c>
      <c r="T716" s="7" t="inlineStr">
        <is>
          <t>12. היסטוריה וארכיון</t>
        </is>
      </c>
      <c r="U716" s="7" t="inlineStr">
        <is>
          <t>N4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טבלה</t>
        </is>
      </c>
      <c r="Q717" s="8" t="inlineStr">
        <is>
          <t>AUFK</t>
        </is>
      </c>
      <c r="R717" s="7" t="inlineStr">
        <is>
          <t>פקודות (כולל היסטוריות) לניתוח עלות</t>
        </is>
      </c>
      <c r="S717" s="7" t="inlineStr">
        <is>
          <t>Orders incl. historical</t>
        </is>
      </c>
      <c r="T717" s="7" t="inlineStr">
        <is>
          <t>12. היסטוריה וארכיון</t>
        </is>
      </c>
      <c r="U717" s="7" t="inlineStr">
        <is>
          <t>A10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שדה</t>
        </is>
      </c>
      <c r="Q718" s="8" t="inlineStr">
        <is>
          <t>AUFNR</t>
        </is>
      </c>
      <c r="R718" s="7" t="inlineStr">
        <is>
          <t>מספר פק"ע</t>
        </is>
      </c>
      <c r="S718" s="7" t="inlineStr">
        <is>
          <t>Order number</t>
        </is>
      </c>
      <c r="T718" s="7" t="inlineStr">
        <is>
          <t>12. היסטוריה וארכיון</t>
        </is>
      </c>
      <c r="U718" s="7" t="inlineStr">
        <is>
          <t>D11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שדה</t>
        </is>
      </c>
      <c r="Q719" s="8" t="inlineStr">
        <is>
          <t>AUART</t>
        </is>
      </c>
      <c r="R719" s="7" t="inlineStr">
        <is>
          <t>סוג פק"ע</t>
        </is>
      </c>
      <c r="S719" s="7" t="inlineStr">
        <is>
          <t>Order type</t>
        </is>
      </c>
      <c r="T719" s="7" t="inlineStr">
        <is>
          <t>12. היסטוריה וארכיון</t>
        </is>
      </c>
      <c r="U719" s="7" t="inlineStr">
        <is>
          <t>D12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שדה</t>
        </is>
      </c>
      <c r="Q720" s="8" t="inlineStr">
        <is>
          <t>IDAT2</t>
        </is>
      </c>
      <c r="R720" s="7" t="inlineStr">
        <is>
          <t>תאריך השלמה טכנית</t>
        </is>
      </c>
      <c r="S720" s="7" t="inlineStr">
        <is>
          <t>Technical completion date (TECO)</t>
        </is>
      </c>
      <c r="T720" s="7" t="inlineStr">
        <is>
          <t>12. היסטוריה וארכיון</t>
        </is>
      </c>
      <c r="U720" s="7" t="inlineStr">
        <is>
          <t>D13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שדה</t>
        </is>
      </c>
      <c r="Q721" s="8" t="inlineStr">
        <is>
          <t>ERDAT</t>
        </is>
      </c>
      <c r="R721" s="7" t="inlineStr">
        <is>
          <t>תאריך יצירה</t>
        </is>
      </c>
      <c r="S721" s="7" t="inlineStr">
        <is>
          <t>Creation date</t>
        </is>
      </c>
      <c r="T721" s="7" t="inlineStr">
        <is>
          <t>12. היסטוריה וארכיון</t>
        </is>
      </c>
      <c r="U721" s="7" t="inlineStr">
        <is>
          <t>D14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שדה</t>
        </is>
      </c>
      <c r="Q722" s="8" t="inlineStr">
        <is>
          <t>OBJNR</t>
        </is>
      </c>
      <c r="R722" s="7" t="inlineStr">
        <is>
          <t>מפתח אובייקט</t>
        </is>
      </c>
      <c r="S722" s="7" t="inlineStr">
        <is>
          <t>Object number</t>
        </is>
      </c>
      <c r="T722" s="7" t="inlineStr">
        <is>
          <t>12. היסטוריה וארכיון</t>
        </is>
      </c>
      <c r="U722" s="7" t="inlineStr">
        <is>
          <t>D15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טרנזקציה</t>
        </is>
      </c>
      <c r="Q723" s="8" t="inlineStr">
        <is>
          <t>IW39</t>
        </is>
      </c>
      <c r="R723" s="7" t="inlineStr">
        <is>
          <t>פקודות (כולל היסטוריות) לניתוח עלות</t>
        </is>
      </c>
      <c r="S723" s="7" t="inlineStr">
        <is>
          <t>Orders incl. historical</t>
        </is>
      </c>
      <c r="T723" s="7" t="inlineStr">
        <is>
          <t>12. היסטוריה וארכיון</t>
        </is>
      </c>
      <c r="U723" s="7" t="inlineStr">
        <is>
          <t>A11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טרנזקציה</t>
        </is>
      </c>
      <c r="Q724" s="8" t="inlineStr">
        <is>
          <t>IW13</t>
        </is>
      </c>
      <c r="R724" s="7" t="inlineStr">
        <is>
          <t>פקודות (כולל היסטוריות) לניתוח עלות</t>
        </is>
      </c>
      <c r="S724" s="7" t="inlineStr">
        <is>
          <t>Orders incl. historical</t>
        </is>
      </c>
      <c r="T724" s="7" t="inlineStr">
        <is>
          <t>12. היסטוריה וארכיון</t>
        </is>
      </c>
      <c r="U724" s="7" t="inlineStr">
        <is>
          <t>A11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פונקציה</t>
        </is>
      </c>
      <c r="Q725" s="8" t="inlineStr">
        <is>
          <t>BAPI_ALM_ORDERHEAD_GET_LIST</t>
        </is>
      </c>
      <c r="R725" s="7" t="inlineStr">
        <is>
          <t>שליפת רשימת פק"ע היסטוריות</t>
        </is>
      </c>
      <c r="S725" s="7" t="inlineStr">
        <is>
          <t>Orders incl. historical</t>
        </is>
      </c>
      <c r="T725" s="7" t="inlineStr">
        <is>
          <t>12. היסטוריה וארכיון</t>
        </is>
      </c>
      <c r="U725" s="7" t="inlineStr">
        <is>
          <t>G11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תוכנית</t>
        </is>
      </c>
      <c r="Q726" s="8" t="inlineStr">
        <is>
          <t>RIAUFK20</t>
        </is>
      </c>
      <c r="R726" s="7" t="inlineStr">
        <is>
          <t>דוח פק"ע סגורות וניתוח עלות מחזור חיים</t>
        </is>
      </c>
      <c r="S726" s="7" t="inlineStr">
        <is>
          <t>Orders incl. historical</t>
        </is>
      </c>
      <c r="T726" s="7" t="inlineStr">
        <is>
          <t>12. היסטוריה וארכיון</t>
        </is>
      </c>
      <c r="U726" s="7" t="inlineStr">
        <is>
          <t>I11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Fiori</t>
        </is>
      </c>
      <c r="Q727" s="8" t="inlineStr">
        <is>
          <t>Find Maintenance Order (F2393)</t>
        </is>
      </c>
      <c r="R727" s="7" t="inlineStr">
        <is>
          <t>פקודות (כולל היסטוריות) לניתוח עלות</t>
        </is>
      </c>
      <c r="S727" s="7" t="inlineStr">
        <is>
          <t>Orders incl. historical</t>
        </is>
      </c>
      <c r="T727" s="7" t="inlineStr">
        <is>
          <t>12. היסטוריה וארכיון</t>
        </is>
      </c>
      <c r="U727" s="7" t="inlineStr">
        <is>
          <t>N11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טבלה</t>
        </is>
      </c>
      <c r="Q728" s="8" t="inlineStr">
        <is>
          <t>ADMI_RUN</t>
        </is>
      </c>
      <c r="R728" s="7" t="inlineStr">
        <is>
          <t>ריצות ארכוב נתונים</t>
        </is>
      </c>
      <c r="S728" s="7" t="inlineStr">
        <is>
          <t>Archiving runs (ADK)</t>
        </is>
      </c>
      <c r="T728" s="7" t="inlineStr">
        <is>
          <t>12. היסטוריה וארכיון</t>
        </is>
      </c>
      <c r="U728" s="7" t="inlineStr">
        <is>
          <t>A17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שדה</t>
        </is>
      </c>
      <c r="Q729" s="8" t="inlineStr">
        <is>
          <t>RUNID</t>
        </is>
      </c>
      <c r="R729" s="7" t="inlineStr">
        <is>
          <t>מזהה ריצת ארכוב</t>
        </is>
      </c>
      <c r="S729" s="7" t="inlineStr">
        <is>
          <t>Archiving run ID</t>
        </is>
      </c>
      <c r="T729" s="7" t="inlineStr">
        <is>
          <t>12. היסטוריה וארכיון</t>
        </is>
      </c>
      <c r="U729" s="7" t="inlineStr">
        <is>
          <t>D18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שדה</t>
        </is>
      </c>
      <c r="Q730" s="8" t="inlineStr">
        <is>
          <t>OBJECT</t>
        </is>
      </c>
      <c r="R730" s="7" t="inlineStr">
        <is>
          <t>אובייקט ארכוב</t>
        </is>
      </c>
      <c r="S730" s="7" t="inlineStr">
        <is>
          <t>Archiving object (PM_ORDER/PM_QMEL)</t>
        </is>
      </c>
      <c r="T730" s="7" t="inlineStr">
        <is>
          <t>12. היסטוריה וארכיון</t>
        </is>
      </c>
      <c r="U730" s="7" t="inlineStr">
        <is>
          <t>D19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שדה</t>
        </is>
      </c>
      <c r="Q731" s="8" t="inlineStr">
        <is>
          <t>GENER_DATE</t>
        </is>
      </c>
      <c r="R731" s="7" t="inlineStr">
        <is>
          <t>תאריך יצירה</t>
        </is>
      </c>
      <c r="S731" s="7" t="inlineStr">
        <is>
          <t>Generation date</t>
        </is>
      </c>
      <c r="T731" s="7" t="inlineStr">
        <is>
          <t>12. היסטוריה וארכיון</t>
        </is>
      </c>
      <c r="U731" s="7" t="inlineStr">
        <is>
          <t>D20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שדה</t>
        </is>
      </c>
      <c r="Q732" s="8" t="inlineStr">
        <is>
          <t>STATUS</t>
        </is>
      </c>
      <c r="R732" s="7" t="inlineStr">
        <is>
          <t>סטטוס ריצה</t>
        </is>
      </c>
      <c r="S732" s="7" t="inlineStr">
        <is>
          <t>Run status</t>
        </is>
      </c>
      <c r="T732" s="7" t="inlineStr">
        <is>
          <t>12. היסטוריה וארכיון</t>
        </is>
      </c>
      <c r="U732" s="7" t="inlineStr">
        <is>
          <t>D21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טרנזקציה</t>
        </is>
      </c>
      <c r="Q733" s="8" t="inlineStr">
        <is>
          <t>SARA</t>
        </is>
      </c>
      <c r="R733" s="7" t="inlineStr">
        <is>
          <t>ריצות ארכוב נתונים</t>
        </is>
      </c>
      <c r="S733" s="7" t="inlineStr">
        <is>
          <t>Archiving runs (ADK)</t>
        </is>
      </c>
      <c r="T733" s="7" t="inlineStr">
        <is>
          <t>12. היסטוריה וארכיון</t>
        </is>
      </c>
      <c r="U733" s="7" t="inlineStr">
        <is>
          <t>A18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טרנזקציה</t>
        </is>
      </c>
      <c r="Q734" s="8" t="inlineStr">
        <is>
          <t>AOBJ</t>
        </is>
      </c>
      <c r="R734" s="7" t="inlineStr">
        <is>
          <t>ריצות ארכוב נתונים</t>
        </is>
      </c>
      <c r="S734" s="7" t="inlineStr">
        <is>
          <t>Archiving runs (ADK)</t>
        </is>
      </c>
      <c r="T734" s="7" t="inlineStr">
        <is>
          <t>12. היסטוריה וארכיון</t>
        </is>
      </c>
      <c r="U734" s="7" t="inlineStr">
        <is>
          <t>A18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טרנזקציה</t>
        </is>
      </c>
      <c r="Q735" s="8" t="inlineStr">
        <is>
          <t>DB15</t>
        </is>
      </c>
      <c r="R735" s="7" t="inlineStr">
        <is>
          <t>ריצות ארכוב נתונים</t>
        </is>
      </c>
      <c r="S735" s="7" t="inlineStr">
        <is>
          <t>Archiving runs (ADK)</t>
        </is>
      </c>
      <c r="T735" s="7" t="inlineStr">
        <is>
          <t>12. היסטוריה וארכיון</t>
        </is>
      </c>
      <c r="U735" s="7" t="inlineStr">
        <is>
          <t>A18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פונקציה</t>
        </is>
      </c>
      <c r="Q736" s="8" t="inlineStr">
        <is>
          <t>ARCHIVE_OPEN_FOR_WRITE</t>
        </is>
      </c>
      <c r="R736" s="7" t="inlineStr">
        <is>
          <t>פתיחת ארכיון לכתיבה</t>
        </is>
      </c>
      <c r="S736" s="7" t="inlineStr">
        <is>
          <t>Archiving runs (ADK)</t>
        </is>
      </c>
      <c r="T736" s="7" t="inlineStr">
        <is>
          <t>12. היסטוריה וארכיון</t>
        </is>
      </c>
      <c r="U736" s="7" t="inlineStr">
        <is>
          <t>G18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פונקציה</t>
        </is>
      </c>
      <c r="Q737" s="8" t="inlineStr">
        <is>
          <t>ARCHIVE_GET_NEXT_OBJECT</t>
        </is>
      </c>
      <c r="R737" s="7" t="inlineStr">
        <is>
          <t>קריאת אובייקט הבא מהארכיון</t>
        </is>
      </c>
      <c r="S737" s="7" t="inlineStr">
        <is>
          <t>Archiving runs (ADK)</t>
        </is>
      </c>
      <c r="T737" s="7" t="inlineStr">
        <is>
          <t>12. היסטוריה וארכיון</t>
        </is>
      </c>
      <c r="U737" s="7" t="inlineStr">
        <is>
          <t>G18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פונקציה</t>
        </is>
      </c>
      <c r="Q738" s="8" t="inlineStr">
        <is>
          <t>ARCHIVE_DELETE_FROM_DB</t>
        </is>
      </c>
      <c r="R738" s="7" t="inlineStr">
        <is>
          <t>מחיקת רשומות מה-DB החי</t>
        </is>
      </c>
      <c r="S738" s="7" t="inlineStr">
        <is>
          <t>Archiving runs (ADK)</t>
        </is>
      </c>
      <c r="T738" s="7" t="inlineStr">
        <is>
          <t>12. היסטוריה וארכיון</t>
        </is>
      </c>
      <c r="U738" s="7" t="inlineStr">
        <is>
          <t>G18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תוכנית</t>
        </is>
      </c>
      <c r="Q739" s="8" t="inlineStr">
        <is>
          <t>RIARCPM1</t>
        </is>
      </c>
      <c r="R739" s="7" t="inlineStr">
        <is>
          <t>כתיבה/מחיקה של ארכוב פקודות אחזקה</t>
        </is>
      </c>
      <c r="S739" s="7" t="inlineStr">
        <is>
          <t>Archiving runs (ADK)</t>
        </is>
      </c>
      <c r="T739" s="7" t="inlineStr">
        <is>
          <t>12. היסטוריה וארכיון</t>
        </is>
      </c>
      <c r="U739" s="7" t="inlineStr">
        <is>
          <t>I18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Fiori</t>
        </is>
      </c>
      <c r="Q740" s="8" t="inlineStr">
        <is>
          <t>Data Archiving (אמת ID)</t>
        </is>
      </c>
      <c r="R740" s="7" t="inlineStr">
        <is>
          <t>ריצות ארכוב נתונים</t>
        </is>
      </c>
      <c r="S740" s="7" t="inlineStr">
        <is>
          <t>Archiving runs (ADK)</t>
        </is>
      </c>
      <c r="T740" s="7" t="inlineStr">
        <is>
          <t>12. היסטוריה וארכיון</t>
        </is>
      </c>
      <c r="U740" s="7" t="inlineStr">
        <is>
          <t>N18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User Exit</t>
        </is>
      </c>
      <c r="Q741" s="8" t="inlineStr">
        <is>
          <t>ARCH_PM (SARA/AOBJ)</t>
        </is>
      </c>
      <c r="R741" s="7" t="inlineStr">
        <is>
          <t>ארכוב דרך אובייקטי ADK (PM_ORDER/PM_QMEL) ללא user-exit ייעודי</t>
        </is>
      </c>
      <c r="S741" s="7" t="inlineStr"/>
      <c r="T741" s="7" t="inlineStr">
        <is>
          <t>12. היסטוריה וארכיון</t>
        </is>
      </c>
      <c r="U741" s="7" t="inlineStr">
        <is>
          <t>A26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BAdI</t>
        </is>
      </c>
      <c r="Q742" s="8" t="inlineStr">
        <is>
          <t>BADI_ARCHIVING</t>
        </is>
      </c>
      <c r="R742" s="7" t="inlineStr">
        <is>
          <t>הרחבת לוגיקת ארכוב/ILM (אמת שם ב-SE18)</t>
        </is>
      </c>
      <c r="S742" s="7" t="inlineStr"/>
      <c r="T742" s="7" t="inlineStr">
        <is>
          <t>12. היסטוריה וארכיון</t>
        </is>
      </c>
      <c r="U742" s="7" t="inlineStr">
        <is>
          <t>A27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SAP Note</t>
        </is>
      </c>
      <c r="Q743" s="8" t="inlineStr">
        <is>
          <t>2206980</t>
        </is>
      </c>
      <c r="R743" s="7" t="inlineStr">
        <is>
          <t>Material Inventory Management - מודל נתונים חדש (MATDOC)</t>
        </is>
      </c>
      <c r="S743" s="7" t="inlineStr">
        <is>
          <t>MM-IM / PM רכש</t>
        </is>
      </c>
      <c r="T743" s="7" t="inlineStr">
        <is>
          <t>Simplification Item list</t>
        </is>
      </c>
      <c r="U743" s="7" t="inlineStr">
        <is>
          <t>A3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SAP Note</t>
        </is>
      </c>
      <c r="Q744" s="8" t="inlineStr">
        <is>
          <t>2270333</t>
        </is>
      </c>
      <c r="R744" s="7" t="inlineStr">
        <is>
          <t>Universal Journal - טבלה אחת (ACDOCA)</t>
        </is>
      </c>
      <c r="S744" s="7" t="inlineStr">
        <is>
          <t>FI/CO / PM עלויות</t>
        </is>
      </c>
      <c r="T744" s="7" t="inlineStr">
        <is>
          <t>Simplification Item list</t>
        </is>
      </c>
      <c r="U744" s="7" t="inlineStr">
        <is>
          <t>A4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SAP Note</t>
        </is>
      </c>
      <c r="Q745" s="8" t="inlineStr">
        <is>
          <t>2265093</t>
        </is>
      </c>
      <c r="R745" s="7" t="inlineStr">
        <is>
          <t>Business Partner Approach (CVI חובה)</t>
        </is>
      </c>
      <c r="S745" s="7" t="inlineStr">
        <is>
          <t>MM / PM ספקים</t>
        </is>
      </c>
      <c r="T745" s="7" t="inlineStr">
        <is>
          <t>Simplification Item list</t>
        </is>
      </c>
      <c r="U745" s="7" t="inlineStr">
        <is>
          <t>A5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SAP Note</t>
        </is>
      </c>
      <c r="Q746" s="8" t="inlineStr">
        <is>
          <t>2267140</t>
        </is>
      </c>
      <c r="R746" s="7" t="inlineStr">
        <is>
          <t>Material Number Field Length Extension (40 תווים)</t>
        </is>
      </c>
      <c r="S746" s="7" t="inlineStr">
        <is>
          <t>Cross / PM חומר</t>
        </is>
      </c>
      <c r="T746" s="7" t="inlineStr">
        <is>
          <t>Simplification Item list</t>
        </is>
      </c>
      <c r="U746" s="7" t="inlineStr">
        <is>
          <t>A6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SAP Note</t>
        </is>
      </c>
      <c r="Q747" s="8" t="inlineStr">
        <is>
          <t>(אמת ב-Simplification List)</t>
        </is>
      </c>
      <c r="R747" s="7" t="inlineStr">
        <is>
          <t>S4TWL - Plant Maintenance / EAM (פריט פישוט כללי)</t>
        </is>
      </c>
      <c r="S747" s="7" t="inlineStr">
        <is>
          <t>EAM / PM כללי</t>
        </is>
      </c>
      <c r="T747" s="7" t="inlineStr">
        <is>
          <t>Simplification Item list</t>
        </is>
      </c>
      <c r="U747" s="7" t="inlineStr">
        <is>
          <t>A7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SAP Note</t>
        </is>
      </c>
      <c r="Q748" s="8" t="inlineStr">
        <is>
          <t>(אמת ב-Simplification List)</t>
        </is>
      </c>
      <c r="R748" s="7" t="inlineStr">
        <is>
          <t>List Viewer ב-EAM - מעבר ל-SAPUI5 / Fiori Lists</t>
        </is>
      </c>
      <c r="S748" s="7" t="inlineStr">
        <is>
          <t>EAM / Lists</t>
        </is>
      </c>
      <c r="T748" s="7" t="inlineStr">
        <is>
          <t>Simplification Item list</t>
        </is>
      </c>
      <c r="U748" s="7" t="inlineStr">
        <is>
          <t>A8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SAP Note</t>
        </is>
      </c>
      <c r="Q749" s="8" t="inlineStr">
        <is>
          <t>(אמת ב-Simplification List)</t>
        </is>
      </c>
      <c r="R749" s="7" t="inlineStr">
        <is>
          <t>Linear Asset Management (LAM) - זמין ב-S/4HANA</t>
        </is>
      </c>
      <c r="S749" s="7" t="inlineStr">
        <is>
          <t>EAM / LAM</t>
        </is>
      </c>
      <c r="T749" s="7" t="inlineStr">
        <is>
          <t>Simplification Item list</t>
        </is>
      </c>
      <c r="U749" s="7" t="inlineStr">
        <is>
          <t>A9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SAP Note</t>
        </is>
      </c>
      <c r="Q750" s="8" t="inlineStr">
        <is>
          <t>(אמת ב-Simplification List)</t>
        </is>
      </c>
      <c r="R750" s="7" t="inlineStr">
        <is>
          <t>Mobile Asset Management (SAP Asset Manager)</t>
        </is>
      </c>
      <c r="S750" s="7" t="inlineStr">
        <is>
          <t>EAM / Mobile</t>
        </is>
      </c>
      <c r="T750" s="7" t="inlineStr">
        <is>
          <t>Simplification Item list</t>
        </is>
      </c>
      <c r="U750" s="7" t="inlineStr">
        <is>
          <t>A10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SAP Note</t>
        </is>
      </c>
      <c r="Q751" s="8" t="inlineStr">
        <is>
          <t>(אמת ב-Simplification List)</t>
        </is>
      </c>
      <c r="R751" s="7" t="inlineStr">
        <is>
          <t>Output Management - מסגרת חדשה (BRF+/Adobe)</t>
        </is>
      </c>
      <c r="S751" s="7" t="inlineStr">
        <is>
          <t>EAM / Output</t>
        </is>
      </c>
      <c r="T751" s="7" t="inlineStr">
        <is>
          <t>Simplification Item list</t>
        </is>
      </c>
      <c r="U751" s="7" t="inlineStr">
        <is>
          <t>A11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SAP Note</t>
        </is>
      </c>
      <c r="Q752" s="8" t="inlineStr">
        <is>
          <t>(אמת ב-Simplification List)</t>
        </is>
      </c>
      <c r="R752" s="7" t="inlineStr">
        <is>
          <t>Multiresource Scheduling -&gt; Maintenance Scheduling Board</t>
        </is>
      </c>
      <c r="S752" s="7" t="inlineStr">
        <is>
          <t>EAM / MRS</t>
        </is>
      </c>
      <c r="T752" s="7" t="inlineStr">
        <is>
          <t>Simplification Item list</t>
        </is>
      </c>
      <c r="U752" s="7" t="inlineStr">
        <is>
          <t>A12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User Exit</t>
        </is>
      </c>
      <c r="Q753" s="8" t="inlineStr">
        <is>
          <t>ITOB0001</t>
        </is>
      </c>
      <c r="R753" s="7" t="inlineStr">
        <is>
          <t>הרחבת לקוח לאובייקטים טכניים (מיקום/ציוד) - שדות נוספים ובדיקות</t>
        </is>
      </c>
      <c r="S753" s="7" t="inlineStr">
        <is>
          <t>1. מבנה ארגוני ותשתית</t>
        </is>
      </c>
      <c r="T753" s="7" t="inlineStr">
        <is>
          <t>Custom Code Check</t>
        </is>
      </c>
      <c r="U753" s="7" t="inlineStr">
        <is>
          <t>D3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User Exit</t>
        </is>
      </c>
      <c r="Q754" s="8" t="inlineStr">
        <is>
          <t>IBIP0001</t>
        </is>
      </c>
      <c r="R754" s="7" t="inlineStr">
        <is>
          <t>ממשק יצירה אצווה (Batch Input/Direct Input) לאובייקטים טכניים</t>
        </is>
      </c>
      <c r="S754" s="7" t="inlineStr">
        <is>
          <t>1. מבנה ארגוני ותשתית</t>
        </is>
      </c>
      <c r="T754" s="7" t="inlineStr">
        <is>
          <t>Custom Code Check</t>
        </is>
      </c>
      <c r="U754" s="7" t="inlineStr">
        <is>
          <t>D4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BAdI</t>
        </is>
      </c>
      <c r="Q755" s="8" t="inlineStr">
        <is>
          <t>BADI_EAM_TECHNICAL_OBJECT</t>
        </is>
      </c>
      <c r="R755" s="7" t="inlineStr">
        <is>
          <t>BAdI מרכזי להרחבת לוגיקת אובייקטים טכניים ב-S/4HANA</t>
        </is>
      </c>
      <c r="S755" s="7" t="inlineStr">
        <is>
          <t>1. מבנה ארגוני ותשתית</t>
        </is>
      </c>
      <c r="T755" s="7" t="inlineStr">
        <is>
          <t>Custom Code Check</t>
        </is>
      </c>
      <c r="U755" s="7" t="inlineStr">
        <is>
          <t>D5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BAdI</t>
        </is>
      </c>
      <c r="Q756" s="8" t="inlineStr">
        <is>
          <t>BADI_EAM_SINGLE_LEVEL_LIST</t>
        </is>
      </c>
      <c r="R756" s="7" t="inlineStr">
        <is>
          <t>התאמת רשימות אובייקטים חד-רמתיות (IH06/IH08)</t>
        </is>
      </c>
      <c r="S756" s="7" t="inlineStr">
        <is>
          <t>1. מבנה ארגוני ותשתית</t>
        </is>
      </c>
      <c r="T756" s="7" t="inlineStr">
        <is>
          <t>Custom Code Check</t>
        </is>
      </c>
      <c r="U756" s="7" t="inlineStr">
        <is>
          <t>D6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User Exit</t>
        </is>
      </c>
      <c r="Q757" s="8" t="inlineStr">
        <is>
          <t>IEQM0001</t>
        </is>
      </c>
      <c r="R757" s="7" t="inlineStr">
        <is>
          <t>בדיקות והרחבת שדות בעת יצירת/שינוי ציוד</t>
        </is>
      </c>
      <c r="S757" s="7" t="inlineStr">
        <is>
          <t>2. ציוד ונתוני מאסטר</t>
        </is>
      </c>
      <c r="T757" s="7" t="inlineStr">
        <is>
          <t>Custom Code Check</t>
        </is>
      </c>
      <c r="U757" s="7" t="inlineStr">
        <is>
          <t>D7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User Exit</t>
        </is>
      </c>
      <c r="Q758" s="8" t="inlineStr">
        <is>
          <t>IEQM0003</t>
        </is>
      </c>
      <c r="R758" s="7" t="inlineStr">
        <is>
          <t>ברירות מחדל וקביעת ערכים אוטומטית לציוד</t>
        </is>
      </c>
      <c r="S758" s="7" t="inlineStr">
        <is>
          <t>2. ציוד ונתוני מאסטר</t>
        </is>
      </c>
      <c r="T758" s="7" t="inlineStr">
        <is>
          <t>Custom Code Check</t>
        </is>
      </c>
      <c r="U758" s="7" t="inlineStr">
        <is>
          <t>D8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User Exit</t>
        </is>
      </c>
      <c r="Q759" s="8" t="inlineStr">
        <is>
          <t>ISER0001</t>
        </is>
      </c>
      <c r="R759" s="7" t="inlineStr">
        <is>
          <t>הרחבת לוגיקת מספרים סידוריים (Serialization)</t>
        </is>
      </c>
      <c r="S759" s="7" t="inlineStr">
        <is>
          <t>2. ציוד ונתוני מאסטר</t>
        </is>
      </c>
      <c r="T759" s="7" t="inlineStr">
        <is>
          <t>Custom Code Check</t>
        </is>
      </c>
      <c r="U759" s="7" t="inlineStr">
        <is>
          <t>D9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BAdI</t>
        </is>
      </c>
      <c r="Q760" s="8" t="inlineStr">
        <is>
          <t>BADI_EAM_TECHNICAL_OBJECT</t>
        </is>
      </c>
      <c r="R760" s="7" t="inlineStr">
        <is>
          <t>הרחבת לוגיקת ציוד/אובייקט טכני ב-S/4HANA</t>
        </is>
      </c>
      <c r="S760" s="7" t="inlineStr">
        <is>
          <t>2. ציוד ונתוני מאסטר</t>
        </is>
      </c>
      <c r="T760" s="7" t="inlineStr">
        <is>
          <t>Custom Code Check</t>
        </is>
      </c>
      <c r="U760" s="7" t="inlineStr">
        <is>
          <t>D10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BAdI</t>
        </is>
      </c>
      <c r="Q761" s="8" t="inlineStr">
        <is>
          <t>EAM_SERNR_ADD_DATA</t>
        </is>
      </c>
      <c r="R761" s="7" t="inlineStr">
        <is>
          <t>הרחבת נתוני מספר סידורי (אמת שם מדויק ב-SE18)</t>
        </is>
      </c>
      <c r="S761" s="7" t="inlineStr">
        <is>
          <t>2. ציוד ונתוני מאסטר</t>
        </is>
      </c>
      <c r="T761" s="7" t="inlineStr">
        <is>
          <t>Custom Code Check</t>
        </is>
      </c>
      <c r="U761" s="7" t="inlineStr">
        <is>
          <t>D11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User Exit</t>
        </is>
      </c>
      <c r="Q762" s="8" t="inlineStr">
        <is>
          <t>PCSD0001</t>
        </is>
      </c>
      <c r="R762" s="7" t="inlineStr">
        <is>
          <t>הרחבת לקוח לעצי מוצר (BOM) - בדיקות פריטים</t>
        </is>
      </c>
      <c r="S762" s="7" t="inlineStr">
        <is>
          <t>3. עצי מוצר של אחזקה (BOM)</t>
        </is>
      </c>
      <c r="T762" s="7" t="inlineStr">
        <is>
          <t>Custom Code Check</t>
        </is>
      </c>
      <c r="U762" s="7" t="inlineStr">
        <is>
          <t>D12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User Exit</t>
        </is>
      </c>
      <c r="Q763" s="8" t="inlineStr">
        <is>
          <t>PCSD0002</t>
        </is>
      </c>
      <c r="R763" s="7" t="inlineStr">
        <is>
          <t>ברירות מחדל לפריטי עץ מוצר</t>
        </is>
      </c>
      <c r="S763" s="7" t="inlineStr">
        <is>
          <t>3. עצי מוצר של אחזקה (BOM)</t>
        </is>
      </c>
      <c r="T763" s="7" t="inlineStr">
        <is>
          <t>Custom Code Check</t>
        </is>
      </c>
      <c r="U763" s="7" t="inlineStr">
        <is>
          <t>D13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BAdI</t>
        </is>
      </c>
      <c r="Q764" s="8" t="inlineStr">
        <is>
          <t>BOM_UPDATE</t>
        </is>
      </c>
      <c r="R764" s="7" t="inlineStr">
        <is>
          <t>BAdI לעדכון/בדיקת עצי מוצר (אמת ב-SE18)</t>
        </is>
      </c>
      <c r="S764" s="7" t="inlineStr">
        <is>
          <t>3. עצי מוצר של אחזקה (BOM)</t>
        </is>
      </c>
      <c r="T764" s="7" t="inlineStr">
        <is>
          <t>Custom Code Check</t>
        </is>
      </c>
      <c r="U764" s="7" t="inlineStr">
        <is>
          <t>D14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BAdI</t>
        </is>
      </c>
      <c r="Q765" s="8" t="inlineStr">
        <is>
          <t>BADI_EAM_TECHNICAL_OBJECT</t>
        </is>
      </c>
      <c r="R765" s="7" t="inlineStr">
        <is>
          <t>שיוך BOM לאובייקט טכני ב-S/4</t>
        </is>
      </c>
      <c r="S765" s="7" t="inlineStr">
        <is>
          <t>3. עצי מוצר של אחזקה (BOM)</t>
        </is>
      </c>
      <c r="T765" s="7" t="inlineStr">
        <is>
          <t>Custom Code Check</t>
        </is>
      </c>
      <c r="U765" s="7" t="inlineStr">
        <is>
          <t>D15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User Exit</t>
        </is>
      </c>
      <c r="Q766" s="8" t="inlineStr">
        <is>
          <t>IMRC0001</t>
        </is>
      </c>
      <c r="R766" s="7" t="inlineStr">
        <is>
          <t>הרחבת בדיקות בעת קליטת מסמך מדידה</t>
        </is>
      </c>
      <c r="S766" s="7" t="inlineStr">
        <is>
          <t>4. נקודות מדידה ומונים</t>
        </is>
      </c>
      <c r="T766" s="7" t="inlineStr">
        <is>
          <t>Custom Code Check</t>
        </is>
      </c>
      <c r="U766" s="7" t="inlineStr">
        <is>
          <t>D16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User Exit</t>
        </is>
      </c>
      <c r="Q767" s="8" t="inlineStr">
        <is>
          <t>IMRC0002</t>
        </is>
      </c>
      <c r="R767" s="7" t="inlineStr">
        <is>
          <t>לוגיקת העברת קריאות ומונים</t>
        </is>
      </c>
      <c r="S767" s="7" t="inlineStr">
        <is>
          <t>4. נקודות מדידה ומונים</t>
        </is>
      </c>
      <c r="T767" s="7" t="inlineStr">
        <is>
          <t>Custom Code Check</t>
        </is>
      </c>
      <c r="U767" s="7" t="inlineStr">
        <is>
          <t>D17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BAdI</t>
        </is>
      </c>
      <c r="Q768" s="8" t="inlineStr">
        <is>
          <t>BADI_EAM_MEASPOINT</t>
        </is>
      </c>
      <c r="R768" s="7" t="inlineStr">
        <is>
          <t>הרחבת נקודות מדידה/מסמכי מדידה (אמת שם ב-SE18)</t>
        </is>
      </c>
      <c r="S768" s="7" t="inlineStr">
        <is>
          <t>4. נקודות מדידה ומונים</t>
        </is>
      </c>
      <c r="T768" s="7" t="inlineStr">
        <is>
          <t>Custom Code Check</t>
        </is>
      </c>
      <c r="U768" s="7" t="inlineStr">
        <is>
          <t>D18</t>
        </is>
      </c>
      <c r="V768" s="9">
        <f>HYPERLINK("#'"&amp;T768&amp;"'!"&amp;U768,"➜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7" t="inlineStr">
        <is>
          <t>User Exit</t>
        </is>
      </c>
      <c r="Q769" s="8" t="inlineStr">
        <is>
          <t>QQMA0001</t>
        </is>
      </c>
      <c r="R769" s="7" t="inlineStr">
        <is>
          <t>בדיקות כלליות בקטלוגים/קודים (משותף QM-PM)</t>
        </is>
      </c>
      <c r="S769" s="7" t="inlineStr">
        <is>
          <t>5. קטלוגים, קודים ופרופילים</t>
        </is>
      </c>
      <c r="T769" s="7" t="inlineStr">
        <is>
          <t>Custom Code Check</t>
        </is>
      </c>
      <c r="U769" s="7" t="inlineStr">
        <is>
          <t>D19</t>
        </is>
      </c>
      <c r="V769" s="9">
        <f>HYPERLINK("#'"&amp;T769&amp;"'!"&amp;U769,"➜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7" t="inlineStr">
        <is>
          <t>BAdI</t>
        </is>
      </c>
      <c r="Q770" s="8" t="inlineStr">
        <is>
          <t>BADI_CATALOG</t>
        </is>
      </c>
      <c r="R770" s="7" t="inlineStr">
        <is>
          <t>הרחבת לוגיקת קטלוגים (אמת שם ב-SE18)</t>
        </is>
      </c>
      <c r="S770" s="7" t="inlineStr">
        <is>
          <t>5. קטלוגים, קודים ופרופילים</t>
        </is>
      </c>
      <c r="T770" s="7" t="inlineStr">
        <is>
          <t>Custom Code Check</t>
        </is>
      </c>
      <c r="U770" s="7" t="inlineStr">
        <is>
          <t>D20</t>
        </is>
      </c>
      <c r="V770" s="9">
        <f>HYPERLINK("#'"&amp;T770&amp;"'!"&amp;U770,"➜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7" t="inlineStr">
        <is>
          <t>User Exit</t>
        </is>
      </c>
      <c r="Q771" s="8" t="inlineStr">
        <is>
          <t>QQMA0014</t>
        </is>
      </c>
      <c r="R771" s="7" t="inlineStr">
        <is>
          <t>בדיקת לקוח לפני שמירת הודעה (Check before save)</t>
        </is>
      </c>
      <c r="S771" s="7" t="inlineStr">
        <is>
          <t>6. הודעות אחזקה (Notifications)</t>
        </is>
      </c>
      <c r="T771" s="7" t="inlineStr">
        <is>
          <t>Custom Code Check</t>
        </is>
      </c>
      <c r="U771" s="7" t="inlineStr">
        <is>
          <t>D21</t>
        </is>
      </c>
      <c r="V771" s="9">
        <f>HYPERLINK("#'"&amp;T771&amp;"'!"&amp;U771,"➜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7" t="inlineStr">
        <is>
          <t>User Exit</t>
        </is>
      </c>
      <c r="Q772" s="8" t="inlineStr">
        <is>
          <t>QQMA0010</t>
        </is>
      </c>
      <c r="R772" s="7" t="inlineStr">
        <is>
          <t>הרחבת שדות וברירות מחדל בכותרת ההודעה</t>
        </is>
      </c>
      <c r="S772" s="7" t="inlineStr">
        <is>
          <t>6. הודעות אחזקה (Notifications)</t>
        </is>
      </c>
      <c r="T772" s="7" t="inlineStr">
        <is>
          <t>Custom Code Check</t>
        </is>
      </c>
      <c r="U772" s="7" t="inlineStr">
        <is>
          <t>D22</t>
        </is>
      </c>
      <c r="V772" s="9">
        <f>HYPERLINK("#'"&amp;T772&amp;"'!"&amp;U772,"➜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7" t="inlineStr">
        <is>
          <t>User Exit</t>
        </is>
      </c>
      <c r="Q773" s="8" t="inlineStr">
        <is>
          <t>QQMA0025</t>
        </is>
      </c>
      <c r="R773" s="7" t="inlineStr">
        <is>
          <t>הרחבה בעת השלמת/סגירת הודעה</t>
        </is>
      </c>
      <c r="S773" s="7" t="inlineStr">
        <is>
          <t>6. הודעות אחזקה (Notifications)</t>
        </is>
      </c>
      <c r="T773" s="7" t="inlineStr">
        <is>
          <t>Custom Code Check</t>
        </is>
      </c>
      <c r="U773" s="7" t="inlineStr">
        <is>
          <t>D23</t>
        </is>
      </c>
      <c r="V773" s="9">
        <f>HYPERLINK("#'"&amp;T773&amp;"'!"&amp;U773,"➜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7" t="inlineStr">
        <is>
          <t>BAdI</t>
        </is>
      </c>
      <c r="Q774" s="8" t="inlineStr">
        <is>
          <t>NOTIF_EVENT_POST</t>
        </is>
      </c>
      <c r="R774" s="7" t="inlineStr">
        <is>
          <t>BAdI לאירוע רישום/שמירת הודעה (לוגיקה לאחר שמירה)</t>
        </is>
      </c>
      <c r="S774" s="7" t="inlineStr">
        <is>
          <t>6. הודעות אחזקה (Notifications)</t>
        </is>
      </c>
      <c r="T774" s="7" t="inlineStr">
        <is>
          <t>Custom Code Check</t>
        </is>
      </c>
      <c r="U774" s="7" t="inlineStr">
        <is>
          <t>D24</t>
        </is>
      </c>
      <c r="V774" s="9">
        <f>HYPERLINK("#'"&amp;T774&amp;"'!"&amp;U774,"➜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7" t="inlineStr">
        <is>
          <t>BAdI</t>
        </is>
      </c>
      <c r="Q775" s="8" t="inlineStr">
        <is>
          <t>NOTIF_EVENT_SAVE</t>
        </is>
      </c>
      <c r="R775" s="7" t="inlineStr">
        <is>
          <t>BAdI לאירוע שמירת הודעה (בדיקות לפני commit)</t>
        </is>
      </c>
      <c r="S775" s="7" t="inlineStr">
        <is>
          <t>6. הודעות אחזקה (Notifications)</t>
        </is>
      </c>
      <c r="T775" s="7" t="inlineStr">
        <is>
          <t>Custom Code Check</t>
        </is>
      </c>
      <c r="U775" s="7" t="inlineStr">
        <is>
          <t>D25</t>
        </is>
      </c>
      <c r="V775" s="9">
        <f>HYPERLINK("#'"&amp;T775&amp;"'!"&amp;U775,"➜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7" t="inlineStr">
        <is>
          <t>User Exit</t>
        </is>
      </c>
      <c r="Q776" s="8" t="inlineStr">
        <is>
          <t>IWO10009</t>
        </is>
      </c>
      <c r="R776" s="7" t="inlineStr">
        <is>
          <t>הרחבת לקוח לפק"ע - בדיקות והשלמת שדות בכותרת</t>
        </is>
      </c>
      <c r="S776" s="7" t="inlineStr">
        <is>
          <t>7. פקודות עבודה (פק"ע)</t>
        </is>
      </c>
      <c r="T776" s="7" t="inlineStr">
        <is>
          <t>Custom Code Check</t>
        </is>
      </c>
      <c r="U776" s="7" t="inlineStr">
        <is>
          <t>D26</t>
        </is>
      </c>
      <c r="V776" s="9">
        <f>HYPERLINK("#'"&amp;T776&amp;"'!"&amp;U776,"➜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7" t="inlineStr">
        <is>
          <t>User Exit</t>
        </is>
      </c>
      <c r="Q777" s="8" t="inlineStr">
        <is>
          <t>IWO10002</t>
        </is>
      </c>
      <c r="R777" s="7" t="inlineStr">
        <is>
          <t>בדיקות בעת שמירת פקודת עבודה</t>
        </is>
      </c>
      <c r="S777" s="7" t="inlineStr">
        <is>
          <t>7. פקודות עבודה (פק"ע)</t>
        </is>
      </c>
      <c r="T777" s="7" t="inlineStr">
        <is>
          <t>Custom Code Check</t>
        </is>
      </c>
      <c r="U777" s="7" t="inlineStr">
        <is>
          <t>D27</t>
        </is>
      </c>
      <c r="V777" s="9">
        <f>HYPERLINK("#'"&amp;T777&amp;"'!"&amp;U777,"➜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7" t="inlineStr">
        <is>
          <t>User Exit</t>
        </is>
      </c>
      <c r="Q778" s="8" t="inlineStr">
        <is>
          <t>IWO10012</t>
        </is>
      </c>
      <c r="R778" s="7" t="inlineStr">
        <is>
          <t>בדיקת אישורי עבודה (Permits) בפק"ע</t>
        </is>
      </c>
      <c r="S778" s="7" t="inlineStr">
        <is>
          <t>7. פקודות עבודה (פק"ע)</t>
        </is>
      </c>
      <c r="T778" s="7" t="inlineStr">
        <is>
          <t>Custom Code Check</t>
        </is>
      </c>
      <c r="U778" s="7" t="inlineStr">
        <is>
          <t>D28</t>
        </is>
      </c>
      <c r="V778" s="9">
        <f>HYPERLINK("#'"&amp;T778&amp;"'!"&amp;U778,"➜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7" t="inlineStr">
        <is>
          <t>User Exit</t>
        </is>
      </c>
      <c r="Q779" s="8" t="inlineStr">
        <is>
          <t>IWO10018</t>
        </is>
      </c>
      <c r="R779" s="7" t="inlineStr">
        <is>
          <t>בדיקת/הרחבת רכיבים בפק"ע</t>
        </is>
      </c>
      <c r="S779" s="7" t="inlineStr">
        <is>
          <t>7. פקודות עבודה (פק"ע)</t>
        </is>
      </c>
      <c r="T779" s="7" t="inlineStr">
        <is>
          <t>Custom Code Check</t>
        </is>
      </c>
      <c r="U779" s="7" t="inlineStr">
        <is>
          <t>D29</t>
        </is>
      </c>
      <c r="V779" s="9">
        <f>HYPERLINK("#'"&amp;T779&amp;"'!"&amp;U779,"➜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7" t="inlineStr">
        <is>
          <t>User Exit</t>
        </is>
      </c>
      <c r="Q780" s="8" t="inlineStr">
        <is>
          <t>IWO10024</t>
        </is>
      </c>
      <c r="R780" s="7" t="inlineStr">
        <is>
          <t>הרחבת פעולות (Operations) בפק"ע</t>
        </is>
      </c>
      <c r="S780" s="7" t="inlineStr">
        <is>
          <t>7. פקודות עבודה (פק"ע)</t>
        </is>
      </c>
      <c r="T780" s="7" t="inlineStr">
        <is>
          <t>Custom Code Check</t>
        </is>
      </c>
      <c r="U780" s="7" t="inlineStr">
        <is>
          <t>D30</t>
        </is>
      </c>
      <c r="V780" s="9">
        <f>HYPERLINK("#'"&amp;T780&amp;"'!"&amp;U780,"➜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7" t="inlineStr">
        <is>
          <t>BAdI</t>
        </is>
      </c>
      <c r="Q781" s="8" t="inlineStr">
        <is>
          <t>WORKORDER_UPDATE</t>
        </is>
      </c>
      <c r="R781" s="7" t="inlineStr">
        <is>
          <t>BAdI לעדכון/בדיקת פקודת עבודה (לפני שמירה)</t>
        </is>
      </c>
      <c r="S781" s="7" t="inlineStr">
        <is>
          <t>7. פקודות עבודה (פק"ע)</t>
        </is>
      </c>
      <c r="T781" s="7" t="inlineStr">
        <is>
          <t>Custom Code Check</t>
        </is>
      </c>
      <c r="U781" s="7" t="inlineStr">
        <is>
          <t>D31</t>
        </is>
      </c>
      <c r="V781" s="9">
        <f>HYPERLINK("#'"&amp;T781&amp;"'!"&amp;U781,"➜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7" t="inlineStr">
        <is>
          <t>BAdI</t>
        </is>
      </c>
      <c r="Q782" s="8" t="inlineStr">
        <is>
          <t>WORKORDER_GOODSMVT</t>
        </is>
      </c>
      <c r="R782" s="7" t="inlineStr">
        <is>
          <t>BAdI לתנועות מלאי בפק"ע</t>
        </is>
      </c>
      <c r="S782" s="7" t="inlineStr">
        <is>
          <t>7. פקודות עבודה (פק"ע)</t>
        </is>
      </c>
      <c r="T782" s="7" t="inlineStr">
        <is>
          <t>Custom Code Check</t>
        </is>
      </c>
      <c r="U782" s="7" t="inlineStr">
        <is>
          <t>D32</t>
        </is>
      </c>
      <c r="V782" s="9">
        <f>HYPERLINK("#'"&amp;T782&amp;"'!"&amp;U782,"➜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7" t="inlineStr">
        <is>
          <t>BAdI</t>
        </is>
      </c>
      <c r="Q783" s="8" t="inlineStr">
        <is>
          <t>WORKORDER_INFOSYSTEM</t>
        </is>
      </c>
      <c r="R783" s="7" t="inlineStr">
        <is>
          <t>BAdI לרשימות/דוחות פק"ע (IW38/39)</t>
        </is>
      </c>
      <c r="S783" s="7" t="inlineStr">
        <is>
          <t>7. פקודות עבודה (פק"ע)</t>
        </is>
      </c>
      <c r="T783" s="7" t="inlineStr">
        <is>
          <t>Custom Code Check</t>
        </is>
      </c>
      <c r="U783" s="7" t="inlineStr">
        <is>
          <t>D33</t>
        </is>
      </c>
      <c r="V783" s="9">
        <f>HYPERLINK("#'"&amp;T783&amp;"'!"&amp;U783,"➜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7" t="inlineStr">
        <is>
          <t>User Exit</t>
        </is>
      </c>
      <c r="Q784" s="8" t="inlineStr">
        <is>
          <t>STATUS (BS02/BS22)</t>
        </is>
      </c>
      <c r="R784" s="7" t="inlineStr">
        <is>
          <t>סטטוס משתמש מוגדר בפרופיל ולא דרך user-exit ייעודי</t>
        </is>
      </c>
      <c r="S784" s="7" t="inlineStr">
        <is>
          <t>8. ניהול סטטוסים (Status Mgmt)</t>
        </is>
      </c>
      <c r="T784" s="7" t="inlineStr">
        <is>
          <t>Custom Code Check</t>
        </is>
      </c>
      <c r="U784" s="7" t="inlineStr">
        <is>
          <t>D34</t>
        </is>
      </c>
      <c r="V784" s="9">
        <f>HYPERLINK("#'"&amp;T784&amp;"'!"&amp;U784,"➜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7" t="inlineStr">
        <is>
          <t>BAdI</t>
        </is>
      </c>
      <c r="Q785" s="8" t="inlineStr">
        <is>
          <t>BADI_STATUS_MANAGEMENT</t>
        </is>
      </c>
      <c r="R785" s="7" t="inlineStr">
        <is>
          <t>הרחבת לוגיקת סטטוס (אמת שם ב-SE18)</t>
        </is>
      </c>
      <c r="S785" s="7" t="inlineStr">
        <is>
          <t>8. ניהול סטטוסים (Status Mgmt)</t>
        </is>
      </c>
      <c r="T785" s="7" t="inlineStr">
        <is>
          <t>Custom Code Check</t>
        </is>
      </c>
      <c r="U785" s="7" t="inlineStr">
        <is>
          <t>D35</t>
        </is>
      </c>
      <c r="V785" s="9">
        <f>HYPERLINK("#'"&amp;T785&amp;"'!"&amp;U785,"➜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7" t="inlineStr">
        <is>
          <t>User Exit</t>
        </is>
      </c>
      <c r="Q786" s="8" t="inlineStr">
        <is>
          <t>MB_CF001</t>
        </is>
      </c>
      <c r="R786" s="7" t="inlineStr">
        <is>
          <t>Customer Function לתנועות מלאי (Goods Movement)</t>
        </is>
      </c>
      <c r="S786" s="7" t="inlineStr">
        <is>
          <t>9. אינטגרציית מלאי ורכש (PM-MM)</t>
        </is>
      </c>
      <c r="T786" s="7" t="inlineStr">
        <is>
          <t>Custom Code Check</t>
        </is>
      </c>
      <c r="U786" s="7" t="inlineStr">
        <is>
          <t>D36</t>
        </is>
      </c>
      <c r="V786" s="9">
        <f>HYPERLINK("#'"&amp;T786&amp;"'!"&amp;U786,"➜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7" t="inlineStr">
        <is>
          <t>User Exit</t>
        </is>
      </c>
      <c r="Q787" s="8" t="inlineStr">
        <is>
          <t>M06B0001</t>
        </is>
      </c>
      <c r="R787" s="7" t="inlineStr">
        <is>
          <t>הרחבת בדיקות בדרישות רכש (PR)</t>
        </is>
      </c>
      <c r="S787" s="7" t="inlineStr">
        <is>
          <t>9. אינטגרציית מלאי ורכש (PM-MM)</t>
        </is>
      </c>
      <c r="T787" s="7" t="inlineStr">
        <is>
          <t>Custom Code Check</t>
        </is>
      </c>
      <c r="U787" s="7" t="inlineStr">
        <is>
          <t>D37</t>
        </is>
      </c>
      <c r="V787" s="9">
        <f>HYPERLINK("#'"&amp;T787&amp;"'!"&amp;U787,"➜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7" t="inlineStr">
        <is>
          <t>User Exit</t>
        </is>
      </c>
      <c r="Q788" s="8" t="inlineStr">
        <is>
          <t>MEREQ001</t>
        </is>
      </c>
      <c r="R788" s="7" t="inlineStr">
        <is>
          <t>הרחבת לקוח לדרישות רכש (חיוב/שדות)</t>
        </is>
      </c>
      <c r="S788" s="7" t="inlineStr">
        <is>
          <t>9. אינטגרציית מלאי ורכש (PM-MM)</t>
        </is>
      </c>
      <c r="T788" s="7" t="inlineStr">
        <is>
          <t>Custom Code Check</t>
        </is>
      </c>
      <c r="U788" s="7" t="inlineStr">
        <is>
          <t>D38</t>
        </is>
      </c>
      <c r="V788" s="9">
        <f>HYPERLINK("#'"&amp;T788&amp;"'!"&amp;U788,"➜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7" t="inlineStr">
        <is>
          <t>BAdI</t>
        </is>
      </c>
      <c r="Q789" s="8" t="inlineStr">
        <is>
          <t>MB_DOCUMENT_BADI</t>
        </is>
      </c>
      <c r="R789" s="7" t="inlineStr">
        <is>
          <t>BAdI למסמך חומר (בדיקות/הרחבה בתנועת מלאי)</t>
        </is>
      </c>
      <c r="S789" s="7" t="inlineStr">
        <is>
          <t>9. אינטגרציית מלאי ורכש (PM-MM)</t>
        </is>
      </c>
      <c r="T789" s="7" t="inlineStr">
        <is>
          <t>Custom Code Check</t>
        </is>
      </c>
      <c r="U789" s="7" t="inlineStr">
        <is>
          <t>D39</t>
        </is>
      </c>
      <c r="V789" s="9">
        <f>HYPERLINK("#'"&amp;T789&amp;"'!"&amp;U789,"➜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7" t="inlineStr">
        <is>
          <t>BAdI</t>
        </is>
      </c>
      <c r="Q790" s="8" t="inlineStr">
        <is>
          <t>ME_PROCESS_REQ_CUST</t>
        </is>
      </c>
      <c r="R790" s="7" t="inlineStr">
        <is>
          <t>BAdI לעיבוד דרישת רכש</t>
        </is>
      </c>
      <c r="S790" s="7" t="inlineStr">
        <is>
          <t>9. אינטגרציית מלאי ורכש (PM-MM)</t>
        </is>
      </c>
      <c r="T790" s="7" t="inlineStr">
        <is>
          <t>Custom Code Check</t>
        </is>
      </c>
      <c r="U790" s="7" t="inlineStr">
        <is>
          <t>D40</t>
        </is>
      </c>
      <c r="V790" s="9">
        <f>HYPERLINK("#'"&amp;T790&amp;"'!"&amp;U790,"➜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7" t="inlineStr">
        <is>
          <t>User Exit</t>
        </is>
      </c>
      <c r="Q791" s="8" t="inlineStr">
        <is>
          <t>COOMEP01</t>
        </is>
      </c>
      <c r="R791" s="7" t="inlineStr">
        <is>
          <t>הרחבת פריטי עלות/התחשבנות (אמת שם מדויק)</t>
        </is>
      </c>
      <c r="S791" s="7" t="inlineStr">
        <is>
          <t>10. עלויות והתחשבנות (PM-CO)</t>
        </is>
      </c>
      <c r="T791" s="7" t="inlineStr">
        <is>
          <t>Custom Code Check</t>
        </is>
      </c>
      <c r="U791" s="7" t="inlineStr">
        <is>
          <t>D41</t>
        </is>
      </c>
      <c r="V791" s="9">
        <f>HYPERLINK("#'"&amp;T791&amp;"'!"&amp;U791,"➜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7" t="inlineStr">
        <is>
          <t>User Exit</t>
        </is>
      </c>
      <c r="Q792" s="8" t="inlineStr">
        <is>
          <t>KOAB0001</t>
        </is>
      </c>
      <c r="R792" s="7" t="inlineStr">
        <is>
          <t>הרחבת חוקי התחשבנות (Settlement)</t>
        </is>
      </c>
      <c r="S792" s="7" t="inlineStr">
        <is>
          <t>10. עלויות והתחשבנות (PM-CO)</t>
        </is>
      </c>
      <c r="T792" s="7" t="inlineStr">
        <is>
          <t>Custom Code Check</t>
        </is>
      </c>
      <c r="U792" s="7" t="inlineStr">
        <is>
          <t>D42</t>
        </is>
      </c>
      <c r="V792" s="9">
        <f>HYPERLINK("#'"&amp;T792&amp;"'!"&amp;U792,"➜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7" t="inlineStr">
        <is>
          <t>BAdI</t>
        </is>
      </c>
      <c r="Q793" s="8" t="inlineStr">
        <is>
          <t>BADI_SETTLEMENT</t>
        </is>
      </c>
      <c r="R793" s="7" t="inlineStr">
        <is>
          <t>הרחבת לוגיקת התחשבנות (אמת שם ב-SE18)</t>
        </is>
      </c>
      <c r="S793" s="7" t="inlineStr">
        <is>
          <t>10. עלויות והתחשבנות (PM-CO)</t>
        </is>
      </c>
      <c r="T793" s="7" t="inlineStr">
        <is>
          <t>Custom Code Check</t>
        </is>
      </c>
      <c r="U793" s="7" t="inlineStr">
        <is>
          <t>D43</t>
        </is>
      </c>
      <c r="V793" s="9">
        <f>HYPERLINK("#'"&amp;T793&amp;"'!"&amp;U793,"➜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7" t="inlineStr">
        <is>
          <t>User Exit</t>
        </is>
      </c>
      <c r="Q794" s="8" t="inlineStr">
        <is>
          <t>IPRM0001</t>
        </is>
      </c>
      <c r="R794" s="7" t="inlineStr">
        <is>
          <t>הרחבת לקוח לתכניות אחזקה (Maintenance Plans)</t>
        </is>
      </c>
      <c r="S794" s="7" t="inlineStr">
        <is>
          <t>11. אחזקה מונעת ותוכניות</t>
        </is>
      </c>
      <c r="T794" s="7" t="inlineStr">
        <is>
          <t>Custom Code Check</t>
        </is>
      </c>
      <c r="U794" s="7" t="inlineStr">
        <is>
          <t>D44</t>
        </is>
      </c>
      <c r="V794" s="9">
        <f>HYPERLINK("#'"&amp;T794&amp;"'!"&amp;U794,"➜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7" t="inlineStr">
        <is>
          <t>User Exit</t>
        </is>
      </c>
      <c r="Q795" s="8" t="inlineStr">
        <is>
          <t>IPRM0002</t>
        </is>
      </c>
      <c r="R795" s="7" t="inlineStr">
        <is>
          <t>הרחבת לוגיקת תזמון (Scheduling)</t>
        </is>
      </c>
      <c r="S795" s="7" t="inlineStr">
        <is>
          <t>11. אחזקה מונעת ותוכניות</t>
        </is>
      </c>
      <c r="T795" s="7" t="inlineStr">
        <is>
          <t>Custom Code Check</t>
        </is>
      </c>
      <c r="U795" s="7" t="inlineStr">
        <is>
          <t>D45</t>
        </is>
      </c>
      <c r="V795" s="9">
        <f>HYPERLINK("#'"&amp;T795&amp;"'!"&amp;U795,"➜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7" t="inlineStr">
        <is>
          <t>BAdI</t>
        </is>
      </c>
      <c r="Q796" s="8" t="inlineStr">
        <is>
          <t>BADI_EAM_MAINT_PLAN</t>
        </is>
      </c>
      <c r="R796" s="7" t="inlineStr">
        <is>
          <t>הרחבת תכניות אחזקה ותזמון (אמת שם ב-SE18)</t>
        </is>
      </c>
      <c r="S796" s="7" t="inlineStr">
        <is>
          <t>11. אחזקה מונעת ותוכניות</t>
        </is>
      </c>
      <c r="T796" s="7" t="inlineStr">
        <is>
          <t>Custom Code Check</t>
        </is>
      </c>
      <c r="U796" s="7" t="inlineStr">
        <is>
          <t>D46</t>
        </is>
      </c>
      <c r="V796" s="9">
        <f>HYPERLINK("#'"&amp;T796&amp;"'!"&amp;U796,"➜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7" t="inlineStr">
        <is>
          <t>User Exit</t>
        </is>
      </c>
      <c r="Q797" s="8" t="inlineStr">
        <is>
          <t>ARCH_PM (SARA/AOBJ)</t>
        </is>
      </c>
      <c r="R797" s="7" t="inlineStr">
        <is>
          <t>ארכוב דרך אובייקטי ADK (PM_ORDER/PM_QMEL) ללא user-exit ייעודי</t>
        </is>
      </c>
      <c r="S797" s="7" t="inlineStr">
        <is>
          <t>12. היסטוריה וארכיון</t>
        </is>
      </c>
      <c r="T797" s="7" t="inlineStr">
        <is>
          <t>Custom Code Check</t>
        </is>
      </c>
      <c r="U797" s="7" t="inlineStr">
        <is>
          <t>D47</t>
        </is>
      </c>
      <c r="V797" s="9">
        <f>HYPERLINK("#'"&amp;T797&amp;"'!"&amp;U797,"➜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7" t="inlineStr">
        <is>
          <t>BAdI</t>
        </is>
      </c>
      <c r="Q798" s="8" t="inlineStr">
        <is>
          <t>BADI_ARCHIVING</t>
        </is>
      </c>
      <c r="R798" s="7" t="inlineStr">
        <is>
          <t>הרחבת לוגיקת ארכוב/ILM (אמת שם ב-SE18)</t>
        </is>
      </c>
      <c r="S798" s="7" t="inlineStr">
        <is>
          <t>12. היסטוריה וארכיון</t>
        </is>
      </c>
      <c r="T798" s="7" t="inlineStr">
        <is>
          <t>Custom Code Check</t>
        </is>
      </c>
      <c r="U798" s="7" t="inlineStr">
        <is>
          <t>D48</t>
        </is>
      </c>
      <c r="V798" s="9">
        <f>HYPERLINK("#'"&amp;T798&amp;"'!"&amp;U798,"➜ פתח")</f>
        <v/>
      </c>
    </row>
  </sheetData>
  <mergeCells count="24">
    <mergeCell ref="B9:H9"/>
    <mergeCell ref="J2:O3"/>
    <mergeCell ref="F16:F17"/>
    <mergeCell ref="B5:H5"/>
    <mergeCell ref="B13:B14"/>
    <mergeCell ref="D13:D14"/>
    <mergeCell ref="D16:D17"/>
    <mergeCell ref="B10:B11"/>
    <mergeCell ref="B3:H3"/>
    <mergeCell ref="B19:B20"/>
    <mergeCell ref="F13:F14"/>
    <mergeCell ref="B22:H22"/>
    <mergeCell ref="H13:H14"/>
    <mergeCell ref="H16:H17"/>
    <mergeCell ref="B56:H60"/>
    <mergeCell ref="B2:H2"/>
    <mergeCell ref="C25:F25"/>
    <mergeCell ref="D19:D20"/>
    <mergeCell ref="D10:D11"/>
    <mergeCell ref="F19:F20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7" t="inlineStr">
        <is>
          <t>PK</t>
        </is>
      </c>
      <c r="H4" s="42" t="inlineStr">
        <is>
          <t>• BAPI_FUNCLOC_CREATE
• BAPI_FUNCLOC_CHANGE
• BAPI_FUNCLOC_GETDETAIL
• ISU_FUNCLOC_GETLIST</t>
        </is>
      </c>
      <c r="I4" s="48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J4" s="42" t="inlineStr">
        <is>
          <t>• RIIFLO20
• RIFLET00</t>
        </is>
      </c>
      <c r="K4" s="48" t="inlineStr">
        <is>
          <t>• רשימת מיקומים פונקציונליים (IH06)
• תחזוקת קטגוריות ומסיכות עריכה</t>
        </is>
      </c>
      <c r="L4" s="49" t="inlineStr">
        <is>
          <t>ללא שינוי במודל הנתונים (תואם)</t>
        </is>
      </c>
      <c r="M4" s="49" t="inlineStr">
        <is>
          <t>IFLOT (זהה)</t>
        </is>
      </c>
      <c r="N4" s="49" t="inlineStr">
        <is>
          <t>IL01-03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STRNO</t>
        </is>
      </c>
      <c r="E5" s="53" t="inlineStr">
        <is>
          <t>Formatted / structured number</t>
        </is>
      </c>
      <c r="F5" s="54" t="inlineStr">
        <is>
          <t>מספר מבנה מעוצב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TPLKZ</t>
        </is>
      </c>
      <c r="E7" s="53" t="inlineStr">
        <is>
          <t>Structure indicator (edit mask)</t>
        </is>
      </c>
      <c r="F7" s="54" t="inlineStr">
        <is>
          <t>מחוון מבנה / מסיכת קידוד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IFLOS  -  תוויות מיקום פונקציונלי (Labels - טבלת ילד של IFLOT)  (Functional location labels (child of IFLOT))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IL01/IL02/IL03; IH06</t>
        </is>
      </c>
      <c r="C12" s="43" t="inlineStr">
        <is>
          <t>IFLOS</t>
        </is>
      </c>
      <c r="D12" s="44" t="inlineStr">
        <is>
          <t>TPLNR</t>
        </is>
      </c>
      <c r="E12" s="45" t="inlineStr">
        <is>
          <t>Functional location (internal) - joins IFLOT</t>
        </is>
      </c>
      <c r="F12" s="46" t="inlineStr">
        <is>
          <t>מיקום פונקציונלי (פנימי) - מצטרף ל-IFLOT</t>
        </is>
      </c>
      <c r="G12" s="47" t="inlineStr">
        <is>
          <t>PK/FK</t>
        </is>
      </c>
      <c r="H12" s="42" t="inlineStr">
        <is>
          <t>• BAPI_FUNCLOC_GETDETAIL
• FUNC_LOCATION_LABEL_READ</t>
        </is>
      </c>
      <c r="I12" s="48" t="inlineStr">
        <is>
          <t>• שליפת פרטי מיקום כולל תוויות
• קריאת תווית מיקום פונקציונלי</t>
        </is>
      </c>
      <c r="J12" s="42" t="inlineStr">
        <is>
          <t>• RIIFLO20</t>
        </is>
      </c>
      <c r="K12" s="48" t="inlineStr">
        <is>
          <t>• רשימת מיקומים ותוויות (IH06)</t>
        </is>
      </c>
      <c r="L12" s="49" t="inlineStr">
        <is>
          <t>ללא שינוי (תואם)</t>
        </is>
      </c>
      <c r="M12" s="49" t="inlineStr">
        <is>
          <t>IFLOS (זהה)</t>
        </is>
      </c>
      <c r="N12" s="49" t="inlineStr">
        <is>
          <t>IL01-03;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STRNO</t>
        </is>
      </c>
      <c r="E13" s="53" t="inlineStr">
        <is>
          <t>External / structured label number</t>
        </is>
      </c>
      <c r="F13" s="54" t="inlineStr">
        <is>
          <t>מספר תווית חיצוני / מובנה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TPLKZ</t>
        </is>
      </c>
      <c r="E14" s="45" t="inlineStr">
        <is>
          <t>Structure indicator</t>
        </is>
      </c>
      <c r="F14" s="46" t="inlineStr">
        <is>
          <t>מחוון מבנה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TPLVL</t>
        </is>
      </c>
      <c r="E15" s="53" t="inlineStr">
        <is>
          <t>Hierarchy level of label</t>
        </is>
      </c>
      <c r="F15" s="54" t="inlineStr">
        <is>
          <t>רמת היררכיה של התווית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BEGRU</t>
        </is>
      </c>
      <c r="E16" s="45" t="inlineStr">
        <is>
          <t>Authorization group</t>
        </is>
      </c>
      <c r="F16" s="46" t="inlineStr">
        <is>
          <t>קבוצת הרשאה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ILOA  -  נתוני מיקום וחיוב משותפים  (PM object location &amp;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IL02; IE02 (ירושה)</t>
        </is>
      </c>
      <c r="C19" s="61" t="inlineStr">
        <is>
          <t>ILOA</t>
        </is>
      </c>
      <c r="D19" s="52" t="inlineStr">
        <is>
          <t>ILOAN</t>
        </is>
      </c>
      <c r="E19" s="53" t="inlineStr">
        <is>
          <t>Location &amp; account assignment key</t>
        </is>
      </c>
      <c r="F19" s="54" t="inlineStr">
        <is>
          <t>מפתח נתוני מיקום/חיוב</t>
        </is>
      </c>
      <c r="G19" s="62" t="inlineStr">
        <is>
          <t>PK</t>
        </is>
      </c>
      <c r="H19" s="60" t="inlineStr">
        <is>
          <t>• ILOA_READ
• ILOA_UPDATE
• ILOA_INHERIT_FROM_FUNCLOC</t>
        </is>
      </c>
      <c r="I19" s="63" t="inlineStr">
        <is>
          <t>• קריאת נתוני מיקום/חיוב
• עדכון נתוני מיקום/חיוב
• ירושת נתונים מהמיקום לציוד</t>
        </is>
      </c>
      <c r="J19" s="60" t="inlineStr">
        <is>
          <t>• RILOAA00</t>
        </is>
      </c>
      <c r="K19" s="63" t="inlineStr">
        <is>
          <t>• התאמת נתוני מיקום/חיוב באובייקטים</t>
        </is>
      </c>
      <c r="L19" s="64" t="inlineStr">
        <is>
          <t>ללא שינוי (תואם)</t>
        </is>
      </c>
      <c r="M19" s="64" t="inlineStr">
        <is>
          <t>ILOA (זהה)</t>
        </is>
      </c>
      <c r="N19" s="64" t="inlineStr">
        <is>
          <t>ללא; מנוהל דרך אובייקט טכני</t>
        </is>
      </c>
      <c r="O19" s="65" t="inlineStr">
        <is>
          <t>Manage Technical Objects (F2079)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KOSTL</t>
        </is>
      </c>
      <c r="E20" s="45" t="inlineStr">
        <is>
          <t>Cost center</t>
        </is>
      </c>
      <c r="F20" s="46" t="inlineStr">
        <is>
          <t>מרכז עלות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SWERK</t>
        </is>
      </c>
      <c r="E21" s="53" t="inlineStr">
        <is>
          <t>Maintenance plant</t>
        </is>
      </c>
      <c r="F21" s="54" t="inlineStr">
        <is>
          <t>מפעל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INGRP</t>
        </is>
      </c>
      <c r="E22" s="45" t="inlineStr">
        <is>
          <t>Planner group</t>
        </is>
      </c>
      <c r="F22" s="46" t="inlineStr">
        <is>
          <t>קבוצת תכנון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GEWRK</t>
        </is>
      </c>
      <c r="E23" s="53" t="inlineStr">
        <is>
          <t>Main work center</t>
        </is>
      </c>
      <c r="F23" s="54" t="inlineStr">
        <is>
          <t>מרכז עבודה ראשי</t>
        </is>
      </c>
      <c r="G23" s="59" t="inlineStr">
        <is>
          <t>FK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TPLNR</t>
        </is>
      </c>
      <c r="E24" s="45" t="inlineStr">
        <is>
          <t>Functional location</t>
        </is>
      </c>
      <c r="F24" s="46" t="inlineStr">
        <is>
          <t>מיקום פונקציונלי</t>
        </is>
      </c>
      <c r="G24" s="57" t="inlineStr">
        <is>
          <t>FK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CRHD  -  כותרת מרכז עבודה  (Work center header)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IR01/IR02/IR03; CR05, CR06</t>
        </is>
      </c>
      <c r="C27" s="61" t="inlineStr">
        <is>
          <t>CRHD</t>
        </is>
      </c>
      <c r="D27" s="52" t="inlineStr">
        <is>
          <t>OBJID</t>
        </is>
      </c>
      <c r="E27" s="53" t="inlineStr">
        <is>
          <t>Internal work center object ID</t>
        </is>
      </c>
      <c r="F27" s="54" t="inlineStr">
        <is>
          <t>מזהה אובייקט פנימי</t>
        </is>
      </c>
      <c r="G27" s="62" t="inlineStr">
        <is>
          <t>PK</t>
        </is>
      </c>
      <c r="H27" s="60" t="inlineStr">
        <is>
          <t>• CR_WORKCENTER_READ
• CRAP_WORKCENTER_GET_DETAIL</t>
        </is>
      </c>
      <c r="I27" s="63" t="inlineStr">
        <is>
          <t>• קריאת נתוני מרכז עבודה
• שליפת פרטי מרכז עבודה</t>
        </is>
      </c>
      <c r="J27" s="60" t="inlineStr">
        <is>
          <t>• RCRACO00</t>
        </is>
      </c>
      <c r="K27" s="63" t="inlineStr">
        <is>
          <t>• דוח מרכזי עבודה וקיבולות</t>
        </is>
      </c>
      <c r="L27" s="64" t="inlineStr">
        <is>
          <t>ללא שינוי (תואם)</t>
        </is>
      </c>
      <c r="M27" s="64" t="inlineStr">
        <is>
          <t>CRHD (זהה)</t>
        </is>
      </c>
      <c r="N27" s="64" t="inlineStr">
        <is>
          <t>IR01-03 / CR0*; Fiori</t>
        </is>
      </c>
      <c r="O27" s="65" t="inlineStr">
        <is>
          <t>Manage Work Centers (אמת ID)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ARBPL</t>
        </is>
      </c>
      <c r="E28" s="45" t="inlineStr">
        <is>
          <t>Work center code</t>
        </is>
      </c>
      <c r="F28" s="46" t="inlineStr">
        <is>
          <t>קוד מרכז עבודה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OBJTY</t>
        </is>
      </c>
      <c r="E29" s="53" t="inlineStr">
        <is>
          <t>Object type ('A'=work center)</t>
        </is>
      </c>
      <c r="F29" s="54" t="inlineStr">
        <is>
          <t>סוג אובייקט</t>
        </is>
      </c>
      <c r="G29" s="62" t="inlineStr">
        <is>
          <t>PK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WERKS</t>
        </is>
      </c>
      <c r="E30" s="45" t="inlineStr">
        <is>
          <t>Plant</t>
        </is>
      </c>
      <c r="F30" s="46" t="inlineStr">
        <is>
          <t>מפעל</t>
        </is>
      </c>
      <c r="G30" s="57" t="inlineStr">
        <is>
          <t>FK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1" t="n"/>
      <c r="C31" s="51" t="n"/>
      <c r="D31" s="52" t="inlineStr">
        <is>
          <t>VERWE</t>
        </is>
      </c>
      <c r="E31" s="53" t="inlineStr">
        <is>
          <t>Work center usage</t>
        </is>
      </c>
      <c r="F31" s="54" t="inlineStr">
        <is>
          <t>שימוש מרכז עבודה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23</v>
      </c>
      <c r="B32" s="58" t="n"/>
      <c r="C32" s="58" t="n"/>
      <c r="D32" s="44" t="inlineStr">
        <is>
          <t>VERAN</t>
        </is>
      </c>
      <c r="E32" s="45" t="inlineStr">
        <is>
          <t>Person responsible</t>
        </is>
      </c>
      <c r="F32" s="46" t="inlineStr">
        <is>
          <t>אחראי</t>
        </is>
      </c>
      <c r="G32" s="56" t="inlineStr">
        <is>
          <t>-</t>
        </is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40" t="inlineStr">
        <is>
          <t xml:space="preserve">  ◆ טבלה CRTX  -  טקסטים של מרכז עבודה  (Work center texts)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0" customHeight="1">
      <c r="A35" s="50" t="n">
        <v>24</v>
      </c>
      <c r="B35" s="60" t="inlineStr">
        <is>
          <t>IR02; IR03</t>
        </is>
      </c>
      <c r="C35" s="61" t="inlineStr">
        <is>
          <t>CRTX</t>
        </is>
      </c>
      <c r="D35" s="52" t="inlineStr">
        <is>
          <t>OBJID</t>
        </is>
      </c>
      <c r="E35" s="53" t="inlineStr">
        <is>
          <t>Work center object ID</t>
        </is>
      </c>
      <c r="F35" s="54" t="inlineStr">
        <is>
          <t>מזהה אובייקט</t>
        </is>
      </c>
      <c r="G35" s="62" t="inlineStr">
        <is>
          <t>PK/FK</t>
        </is>
      </c>
      <c r="H35" s="60" t="inlineStr">
        <is>
          <t>• CR_TEXT_READ</t>
        </is>
      </c>
      <c r="I35" s="63" t="inlineStr">
        <is>
          <t>• קריאת טקסט מרכז עבודה</t>
        </is>
      </c>
      <c r="J35" s="60" t="inlineStr">
        <is>
          <t>• RCRACO00</t>
        </is>
      </c>
      <c r="K35" s="63" t="inlineStr">
        <is>
          <t>• דוח מרכזי עבודה</t>
        </is>
      </c>
      <c r="L35" s="64" t="inlineStr">
        <is>
          <t>ללא שינוי (תואם)</t>
        </is>
      </c>
      <c r="M35" s="64" t="inlineStr">
        <is>
          <t>CRTX (זהה)</t>
        </is>
      </c>
      <c r="N35" s="64" t="inlineStr">
        <is>
          <t>IR0*; Fiori</t>
        </is>
      </c>
      <c r="O35" s="65" t="inlineStr">
        <is>
          <t>Manage Work Centers (אמת ID)</t>
        </is>
      </c>
      <c r="P35" s="64" t="inlineStr">
        <is>
          <t>ללא פעולת המרה ייעודית ב-SUM (טבלה תואמת). מומלץ Regression Test ואימות התאמות אישיות לאחר ההמרה.</t>
        </is>
      </c>
    </row>
    <row r="36" ht="20" customHeight="1">
      <c r="A36" s="41" t="n">
        <v>25</v>
      </c>
      <c r="B36" s="51" t="n"/>
      <c r="C36" s="51" t="n"/>
      <c r="D36" s="44" t="inlineStr">
        <is>
          <t>SPRAS</t>
        </is>
      </c>
      <c r="E36" s="45" t="inlineStr">
        <is>
          <t>Language key</t>
        </is>
      </c>
      <c r="F36" s="46" t="inlineStr">
        <is>
          <t>שפה</t>
        </is>
      </c>
      <c r="G36" s="47" t="inlineStr">
        <is>
          <t>PK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KTEXT</t>
        </is>
      </c>
      <c r="E37" s="53" t="inlineStr">
        <is>
          <t>Work center description</t>
        </is>
      </c>
      <c r="F37" s="54" t="inlineStr">
        <is>
          <t>תיאור מרכז עבודה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T370T  -  טבלת טקסט להגדרות מבנה/קטגוריות PM (Customizing)  (PM structure/category customizing text table)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SPRO; OIA1, OIMR</t>
        </is>
      </c>
      <c r="C40" s="43" t="inlineStr">
        <is>
          <t>T370T</t>
        </is>
      </c>
      <c r="D40" s="44" t="inlineStr">
        <is>
          <t>SPRAS</t>
        </is>
      </c>
      <c r="E40" s="45" t="inlineStr">
        <is>
          <t>Language key</t>
        </is>
      </c>
      <c r="F40" s="46" t="inlineStr">
        <is>
          <t>שפה</t>
        </is>
      </c>
      <c r="G40" s="47" t="inlineStr">
        <is>
          <t>PK</t>
        </is>
      </c>
      <c r="H40" s="42" t="inlineStr">
        <is>
          <t>• STRUCTURE_INDICATOR_READ</t>
        </is>
      </c>
      <c r="I40" s="48" t="inlineStr">
        <is>
          <t>• קריאת מחוון מבנה והגדרותיו</t>
        </is>
      </c>
      <c r="J40" s="42" t="inlineStr">
        <is>
          <t>• RIFLET00</t>
        </is>
      </c>
      <c r="K40" s="48" t="inlineStr">
        <is>
          <t>• תחזוקת קטגוריות ומסיכות עריכה</t>
        </is>
      </c>
      <c r="L40" s="49" t="inlineStr">
        <is>
          <t>ללא שינוי (Customizing תואם)</t>
        </is>
      </c>
      <c r="M40" s="49" t="inlineStr">
        <is>
          <t>T370T (זהה)</t>
        </is>
      </c>
      <c r="N40" s="49" t="inlineStr">
        <is>
          <t>SPRO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FLTYP</t>
        </is>
      </c>
      <c r="E41" s="53" t="inlineStr">
        <is>
          <t>Functional location category</t>
        </is>
      </c>
      <c r="F41" s="54" t="inlineStr">
        <is>
          <t>קטגוריית מיקום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8" t="n"/>
      <c r="C42" s="58" t="n"/>
      <c r="D42" s="44" t="inlineStr">
        <is>
          <t>FLTYPT</t>
        </is>
      </c>
      <c r="E42" s="45" t="inlineStr">
        <is>
          <t>Category description</t>
        </is>
      </c>
      <c r="F42" s="46" t="inlineStr">
        <is>
          <t>תיאור קטגוריה</t>
        </is>
      </c>
      <c r="G42" s="56" t="inlineStr">
        <is>
          <t>-</t>
        </is>
      </c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⚙ הרחבות טכניות ושינויי ארכיטקטורה (Technical Extensions: User Exits / BAdIs / ECC vs S/4HANA)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66" t="inlineStr">
        <is>
          <t>סוג (Type)</t>
        </is>
      </c>
      <c r="B46" s="4" t="n"/>
      <c r="C46" s="66" t="inlineStr">
        <is>
          <t>קוד / שם טכני (Code)</t>
        </is>
      </c>
      <c r="D46" s="4" t="n"/>
      <c r="E46" s="66" t="inlineStr">
        <is>
          <t>תיאור / הבדל (Hebrew)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User Exit (SMOD)</t>
        </is>
      </c>
      <c r="B47" s="4" t="n"/>
      <c r="C47" s="68" t="inlineStr">
        <is>
          <t>ITOB0001</t>
        </is>
      </c>
      <c r="D47" s="4" t="n"/>
      <c r="E47" s="69" t="inlineStr">
        <is>
          <t>הרחבת לקוח לאובייקטים טכניים (מיקום/ציוד) - שדות נוספים ובדיקות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IBIP0001</t>
        </is>
      </c>
      <c r="D48" s="4" t="n"/>
      <c r="E48" s="72" t="inlineStr">
        <is>
          <t>ממשק יצירה אצווה (Batch Input/Direct Input) לאובייקטים טכניים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BAdI (SE18)</t>
        </is>
      </c>
      <c r="B49" s="4" t="n"/>
      <c r="C49" s="68" t="inlineStr">
        <is>
          <t>BADI_EAM_TECHNICAL_OBJECT</t>
        </is>
      </c>
      <c r="D49" s="4" t="n"/>
      <c r="E49" s="69" t="inlineStr">
        <is>
          <t>BAdI מרכזי להרחבת לוגיקת אובייקטים טכניים ב-S/4HANA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BAdI (SE18)</t>
        </is>
      </c>
      <c r="B50" s="4" t="n"/>
      <c r="C50" s="71" t="inlineStr">
        <is>
          <t>BADI_EAM_SINGLE_LEVEL_LIST</t>
        </is>
      </c>
      <c r="D50" s="4" t="n"/>
      <c r="E50" s="72" t="inlineStr">
        <is>
          <t>התאמת רשימות אובייקטים חד-רמתיות (IH06/IH08)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ארכיטקטורה ECC↔S/4</t>
        </is>
      </c>
      <c r="B51" s="4" t="n"/>
      <c r="C51" s="68" t="inlineStr">
        <is>
          <t>—</t>
        </is>
      </c>
      <c r="D51" s="4" t="n"/>
      <c r="E51" s="69" t="inlineStr">
        <is>
          <t>שדה TPLNR ומבנה ההיררכיה ללא שינוי; ב-S/4 ניתן לנהל מיקומים גם דרך Fiori 'Manage Technical Objects' (F2079).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מחוון מבנה ומסיכות עריכה (Customizing) זהים; ב-S/4 אפשר Linear Asset Management (LAM) למיקומים ליניאריים.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ITOB0001 עדיין נתמך אך לפיתוח חדש מומלץ BADI_EAM_TECHNICAL_OBJECT.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9">
    <mergeCell ref="J35:J37"/>
    <mergeCell ref="L35:L37"/>
    <mergeCell ref="A51:B51"/>
    <mergeCell ref="M12:M16"/>
    <mergeCell ref="B27:B32"/>
    <mergeCell ref="C4:C9"/>
    <mergeCell ref="I40:I42"/>
    <mergeCell ref="O4:O9"/>
    <mergeCell ref="A39:P39"/>
    <mergeCell ref="C50:D50"/>
    <mergeCell ref="A11:P11"/>
    <mergeCell ref="H19:H24"/>
    <mergeCell ref="C27:C32"/>
    <mergeCell ref="M27:M32"/>
    <mergeCell ref="C35:C37"/>
    <mergeCell ref="P40:P42"/>
    <mergeCell ref="A53:B53"/>
    <mergeCell ref="E50:P50"/>
    <mergeCell ref="H40:H42"/>
    <mergeCell ref="J40:J42"/>
    <mergeCell ref="O35:O37"/>
    <mergeCell ref="L12:L16"/>
    <mergeCell ref="E52:P52"/>
    <mergeCell ref="I12:I16"/>
    <mergeCell ref="I19:I24"/>
    <mergeCell ref="A26:P26"/>
    <mergeCell ref="K19:K24"/>
    <mergeCell ref="K12:K16"/>
    <mergeCell ref="C19:C24"/>
    <mergeCell ref="A48:B48"/>
    <mergeCell ref="H4:H9"/>
    <mergeCell ref="O12:O16"/>
    <mergeCell ref="E46:P46"/>
    <mergeCell ref="B35:B37"/>
    <mergeCell ref="C47:D47"/>
    <mergeCell ref="A46:B46"/>
    <mergeCell ref="A34:P34"/>
    <mergeCell ref="P27:P32"/>
    <mergeCell ref="H35:H37"/>
    <mergeCell ref="J27:J32"/>
    <mergeCell ref="A45:P45"/>
    <mergeCell ref="B12:B16"/>
    <mergeCell ref="E47:P47"/>
    <mergeCell ref="N12:N16"/>
    <mergeCell ref="N19:N24"/>
    <mergeCell ref="P19:P24"/>
    <mergeCell ref="K35:K37"/>
    <mergeCell ref="C40:C42"/>
    <mergeCell ref="M35:M37"/>
    <mergeCell ref="A52:B52"/>
    <mergeCell ref="C53:D53"/>
    <mergeCell ref="B4:B9"/>
    <mergeCell ref="B40:B42"/>
    <mergeCell ref="N4:N9"/>
    <mergeCell ref="A49:B49"/>
    <mergeCell ref="P4:P9"/>
    <mergeCell ref="A1:B1"/>
    <mergeCell ref="I27:I32"/>
    <mergeCell ref="L40:L42"/>
    <mergeCell ref="N40:N42"/>
    <mergeCell ref="H12:H16"/>
    <mergeCell ref="N35:N37"/>
    <mergeCell ref="P35:P37"/>
    <mergeCell ref="C46:D46"/>
    <mergeCell ref="C51:D51"/>
    <mergeCell ref="B19:B24"/>
    <mergeCell ref="C48:D48"/>
    <mergeCell ref="H27:H32"/>
    <mergeCell ref="K40:K42"/>
    <mergeCell ref="M40:M42"/>
    <mergeCell ref="I4:I9"/>
    <mergeCell ref="A18:P18"/>
    <mergeCell ref="A3:P3"/>
    <mergeCell ref="L27:L32"/>
    <mergeCell ref="O40:O42"/>
    <mergeCell ref="N27:N32"/>
    <mergeCell ref="K4:K9"/>
    <mergeCell ref="C49:D49"/>
    <mergeCell ref="M4:M9"/>
    <mergeCell ref="E51:P51"/>
    <mergeCell ref="J12:J16"/>
    <mergeCell ref="J19:J24"/>
    <mergeCell ref="L19:L24"/>
    <mergeCell ref="I35:I37"/>
    <mergeCell ref="P12:P16"/>
    <mergeCell ref="E49:P49"/>
    <mergeCell ref="C1:P1"/>
    <mergeCell ref="A50:B50"/>
    <mergeCell ref="K27:K32"/>
    <mergeCell ref="J4:J9"/>
    <mergeCell ref="L4:L9"/>
    <mergeCell ref="A47:B47"/>
    <mergeCell ref="E53:P53"/>
    <mergeCell ref="C52:D52"/>
    <mergeCell ref="O27:O32"/>
    <mergeCell ref="C12:C16"/>
    <mergeCell ref="E48:P48"/>
    <mergeCell ref="M19:M24"/>
    <mergeCell ref="O19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7" t="inlineStr">
        <is>
          <t>PK</t>
        </is>
      </c>
      <c r="H4" s="42" t="inlineStr">
        <is>
          <t>• BAPI_EQUI_CREATE
• BAPI_EQUI_CHANGE
• BAPI_EQUI_GETDETAIL
• BAPI_EQMT_INSTALL</t>
        </is>
      </c>
      <c r="I4" s="48" t="inlineStr">
        <is>
          <t>• יצירת ציוד דרך ממשק תקני
• שינוי ציוד
• שליפת פרטי ציוד
• התקנת ציוד במיקום/ציוד אב</t>
        </is>
      </c>
      <c r="J4" s="42" t="inlineStr">
        <is>
          <t>• RIEQUI20
• RIEQUI00</t>
        </is>
      </c>
      <c r="K4" s="48" t="inlineStr">
        <is>
          <t>• רשימת ציוד (IH08)
• ניתוח היסטוריית התקנות הציוד</t>
        </is>
      </c>
      <c r="L4" s="49" t="inlineStr">
        <is>
          <t>ללא שינוי במודל הנתונים (תואם)</t>
        </is>
      </c>
      <c r="M4" s="49" t="inlineStr">
        <is>
          <t>EQUI (זהה)</t>
        </is>
      </c>
      <c r="N4" s="49" t="inlineStr">
        <is>
          <t>IE01-03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EQTYP</t>
        </is>
      </c>
      <c r="E5" s="53" t="inlineStr">
        <is>
          <t>Equipment category</t>
        </is>
      </c>
      <c r="F5" s="54" t="inlineStr">
        <is>
          <t>קטגוריית ציוד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HERST</t>
        </is>
      </c>
      <c r="E7" s="53" t="inlineStr">
        <is>
          <t>Manufacturer</t>
        </is>
      </c>
      <c r="F7" s="54" t="inlineStr">
        <is>
          <t>יצרן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7" t="inlineStr">
        <is>
          <t>PK/FK</t>
        </is>
      </c>
      <c r="H12" s="42" t="inlineStr">
        <is>
          <t>• EQUIPMENT_TEXT_READ</t>
        </is>
      </c>
      <c r="I12" s="48" t="inlineStr">
        <is>
          <t>• קריאת טקסט ציוד</t>
        </is>
      </c>
      <c r="J12" s="42" t="inlineStr">
        <is>
          <t>• RIEQUI20</t>
        </is>
      </c>
      <c r="K12" s="48" t="inlineStr">
        <is>
          <t>• רשימת ציוד עם תיאורים</t>
        </is>
      </c>
      <c r="L12" s="49" t="inlineStr">
        <is>
          <t>ללא שינוי (תואם)</t>
        </is>
      </c>
      <c r="M12" s="49" t="inlineStr">
        <is>
          <t>EQKT (זהה)</t>
        </is>
      </c>
      <c r="N12" s="49" t="inlineStr">
        <is>
          <t>IE0*;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SPRAS</t>
        </is>
      </c>
      <c r="E13" s="53" t="inlineStr">
        <is>
          <t>Language key</t>
        </is>
      </c>
      <c r="F13" s="54" t="inlineStr">
        <is>
          <t>שפה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8" t="n"/>
      <c r="C14" s="58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6" t="inlineStr">
        <is>
          <t>-</t>
        </is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0" customHeight="1">
      <c r="A17" s="50" t="n">
        <v>10</v>
      </c>
      <c r="B17" s="60" t="inlineStr">
        <is>
          <t>IE02; IE4N (התקנה/פירוק)</t>
        </is>
      </c>
      <c r="C17" s="61" t="inlineStr">
        <is>
          <t>EQUZ</t>
        </is>
      </c>
      <c r="D17" s="52" t="inlineStr">
        <is>
          <t>EQUNR</t>
        </is>
      </c>
      <c r="E17" s="53" t="inlineStr">
        <is>
          <t>Equipment number</t>
        </is>
      </c>
      <c r="F17" s="54" t="inlineStr">
        <is>
          <t>מספר ציוד</t>
        </is>
      </c>
      <c r="G17" s="62" t="inlineStr">
        <is>
          <t>PK/FK</t>
        </is>
      </c>
      <c r="H17" s="60" t="inlineStr">
        <is>
          <t>• EQUI_TIMESEGMENT_READ
• EQUIPMENT_DISMANTLE</t>
        </is>
      </c>
      <c r="I17" s="63" t="inlineStr">
        <is>
          <t>• קריאת פלחי הזמן של הציוד
• פירוק ציוד מהמיקום/ציוד אב</t>
        </is>
      </c>
      <c r="J17" s="60" t="inlineStr">
        <is>
          <t>• RIEQUI00</t>
        </is>
      </c>
      <c r="K17" s="63" t="inlineStr">
        <is>
          <t>• ניתוח שינויי התקנה והיסטוריה</t>
        </is>
      </c>
      <c r="L17" s="64" t="inlineStr">
        <is>
          <t>ללא שינוי (תואם)</t>
        </is>
      </c>
      <c r="M17" s="64" t="inlineStr">
        <is>
          <t>EQUZ (זהה)</t>
        </is>
      </c>
      <c r="N17" s="64" t="inlineStr">
        <is>
          <t>IE4N נתמך; Fiori</t>
        </is>
      </c>
      <c r="O17" s="65" t="inlineStr">
        <is>
          <t>Manage Technical Objects (F2079)</t>
        </is>
      </c>
      <c r="P17" s="64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1" t="n"/>
      <c r="C18" s="51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47" t="inlineStr">
        <is>
          <t>PK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1" t="n"/>
      <c r="C19" s="51" t="n"/>
      <c r="D19" s="52" t="inlineStr">
        <is>
          <t>HEQUI</t>
        </is>
      </c>
      <c r="E19" s="53" t="inlineStr">
        <is>
          <t>Superior equipment</t>
        </is>
      </c>
      <c r="F19" s="54" t="inlineStr">
        <is>
          <t>ציוד עליון</t>
        </is>
      </c>
      <c r="G19" s="59" t="inlineStr">
        <is>
          <t>FK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EQLFN</t>
        </is>
      </c>
      <c r="E21" s="53" t="inlineStr">
        <is>
          <t>Time segment counter</t>
        </is>
      </c>
      <c r="F21" s="54" t="inlineStr">
        <is>
          <t>מונה פלח זמן</t>
        </is>
      </c>
      <c r="G21" s="62" t="inlineStr">
        <is>
          <t>PK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7" t="inlineStr">
        <is>
          <t>PK</t>
        </is>
      </c>
      <c r="H24" s="42" t="inlineStr">
        <is>
          <t>• SERIAL_NUMBER_CREATE
• SERNR_ADD_TO_DOCUMENT
• BAPI_OBJCL_CREATE</t>
        </is>
      </c>
      <c r="I24" s="48" t="inlineStr">
        <is>
          <t>• יצירת מספר סידורי
• שיוך סריאל לתעודת מלאי
• שיוך סיווג לאובייקט</t>
        </is>
      </c>
      <c r="J24" s="42" t="inlineStr">
        <is>
          <t>• RISERNR0</t>
        </is>
      </c>
      <c r="K24" s="48" t="inlineStr">
        <is>
          <t>• דוח סריאלים מול תנועות מלאי</t>
        </is>
      </c>
      <c r="L24" s="49" t="inlineStr">
        <is>
          <t>ללא שינוי (תואם)</t>
        </is>
      </c>
      <c r="M24" s="49" t="inlineStr">
        <is>
          <t>OBJK (זהה)</t>
        </is>
      </c>
      <c r="N24" s="49" t="inlineStr">
        <is>
          <t>IQ0*; Fiori</t>
        </is>
      </c>
      <c r="O24" s="43" t="inlineStr">
        <is>
          <t>Manage Technical Objects (F2079)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59" t="inlineStr">
        <is>
          <t>FK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MATNR</t>
        </is>
      </c>
      <c r="E27" s="53" t="inlineStr">
        <is>
          <t>Material number</t>
        </is>
      </c>
      <c r="F27" s="54" t="inlineStr">
        <is>
          <t>חומר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IEQM0001</t>
        </is>
      </c>
      <c r="D33" s="4" t="n"/>
      <c r="E33" s="69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IEQM0003</t>
        </is>
      </c>
      <c r="D34" s="4" t="n"/>
      <c r="E34" s="72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User Exit (SMOD)</t>
        </is>
      </c>
      <c r="B35" s="4" t="n"/>
      <c r="C35" s="68" t="inlineStr">
        <is>
          <t>ISER0001</t>
        </is>
      </c>
      <c r="D35" s="4" t="n"/>
      <c r="E35" s="69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BAdI (SE18)</t>
        </is>
      </c>
      <c r="B36" s="4" t="n"/>
      <c r="C36" s="71" t="inlineStr">
        <is>
          <t>BADI_EAM_TECHNICAL_OBJECT</t>
        </is>
      </c>
      <c r="D36" s="4" t="n"/>
      <c r="E36" s="72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BAdI (SE18)</t>
        </is>
      </c>
      <c r="B37" s="4" t="n"/>
      <c r="C37" s="68" t="inlineStr">
        <is>
          <t>EAM_SERNR_ADD_DATA</t>
        </is>
      </c>
      <c r="D37" s="4" t="n"/>
      <c r="E37" s="69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ארכיטקטורה ECC↔S/4</t>
        </is>
      </c>
      <c r="B39" s="4" t="n"/>
      <c r="C39" s="68" t="inlineStr">
        <is>
          <t>—</t>
        </is>
      </c>
      <c r="D39" s="4" t="n"/>
      <c r="E39" s="69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</sheetData>
  <mergeCells count="78">
    <mergeCell ref="E38:P38"/>
    <mergeCell ref="M12:M14"/>
    <mergeCell ref="O12:O14"/>
    <mergeCell ref="E40:P40"/>
    <mergeCell ref="C4:C9"/>
    <mergeCell ref="P12:P14"/>
    <mergeCell ref="O4:O9"/>
    <mergeCell ref="A11:P11"/>
    <mergeCell ref="J17:J21"/>
    <mergeCell ref="B12:B14"/>
    <mergeCell ref="A33:B33"/>
    <mergeCell ref="C24:C28"/>
    <mergeCell ref="C36:D36"/>
    <mergeCell ref="O24:O28"/>
    <mergeCell ref="A35:B35"/>
    <mergeCell ref="A39:B39"/>
    <mergeCell ref="C12:C14"/>
    <mergeCell ref="H4:H9"/>
    <mergeCell ref="M17:M21"/>
    <mergeCell ref="O17:O21"/>
    <mergeCell ref="A37:B37"/>
    <mergeCell ref="P24:P28"/>
    <mergeCell ref="L17:L21"/>
    <mergeCell ref="H24:H28"/>
    <mergeCell ref="C40:D40"/>
    <mergeCell ref="E32:P32"/>
    <mergeCell ref="K24:K28"/>
    <mergeCell ref="L12:L14"/>
    <mergeCell ref="N12:N14"/>
    <mergeCell ref="E33:P33"/>
    <mergeCell ref="K12:K14"/>
    <mergeCell ref="A34:B34"/>
    <mergeCell ref="E35:P35"/>
    <mergeCell ref="C34:D34"/>
    <mergeCell ref="B4:B9"/>
    <mergeCell ref="N4:N9"/>
    <mergeCell ref="C17:C21"/>
    <mergeCell ref="A23:P23"/>
    <mergeCell ref="P4:P9"/>
    <mergeCell ref="A36:B36"/>
    <mergeCell ref="A1:B1"/>
    <mergeCell ref="I17:I21"/>
    <mergeCell ref="B24:B28"/>
    <mergeCell ref="N24:N28"/>
    <mergeCell ref="E37:P37"/>
    <mergeCell ref="A32:B32"/>
    <mergeCell ref="A16:P16"/>
    <mergeCell ref="A38:B38"/>
    <mergeCell ref="C32:D32"/>
    <mergeCell ref="C38:D38"/>
    <mergeCell ref="I4:I9"/>
    <mergeCell ref="H17:H21"/>
    <mergeCell ref="A3:P3"/>
    <mergeCell ref="A40:B40"/>
    <mergeCell ref="K4:K9"/>
    <mergeCell ref="M4:M9"/>
    <mergeCell ref="N17:N21"/>
    <mergeCell ref="C33:D33"/>
    <mergeCell ref="K17:K21"/>
    <mergeCell ref="I24:I28"/>
    <mergeCell ref="E34:P34"/>
    <mergeCell ref="C35:D35"/>
    <mergeCell ref="H12:H14"/>
    <mergeCell ref="J12:J14"/>
    <mergeCell ref="M24:M28"/>
    <mergeCell ref="A31:P31"/>
    <mergeCell ref="C1:P1"/>
    <mergeCell ref="E36:P36"/>
    <mergeCell ref="J4:J9"/>
    <mergeCell ref="L4:L9"/>
    <mergeCell ref="C39:D39"/>
    <mergeCell ref="B17:B21"/>
    <mergeCell ref="I12:I14"/>
    <mergeCell ref="C37:D37"/>
    <mergeCell ref="E39:P39"/>
    <mergeCell ref="J24:J28"/>
    <mergeCell ref="P17:P21"/>
    <mergeCell ref="L24:L2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7" t="inlineStr">
        <is>
          <t>PK</t>
        </is>
      </c>
      <c r="H4" s="42" t="inlineStr">
        <is>
          <t>• CSAP_MAT_BOM_CREATE
• CSAP_MAT_BOM_MAINTAIN
• CS_BT_BOM_HEADER_READ</t>
        </is>
      </c>
      <c r="I4" s="48" t="inlineStr">
        <is>
          <t>• יצירת עץ מוצר
• תחזוקת עץ מוצר
• קריאת כותרת עץ מוצר</t>
        </is>
      </c>
      <c r="J4" s="42" t="inlineStr">
        <is>
          <t>• RCSBI010</t>
        </is>
      </c>
      <c r="K4" s="48" t="inlineStr">
        <is>
          <t>• פיצוץ עץ מוצר רב-רמתי</t>
        </is>
      </c>
      <c r="L4" s="49" t="inlineStr">
        <is>
          <t>ללא שינוי (תואם)</t>
        </is>
      </c>
      <c r="M4" s="49" t="inlineStr">
        <is>
          <t>STKO (זהה)</t>
        </is>
      </c>
      <c r="N4" s="49" t="inlineStr">
        <is>
          <t>CS01-03 / IB01; Fiori</t>
        </is>
      </c>
      <c r="O4" s="43" t="inlineStr">
        <is>
          <t>Manage Bills of Material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STLTY</t>
        </is>
      </c>
      <c r="E5" s="53" t="inlineStr">
        <is>
          <t>BOM category (E/T/M)</t>
        </is>
      </c>
      <c r="F5" s="54" t="inlineStr">
        <is>
          <t>קטגוריית BOM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BMENG</t>
        </is>
      </c>
      <c r="E7" s="53" t="inlineStr">
        <is>
          <t>Base quantity</t>
        </is>
      </c>
      <c r="F7" s="54" t="inlineStr">
        <is>
          <t>כמות בסיס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IB02/CS02; CS11, CS15</t>
        </is>
      </c>
      <c r="C11" s="61" t="inlineStr">
        <is>
          <t>STPO</t>
        </is>
      </c>
      <c r="D11" s="52" t="inlineStr">
        <is>
          <t>STLNR</t>
        </is>
      </c>
      <c r="E11" s="53" t="inlineStr">
        <is>
          <t>BOM number</t>
        </is>
      </c>
      <c r="F11" s="54" t="inlineStr">
        <is>
          <t>מספר עץ מוצר</t>
        </is>
      </c>
      <c r="G11" s="62" t="inlineStr">
        <is>
          <t>PK</t>
        </is>
      </c>
      <c r="H11" s="60" t="inlineStr">
        <is>
          <t>• CSAP_BOM_ITEM_MAINTAIN
• CS_BOM_EXPL_MAT_RC1</t>
        </is>
      </c>
      <c r="I11" s="63" t="inlineStr">
        <is>
          <t>• תחזוקת פריטי עץ מוצר
• פיצוץ עץ מוצר לחומר</t>
        </is>
      </c>
      <c r="J11" s="60" t="inlineStr">
        <is>
          <t>• RCSBI010
• CS_BT</t>
        </is>
      </c>
      <c r="K11" s="63" t="inlineStr">
        <is>
          <t>• פיצוץ רב-רמתי
• דוח Where-Used לרכיב</t>
        </is>
      </c>
      <c r="L11" s="64" t="inlineStr">
        <is>
          <t>ללא שינוי (תואם)</t>
        </is>
      </c>
      <c r="M11" s="64" t="inlineStr">
        <is>
          <t>STPO (זהה)</t>
        </is>
      </c>
      <c r="N11" s="64" t="inlineStr">
        <is>
          <t>CS0*; Fiori</t>
        </is>
      </c>
      <c r="O11" s="65" t="inlineStr">
        <is>
          <t>Manage Bills of Material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IDNRK</t>
        </is>
      </c>
      <c r="E13" s="53" t="inlineStr">
        <is>
          <t>Component (BOM item material)</t>
        </is>
      </c>
      <c r="F13" s="54" t="inlineStr">
        <is>
          <t>רכיב / חומר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POSTP</t>
        </is>
      </c>
      <c r="E15" s="53" t="inlineStr">
        <is>
          <t>Item category</t>
        </is>
      </c>
      <c r="F15" s="54" t="inlineStr">
        <is>
          <t>סוג פריט</t>
        </is>
      </c>
      <c r="G15" s="55" t="inlineStr">
        <is>
          <t>-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7" t="inlineStr">
        <is>
          <t>PK/FK</t>
        </is>
      </c>
      <c r="H18" s="42" t="inlineStr">
        <is>
          <t>• CSAP_MAT_BOM_READ</t>
        </is>
      </c>
      <c r="I18" s="48" t="inlineStr">
        <is>
          <t>• קריאת קישור חומר-BOM</t>
        </is>
      </c>
      <c r="J18" s="42" t="inlineStr">
        <is>
          <t>• RCSBI010</t>
        </is>
      </c>
      <c r="K18" s="48" t="inlineStr">
        <is>
          <t>• פיצוץ עץ מוצר לחומר</t>
        </is>
      </c>
      <c r="L18" s="49" t="inlineStr">
        <is>
          <t>ללא שינוי (תואם)</t>
        </is>
      </c>
      <c r="M18" s="49" t="inlineStr">
        <is>
          <t>MAST (זהה)</t>
        </is>
      </c>
      <c r="N18" s="49" t="inlineStr">
        <is>
          <t>CS0*; Fiori</t>
        </is>
      </c>
      <c r="O18" s="43" t="inlineStr">
        <is>
          <t>Manage Bills of Material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WERKS</t>
        </is>
      </c>
      <c r="E19" s="53" t="inlineStr">
        <is>
          <t>Plant</t>
        </is>
      </c>
      <c r="F19" s="54" t="inlineStr">
        <is>
          <t>מפעל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47" t="inlineStr">
        <is>
          <t>PK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STLNR</t>
        </is>
      </c>
      <c r="E21" s="53" t="inlineStr">
        <is>
          <t>BOM number</t>
        </is>
      </c>
      <c r="F21" s="54" t="inlineStr">
        <is>
          <t>מספר עץ מוצר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8" t="n"/>
      <c r="C22" s="58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6" t="inlineStr">
        <is>
          <t>-</t>
        </is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0" customHeight="1">
      <c r="A25" s="50" t="n">
        <v>16</v>
      </c>
      <c r="B25" s="60" t="inlineStr">
        <is>
          <t>IB01; IB02/IB03</t>
        </is>
      </c>
      <c r="C25" s="61" t="inlineStr">
        <is>
          <t>EQST</t>
        </is>
      </c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62" t="inlineStr">
        <is>
          <t>PK/FK</t>
        </is>
      </c>
      <c r="H25" s="60" t="inlineStr">
        <is>
          <t>• CS_BOM_EXPL_EQU_RC1</t>
        </is>
      </c>
      <c r="I25" s="63" t="inlineStr">
        <is>
          <t>• פיצוץ עץ מוצר של ציוד</t>
        </is>
      </c>
      <c r="J25" s="60" t="inlineStr">
        <is>
          <t>• RCSBI010</t>
        </is>
      </c>
      <c r="K25" s="63" t="inlineStr">
        <is>
          <t>• פיצוץ עץ מוצר של ציוד</t>
        </is>
      </c>
      <c r="L25" s="64" t="inlineStr">
        <is>
          <t>ללא שינוי (תואם)</t>
        </is>
      </c>
      <c r="M25" s="64" t="inlineStr">
        <is>
          <t>EQST (זהה)</t>
        </is>
      </c>
      <c r="N25" s="64" t="inlineStr">
        <is>
          <t>IB01-03; Fiori</t>
        </is>
      </c>
      <c r="O25" s="65" t="inlineStr">
        <is>
          <t>Manage Bills of Material (אמת ID)</t>
        </is>
      </c>
      <c r="P25" s="64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1" t="n"/>
      <c r="C26" s="51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7" t="inlineStr">
        <is>
          <t>FK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STLAL</t>
        </is>
      </c>
      <c r="E27" s="53" t="inlineStr">
        <is>
          <t>Alternative BOM</t>
        </is>
      </c>
      <c r="F27" s="54" t="inlineStr">
        <is>
          <t>חלופה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0" customHeight="1">
      <c r="A31" s="50" t="n">
        <v>20</v>
      </c>
      <c r="B31" s="60" t="inlineStr">
        <is>
          <t>IB11; IB12/IB13</t>
        </is>
      </c>
      <c r="C31" s="61" t="inlineStr">
        <is>
          <t>TPST</t>
        </is>
      </c>
      <c r="D31" s="52" t="inlineStr">
        <is>
          <t>TPLNR</t>
        </is>
      </c>
      <c r="E31" s="53" t="inlineStr">
        <is>
          <t>Functional location</t>
        </is>
      </c>
      <c r="F31" s="54" t="inlineStr">
        <is>
          <t>מיקום פונקציונלי</t>
        </is>
      </c>
      <c r="G31" s="62" t="inlineStr">
        <is>
          <t>PK/FK</t>
        </is>
      </c>
      <c r="H31" s="60" t="inlineStr">
        <is>
          <t>• CS_BOM_EXPL_FLO_RC1</t>
        </is>
      </c>
      <c r="I31" s="63" t="inlineStr">
        <is>
          <t>• פיצוץ עץ מוצר של מיקום</t>
        </is>
      </c>
      <c r="J31" s="60" t="inlineStr">
        <is>
          <t>• RCSBI020</t>
        </is>
      </c>
      <c r="K31" s="63" t="inlineStr">
        <is>
          <t>• פיצוץ עצי מוצר של מיקומים</t>
        </is>
      </c>
      <c r="L31" s="64" t="inlineStr">
        <is>
          <t>ללא שינוי (תואם)</t>
        </is>
      </c>
      <c r="M31" s="64" t="inlineStr">
        <is>
          <t>TPST (זהה)</t>
        </is>
      </c>
      <c r="N31" s="64" t="inlineStr">
        <is>
          <t>IB11-13; Fiori</t>
        </is>
      </c>
      <c r="O31" s="65" t="inlineStr">
        <is>
          <t>Manage Bills of Material (אמת ID)</t>
        </is>
      </c>
      <c r="P31" s="64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1" t="n"/>
      <c r="C32" s="51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7" t="inlineStr">
        <is>
          <t>FK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1" t="n"/>
      <c r="C33" s="51" t="n"/>
      <c r="D33" s="52" t="inlineStr">
        <is>
          <t>STLAL</t>
        </is>
      </c>
      <c r="E33" s="53" t="inlineStr">
        <is>
          <t>Alternative BOM</t>
        </is>
      </c>
      <c r="F33" s="54" t="inlineStr">
        <is>
          <t>חלופה</t>
        </is>
      </c>
      <c r="G33" s="62" t="inlineStr">
        <is>
          <t>PK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8" t="n"/>
      <c r="C34" s="58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6" t="inlineStr">
        <is>
          <t>-</t>
        </is>
      </c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66" t="inlineStr">
        <is>
          <t>סוג (Type)</t>
        </is>
      </c>
      <c r="B38" s="4" t="n"/>
      <c r="C38" s="66" t="inlineStr">
        <is>
          <t>קוד / שם טכני (Code)</t>
        </is>
      </c>
      <c r="D38" s="4" t="n"/>
      <c r="E38" s="66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User Exit (SMOD)</t>
        </is>
      </c>
      <c r="B39" s="4" t="n"/>
      <c r="C39" s="68" t="inlineStr">
        <is>
          <t>PCSD0001</t>
        </is>
      </c>
      <c r="D39" s="4" t="n"/>
      <c r="E39" s="69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User Exit (SMOD)</t>
        </is>
      </c>
      <c r="B40" s="4" t="n"/>
      <c r="C40" s="71" t="inlineStr">
        <is>
          <t>PCSD0002</t>
        </is>
      </c>
      <c r="D40" s="4" t="n"/>
      <c r="E40" s="72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BAdI (SE18)</t>
        </is>
      </c>
      <c r="B41" s="4" t="n"/>
      <c r="C41" s="68" t="inlineStr">
        <is>
          <t>BOM_UPDATE</t>
        </is>
      </c>
      <c r="D41" s="4" t="n"/>
      <c r="E41" s="69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BAdI (SE18)</t>
        </is>
      </c>
      <c r="B42" s="4" t="n"/>
      <c r="C42" s="71" t="inlineStr">
        <is>
          <t>BADI_EAM_TECHNICAL_OBJECT</t>
        </is>
      </c>
      <c r="D42" s="4" t="n"/>
      <c r="E42" s="72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ארכיטקטורה ECC↔S/4</t>
        </is>
      </c>
      <c r="B43" s="4" t="n"/>
      <c r="C43" s="68" t="inlineStr">
        <is>
          <t>—</t>
        </is>
      </c>
      <c r="D43" s="4" t="n"/>
      <c r="E43" s="69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ארכיטקטורה ECC↔S/4</t>
        </is>
      </c>
      <c r="B44" s="4" t="n"/>
      <c r="C44" s="71" t="inlineStr">
        <is>
          <t>—</t>
        </is>
      </c>
      <c r="D44" s="4" t="n"/>
      <c r="E44" s="72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</sheetData>
  <mergeCells count="84">
    <mergeCell ref="E38:P38"/>
    <mergeCell ref="A17:P17"/>
    <mergeCell ref="C11:C15"/>
    <mergeCell ref="H25:H28"/>
    <mergeCell ref="E40:P40"/>
    <mergeCell ref="P18:P22"/>
    <mergeCell ref="A41:B41"/>
    <mergeCell ref="C41:D41"/>
    <mergeCell ref="B4:B8"/>
    <mergeCell ref="A30:P30"/>
    <mergeCell ref="C31:C34"/>
    <mergeCell ref="P4:P8"/>
    <mergeCell ref="K4:K8"/>
    <mergeCell ref="C43:D43"/>
    <mergeCell ref="H4:H8"/>
    <mergeCell ref="L31:L34"/>
    <mergeCell ref="A42:B42"/>
    <mergeCell ref="O18:O22"/>
    <mergeCell ref="E42:P42"/>
    <mergeCell ref="K25:K28"/>
    <mergeCell ref="E44:P44"/>
    <mergeCell ref="A39:B39"/>
    <mergeCell ref="J4:J8"/>
    <mergeCell ref="N25:N28"/>
    <mergeCell ref="P25:P28"/>
    <mergeCell ref="I4:I8"/>
    <mergeCell ref="A10:P10"/>
    <mergeCell ref="O11:O15"/>
    <mergeCell ref="M4:M8"/>
    <mergeCell ref="C40:D40"/>
    <mergeCell ref="H18:H22"/>
    <mergeCell ref="N11:N15"/>
    <mergeCell ref="J18:J22"/>
    <mergeCell ref="E41:P41"/>
    <mergeCell ref="L11:L15"/>
    <mergeCell ref="O31:O34"/>
    <mergeCell ref="E43:P43"/>
    <mergeCell ref="N31:N34"/>
    <mergeCell ref="B11:B15"/>
    <mergeCell ref="A37:P37"/>
    <mergeCell ref="P11:P15"/>
    <mergeCell ref="I18:I22"/>
    <mergeCell ref="P31:P34"/>
    <mergeCell ref="A1:B1"/>
    <mergeCell ref="M18:M22"/>
    <mergeCell ref="K31:K34"/>
    <mergeCell ref="M31:M34"/>
    <mergeCell ref="C44:D44"/>
    <mergeCell ref="M25:M28"/>
    <mergeCell ref="J25:J28"/>
    <mergeCell ref="C4:C8"/>
    <mergeCell ref="L25:L28"/>
    <mergeCell ref="B18:B22"/>
    <mergeCell ref="A38:B38"/>
    <mergeCell ref="C38:D38"/>
    <mergeCell ref="A43:B43"/>
    <mergeCell ref="A3:P3"/>
    <mergeCell ref="A40:B40"/>
    <mergeCell ref="O4:O8"/>
    <mergeCell ref="B31:B34"/>
    <mergeCell ref="L4:L8"/>
    <mergeCell ref="H11:H15"/>
    <mergeCell ref="C42:D42"/>
    <mergeCell ref="J11:J15"/>
    <mergeCell ref="I25:I28"/>
    <mergeCell ref="H31:H34"/>
    <mergeCell ref="C25:C28"/>
    <mergeCell ref="C1:P1"/>
    <mergeCell ref="O25:O28"/>
    <mergeCell ref="K18:K22"/>
    <mergeCell ref="A24:P24"/>
    <mergeCell ref="C18:C22"/>
    <mergeCell ref="I11:I15"/>
    <mergeCell ref="N4:N8"/>
    <mergeCell ref="C39:D39"/>
    <mergeCell ref="J31:J34"/>
    <mergeCell ref="I31:I34"/>
    <mergeCell ref="K11:K15"/>
    <mergeCell ref="M11:M15"/>
    <mergeCell ref="E39:P39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7" t="inlineStr">
        <is>
          <t>PK</t>
        </is>
      </c>
      <c r="H4" s="42" t="inlineStr">
        <is>
          <t>• BAPI_MEASUREMENTPOINT_CREATE
• BAPI_MEASUREMENTPOINT_GETLIST
• MEASUREMENT_POINT_READ</t>
        </is>
      </c>
      <c r="I4" s="48" t="inlineStr">
        <is>
          <t>• יצירת נקודת מדידה
• שליפת רשימת נקודות מדידה
• קריאת פרטי נקודת מדידה</t>
        </is>
      </c>
      <c r="J4" s="42" t="inlineStr">
        <is>
          <t>• RIMPOINT</t>
        </is>
      </c>
      <c r="K4" s="48" t="inlineStr">
        <is>
          <t>• רשימת נקודות מדידה ומונים</t>
        </is>
      </c>
      <c r="L4" s="49" t="inlineStr">
        <is>
          <t>ללא שינוי (תואם)</t>
        </is>
      </c>
      <c r="M4" s="49" t="inlineStr">
        <is>
          <t>IMPTT (זהה)</t>
        </is>
      </c>
      <c r="N4" s="49" t="inlineStr">
        <is>
          <t>IK01-03; Fiori</t>
        </is>
      </c>
      <c r="O4" s="43" t="inlineStr">
        <is>
          <t>Manage Measurement Documents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MPOBJ</t>
        </is>
      </c>
      <c r="E5" s="53" t="inlineStr">
        <is>
          <t>Measuring object (eq./FL)</t>
        </is>
      </c>
      <c r="F5" s="54" t="inlineStr">
        <is>
          <t>אובייקט מדידה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ATINN</t>
        </is>
      </c>
      <c r="E7" s="53" t="inlineStr">
        <is>
          <t>Internal characteristic</t>
        </is>
      </c>
      <c r="F7" s="54" t="inlineStr">
        <is>
          <t>מאפיין סיווג פנימי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DECIM</t>
        </is>
      </c>
      <c r="E9" s="53" t="inlineStr">
        <is>
          <t>Decimal places</t>
        </is>
      </c>
      <c r="F9" s="54" t="inlineStr">
        <is>
          <t>ספרות עשרוניות</t>
        </is>
      </c>
      <c r="G9" s="55" t="inlineStr">
        <is>
          <t>-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7" t="inlineStr">
        <is>
          <t>PK</t>
        </is>
      </c>
      <c r="H12" s="42" t="inlineStr">
        <is>
          <t>• BAPI_MEASUREMENTDOCUM_CREATE
• BAPI_MEASUREMENTDOCUM_CREATEM
• MEASUREM_DOCUM_RFC_SINGLE_001</t>
        </is>
      </c>
      <c r="I12" s="48" t="inlineStr">
        <is>
          <t>• יצירת מסמך מדידה
• יצירת מסמכי מדידה מרובים
• קליטת קריאה בודדת RFC</t>
        </is>
      </c>
      <c r="J12" s="42" t="inlineStr">
        <is>
          <t>• RISTRA20</t>
        </is>
      </c>
      <c r="K12" s="48" t="inlineStr">
        <is>
          <t>• ניטור מועדים מבוסס מונה (IP30)</t>
        </is>
      </c>
      <c r="L12" s="49" t="inlineStr">
        <is>
          <t>ללא שינוי (תואם)</t>
        </is>
      </c>
      <c r="M12" s="49" t="inlineStr">
        <is>
          <t>IMRG (זהה)</t>
        </is>
      </c>
      <c r="N12" s="49" t="inlineStr">
        <is>
          <t>IK11-13; Fiori</t>
        </is>
      </c>
      <c r="O12" s="43" t="inlineStr">
        <is>
          <t>Enter Measurement Readings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POINT</t>
        </is>
      </c>
      <c r="E13" s="53" t="inlineStr">
        <is>
          <t>Measuring point</t>
        </is>
      </c>
      <c r="F13" s="54" t="inlineStr">
        <is>
          <t>נקודת מדידה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READG</t>
        </is>
      </c>
      <c r="E15" s="53" t="inlineStr">
        <is>
          <t>Counter reading</t>
        </is>
      </c>
      <c r="F15" s="54" t="inlineStr">
        <is>
          <t>קריאת מונה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CDIFF</t>
        </is>
      </c>
      <c r="E17" s="53" t="inlineStr">
        <is>
          <t>Counter difference</t>
        </is>
      </c>
      <c r="F17" s="54" t="inlineStr">
        <is>
          <t>הפרש מונה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66" t="inlineStr">
        <is>
          <t>סוג (Type)</t>
        </is>
      </c>
      <c r="B21" s="4" t="n"/>
      <c r="C21" s="66" t="inlineStr">
        <is>
          <t>קוד / שם טכני (Code)</t>
        </is>
      </c>
      <c r="D21" s="4" t="n"/>
      <c r="E21" s="66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4" customHeight="1">
      <c r="A22" s="70" t="inlineStr">
        <is>
          <t>User Exit (SMOD)</t>
        </is>
      </c>
      <c r="B22" s="4" t="n"/>
      <c r="C22" s="71" t="inlineStr">
        <is>
          <t>IMRC0001</t>
        </is>
      </c>
      <c r="D22" s="4" t="n"/>
      <c r="E22" s="72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67" t="inlineStr">
        <is>
          <t>User Exit (SMOD)</t>
        </is>
      </c>
      <c r="B23" s="4" t="n"/>
      <c r="C23" s="68" t="inlineStr">
        <is>
          <t>IMRC0002</t>
        </is>
      </c>
      <c r="D23" s="4" t="n"/>
      <c r="E23" s="69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70" t="inlineStr">
        <is>
          <t>BAdI (SE18)</t>
        </is>
      </c>
      <c r="B24" s="4" t="n"/>
      <c r="C24" s="71" t="inlineStr">
        <is>
          <t>BADI_EAM_MEASPOINT</t>
        </is>
      </c>
      <c r="D24" s="4" t="n"/>
      <c r="E24" s="72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67" t="inlineStr">
        <is>
          <t>ארכיטקטורה ECC↔S/4</t>
        </is>
      </c>
      <c r="B25" s="4" t="n"/>
      <c r="C25" s="68" t="inlineStr">
        <is>
          <t>—</t>
        </is>
      </c>
      <c r="D25" s="4" t="n"/>
      <c r="E25" s="69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ארכיטקטורה ECC↔S/4</t>
        </is>
      </c>
      <c r="B26" s="4" t="n"/>
      <c r="C26" s="71" t="inlineStr">
        <is>
          <t>—</t>
        </is>
      </c>
      <c r="D26" s="4" t="n"/>
      <c r="E26" s="72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</sheetData>
  <mergeCells count="45">
    <mergeCell ref="M4:M9"/>
    <mergeCell ref="B4:B9"/>
    <mergeCell ref="A24:B24"/>
    <mergeCell ref="C24:D24"/>
    <mergeCell ref="H4:H9"/>
    <mergeCell ref="N4:N9"/>
    <mergeCell ref="P4:P9"/>
    <mergeCell ref="A1:B1"/>
    <mergeCell ref="A20:P20"/>
    <mergeCell ref="C26:D26"/>
    <mergeCell ref="C4:C9"/>
    <mergeCell ref="B12:B17"/>
    <mergeCell ref="A25:B25"/>
    <mergeCell ref="L12:L17"/>
    <mergeCell ref="C25:D25"/>
    <mergeCell ref="O4:O9"/>
    <mergeCell ref="N12:N17"/>
    <mergeCell ref="C1:P1"/>
    <mergeCell ref="C22:D22"/>
    <mergeCell ref="E26:P26"/>
    <mergeCell ref="A11:P11"/>
    <mergeCell ref="A26:B26"/>
    <mergeCell ref="A21:B21"/>
    <mergeCell ref="C21:D21"/>
    <mergeCell ref="C12:C17"/>
    <mergeCell ref="J4:J9"/>
    <mergeCell ref="I12:I17"/>
    <mergeCell ref="E25:P25"/>
    <mergeCell ref="L4:L9"/>
    <mergeCell ref="K12:K17"/>
    <mergeCell ref="M12:M17"/>
    <mergeCell ref="O12:O17"/>
    <mergeCell ref="E22:P22"/>
    <mergeCell ref="A23:B23"/>
    <mergeCell ref="C23:D23"/>
    <mergeCell ref="E21:P21"/>
    <mergeCell ref="A22:B22"/>
    <mergeCell ref="E24:P24"/>
    <mergeCell ref="H12:H17"/>
    <mergeCell ref="I4:I9"/>
    <mergeCell ref="J12:J17"/>
    <mergeCell ref="P12:P17"/>
    <mergeCell ref="E23:P23"/>
    <mergeCell ref="A3:P3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7" t="inlineStr">
        <is>
          <t>PK</t>
        </is>
      </c>
      <c r="H4" s="42" t="inlineStr">
        <is>
          <t>• QPK1_CODE_TEXT_READ
• QPK1_CATALOG_READ</t>
        </is>
      </c>
      <c r="I4" s="48" t="inlineStr">
        <is>
          <t>• קריאת קוד וטקסט
• קריאת קטלוג</t>
        </is>
      </c>
      <c r="J4" s="42" t="inlineStr">
        <is>
          <t>• RQEEAW01</t>
        </is>
      </c>
      <c r="K4" s="48" t="inlineStr">
        <is>
          <t>• סקירת מבנה קטלוגים</t>
        </is>
      </c>
      <c r="L4" s="49" t="inlineStr">
        <is>
          <t>ללא שינוי (Customizing/Master תואם)</t>
        </is>
      </c>
      <c r="M4" s="49" t="inlineStr">
        <is>
          <t>QPCD (זהה)</t>
        </is>
      </c>
      <c r="N4" s="49" t="inlineStr">
        <is>
          <t>QS41/QS51 (זהה)</t>
        </is>
      </c>
      <c r="O4" s="43" t="inlineStr">
        <is>
          <t>אין Fiori ייעודי (Customizing)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CODEGRUPPE</t>
        </is>
      </c>
      <c r="E5" s="53" t="inlineStr">
        <is>
          <t>Code group</t>
        </is>
      </c>
      <c r="F5" s="54" t="inlineStr">
        <is>
          <t>קבוצת קוד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VERSION</t>
        </is>
      </c>
      <c r="E7" s="53" t="inlineStr">
        <is>
          <t>Code version</t>
        </is>
      </c>
      <c r="F7" s="54" t="inlineStr">
        <is>
          <t>גרסת קוד</t>
        </is>
      </c>
      <c r="G7" s="62" t="inlineStr">
        <is>
          <t>PK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7" t="inlineStr">
        <is>
          <t>PK</t>
        </is>
      </c>
      <c r="H10" s="42" t="inlineStr">
        <is>
          <t>• QPK1_CODEGROUP_READ</t>
        </is>
      </c>
      <c r="I10" s="48" t="inlineStr">
        <is>
          <t>• קריאת קבוצת קוד</t>
        </is>
      </c>
      <c r="J10" s="42" t="inlineStr">
        <is>
          <t>• RQEEAW02</t>
        </is>
      </c>
      <c r="K10" s="48" t="inlineStr">
        <is>
          <t>• דוח קבוצות קוד וקודים</t>
        </is>
      </c>
      <c r="L10" s="49" t="inlineStr">
        <is>
          <t>ללא שינוי (תואם)</t>
        </is>
      </c>
      <c r="M10" s="49" t="inlineStr">
        <is>
          <t>QPGR (זהה)</t>
        </is>
      </c>
      <c r="N10" s="49" t="inlineStr">
        <is>
          <t>QS51 (זהה)</t>
        </is>
      </c>
      <c r="O10" s="43" t="inlineStr">
        <is>
          <t>אין Fiori ייעודי (Customizing)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CODEGRUPPE</t>
        </is>
      </c>
      <c r="E11" s="53" t="inlineStr">
        <is>
          <t>Code group</t>
        </is>
      </c>
      <c r="F11" s="54" t="inlineStr">
        <is>
          <t>קבוצת קוד</t>
        </is>
      </c>
      <c r="G11" s="62" t="inlineStr">
        <is>
          <t>PK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VERWMERKM</t>
        </is>
      </c>
      <c r="E13" s="53" t="inlineStr">
        <is>
          <t>Selection set usage</t>
        </is>
      </c>
      <c r="F13" s="54" t="inlineStr">
        <is>
          <t>שימוש בקבוצת בחירה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7" t="inlineStr">
        <is>
          <t>PK</t>
        </is>
      </c>
      <c r="H16" s="42" t="inlineStr">
        <is>
          <t>• CATALOG_PROFILE_READ</t>
        </is>
      </c>
      <c r="I16" s="48" t="inlineStr">
        <is>
          <t>• קריאת פרופיל קטלוג</t>
        </is>
      </c>
      <c r="J16" s="42" t="inlineStr">
        <is>
          <t>• RIPROFCAT</t>
        </is>
      </c>
      <c r="K16" s="48" t="inlineStr">
        <is>
          <t>• ניתוח פרופילי קטלוג ושיוכם</t>
        </is>
      </c>
      <c r="L16" s="49" t="inlineStr">
        <is>
          <t>ללא שינוי (Customizing תואם)</t>
        </is>
      </c>
      <c r="M16" s="49" t="inlineStr">
        <is>
          <t>T352B (זהה)</t>
        </is>
      </c>
      <c r="N16" s="49" t="inlineStr">
        <is>
          <t>SPRO (זהה)</t>
        </is>
      </c>
      <c r="O16" s="43" t="inlineStr">
        <is>
          <t>אין Fiori ייעודי (Customizing)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KATALOGART</t>
        </is>
      </c>
      <c r="E17" s="53" t="inlineStr">
        <is>
          <t>Catalog type</t>
        </is>
      </c>
      <c r="F17" s="54" t="inlineStr">
        <is>
          <t>סוג קטלוג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7" t="inlineStr">
        <is>
          <t>FK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AUSWMENGEN</t>
        </is>
      </c>
      <c r="E19" s="53" t="inlineStr">
        <is>
          <t>Selection set</t>
        </is>
      </c>
      <c r="F19" s="54" t="inlineStr">
        <is>
          <t>קבוצת בחירה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7" t="inlineStr">
        <is>
          <t>PK</t>
        </is>
      </c>
      <c r="H22" s="42" t="inlineStr">
        <is>
          <t>• T352_READ</t>
        </is>
      </c>
      <c r="I22" s="48" t="inlineStr">
        <is>
          <t>• קריאת פרופיל קטלוג</t>
        </is>
      </c>
      <c r="J22" s="42" t="inlineStr">
        <is>
          <t>• RIPROFCAT</t>
        </is>
      </c>
      <c r="K22" s="48" t="inlineStr">
        <is>
          <t>• ניתוח פרופילי קטלוג</t>
        </is>
      </c>
      <c r="L22" s="49" t="inlineStr">
        <is>
          <t>ללא שינוי (Customizing תואם)</t>
        </is>
      </c>
      <c r="M22" s="49" t="inlineStr">
        <is>
          <t>T352 (זהה)</t>
        </is>
      </c>
      <c r="N22" s="49" t="inlineStr">
        <is>
          <t>SPRO (זהה)</t>
        </is>
      </c>
      <c r="O22" s="43" t="inlineStr">
        <is>
          <t>אין Fiori ייעודי (Customizing)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HERKZ</t>
        </is>
      </c>
      <c r="E23" s="53" t="inlineStr">
        <is>
          <t>Origin indicator</t>
        </is>
      </c>
      <c r="F23" s="54" t="inlineStr">
        <is>
          <t>מחוון מקור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8" t="n"/>
      <c r="C24" s="58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66" t="inlineStr">
        <is>
          <t>סוג (Type)</t>
        </is>
      </c>
      <c r="B28" s="4" t="n"/>
      <c r="C28" s="66" t="inlineStr">
        <is>
          <t>קוד / שם טכני (Code)</t>
        </is>
      </c>
      <c r="D28" s="4" t="n"/>
      <c r="E28" s="66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User Exit (SMOD)</t>
        </is>
      </c>
      <c r="B29" s="4" t="n"/>
      <c r="C29" s="68" t="inlineStr">
        <is>
          <t>QQMA0001</t>
        </is>
      </c>
      <c r="D29" s="4" t="n"/>
      <c r="E29" s="69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70" t="inlineStr">
        <is>
          <t>BAdI (SE18)</t>
        </is>
      </c>
      <c r="B30" s="4" t="n"/>
      <c r="C30" s="71" t="inlineStr">
        <is>
          <t>BADI_CATALOG</t>
        </is>
      </c>
      <c r="D30" s="4" t="n"/>
      <c r="E30" s="72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ארכיטקטורה ECC↔S/4</t>
        </is>
      </c>
      <c r="B31" s="4" t="n"/>
      <c r="C31" s="68" t="inlineStr">
        <is>
          <t>—</t>
        </is>
      </c>
      <c r="D31" s="4" t="n"/>
      <c r="E31" s="69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ארכיטקטורה ECC↔S/4</t>
        </is>
      </c>
      <c r="B32" s="4" t="n"/>
      <c r="C32" s="71" t="inlineStr">
        <is>
          <t>—</t>
        </is>
      </c>
      <c r="D32" s="4" t="n"/>
      <c r="E32" s="72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</sheetData>
  <mergeCells count="66">
    <mergeCell ref="A31:B31"/>
    <mergeCell ref="H22:H24"/>
    <mergeCell ref="A30:B30"/>
    <mergeCell ref="H4:H7"/>
    <mergeCell ref="N4:N7"/>
    <mergeCell ref="C30:D30"/>
    <mergeCell ref="E28:P28"/>
    <mergeCell ref="P4:P7"/>
    <mergeCell ref="L16:L19"/>
    <mergeCell ref="H10:H13"/>
    <mergeCell ref="E31:P31"/>
    <mergeCell ref="N16:N19"/>
    <mergeCell ref="A1:B1"/>
    <mergeCell ref="J10:J13"/>
    <mergeCell ref="I16:I19"/>
    <mergeCell ref="C22:C24"/>
    <mergeCell ref="J22:J24"/>
    <mergeCell ref="L22:L24"/>
    <mergeCell ref="C10:C13"/>
    <mergeCell ref="M10:M13"/>
    <mergeCell ref="E30:P30"/>
    <mergeCell ref="C4:C7"/>
    <mergeCell ref="C29:D29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B22:B24"/>
    <mergeCell ref="L10:L13"/>
    <mergeCell ref="J4:J7"/>
    <mergeCell ref="E32:P32"/>
    <mergeCell ref="L4:L7"/>
    <mergeCell ref="H16:H19"/>
    <mergeCell ref="A32:B32"/>
    <mergeCell ref="J16:J19"/>
    <mergeCell ref="N10:N13"/>
    <mergeCell ref="N22:N24"/>
    <mergeCell ref="P22:P24"/>
    <mergeCell ref="I10:I13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A21:P21"/>
    <mergeCell ref="A27:P27"/>
    <mergeCell ref="C32:D32"/>
    <mergeCell ref="A28:B28"/>
    <mergeCell ref="C28:D28"/>
    <mergeCell ref="A3:P3"/>
    <mergeCell ref="K16:K19"/>
    <mergeCell ref="B16:B19"/>
    <mergeCell ref="O10:O13"/>
    <mergeCell ref="O22:O24"/>
    <mergeCell ref="P10:P13"/>
    <mergeCell ref="E29:P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BAPI_ALM_NOTIF_CREATE
• BAPI_ALM_NOTIF_DATA_ADD
• BAPI_ALM_NOTIF_SAVE
• BAPI_ALM_NOTIF_CLOSE
• BAPI_ALM_NOTIF_GET_DETAIL</t>
        </is>
      </c>
      <c r="I4" s="48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J4" s="42" t="inlineStr">
        <is>
          <t>• RIQMEL20
• RIQMEL00</t>
        </is>
      </c>
      <c r="K4" s="48" t="inlineStr">
        <is>
          <t>• רשימת הודעות (IW28/29)
• ניתוח דפוסי כשל</t>
        </is>
      </c>
      <c r="L4" s="49" t="inlineStr">
        <is>
          <t>ללא שינוי במודל הנתונים (תואם)</t>
        </is>
      </c>
      <c r="M4" s="49" t="inlineStr">
        <is>
          <t>QMEL (זהה)</t>
        </is>
      </c>
      <c r="N4" s="49" t="inlineStr">
        <is>
          <t>IW21-23 נתמכים; אסטרטגי: Fiori</t>
        </is>
      </c>
      <c r="O4" s="43" t="inlineStr">
        <is>
          <t>Report Malfunction (F2215)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 (M1/M2/M3)</t>
        </is>
      </c>
      <c r="F5" s="54" t="inlineStr">
        <is>
          <t>סוג הודעה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EQUNR</t>
        </is>
      </c>
      <c r="E7" s="53" t="inlineStr">
        <is>
          <t>Reference equipment</t>
        </is>
      </c>
      <c r="F7" s="54" t="inlineStr">
        <is>
          <t>ציוד מתייחס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7" t="inlineStr">
        <is>
          <t>PK/FK</t>
        </is>
      </c>
      <c r="H12" s="42" t="inlineStr">
        <is>
          <t>• BAPI_ALM_NOTIF_DATA_ADD
• NOTIF_ITEM_READ</t>
        </is>
      </c>
      <c r="I12" s="48" t="inlineStr">
        <is>
          <t>• הוספת פריט ליקוי
• קריאת פריטי הודעה</t>
        </is>
      </c>
      <c r="J12" s="42" t="inlineStr">
        <is>
          <t>• RIQMEL00</t>
        </is>
      </c>
      <c r="K12" s="48" t="inlineStr">
        <is>
          <t>• ניתוח פריטי ליקוי ודפוסי כשל</t>
        </is>
      </c>
      <c r="L12" s="49" t="inlineStr">
        <is>
          <t>ללא שינוי (תואם)</t>
        </is>
      </c>
      <c r="M12" s="49" t="inlineStr">
        <is>
          <t>QMFE (זהה)</t>
        </is>
      </c>
      <c r="N12" s="49" t="inlineStr">
        <is>
          <t>IW22; Fiori</t>
        </is>
      </c>
      <c r="O12" s="43" t="inlineStr">
        <is>
          <t>Find Maintenance Notification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FENUM</t>
        </is>
      </c>
      <c r="E13" s="53" t="inlineStr">
        <is>
          <t>Item number</t>
        </is>
      </c>
      <c r="F13" s="54" t="inlineStr">
        <is>
          <t>מספר פריט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FECOD</t>
        </is>
      </c>
      <c r="E15" s="53" t="inlineStr">
        <is>
          <t>Damage code</t>
        </is>
      </c>
      <c r="F15" s="54" t="inlineStr">
        <is>
          <t>קוד ליקוי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OTEIL</t>
        </is>
      </c>
      <c r="E17" s="53" t="inlineStr">
        <is>
          <t>Object part code</t>
        </is>
      </c>
      <c r="F17" s="54" t="inlineStr">
        <is>
          <t>קוד אובייקט חלקי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7" t="inlineStr">
        <is>
          <t>PK/FK</t>
        </is>
      </c>
      <c r="H20" s="42" t="inlineStr">
        <is>
          <t>• NOTIF_CAUSE_READ</t>
        </is>
      </c>
      <c r="I20" s="48" t="inlineStr">
        <is>
          <t>• קריאת סיבות הליקוי</t>
        </is>
      </c>
      <c r="J20" s="42" t="inlineStr">
        <is>
          <t>• RIQMUR00</t>
        </is>
      </c>
      <c r="K20" s="48" t="inlineStr">
        <is>
          <t>• דוח סיבות לניתוח שורש (RCA)</t>
        </is>
      </c>
      <c r="L20" s="49" t="inlineStr">
        <is>
          <t>ללא שינוי (תואם)</t>
        </is>
      </c>
      <c r="M20" s="49" t="inlineStr">
        <is>
          <t>QMUR (זהה)</t>
        </is>
      </c>
      <c r="N20" s="49" t="inlineStr">
        <is>
          <t>IW22; Fiori</t>
        </is>
      </c>
      <c r="O20" s="43" t="inlineStr">
        <is>
          <t>Find Maintenance Notification (אמת ID)</t>
        </is>
      </c>
      <c r="P20" s="49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50" t="n">
        <v>14</v>
      </c>
      <c r="B21" s="51" t="n"/>
      <c r="C21" s="51" t="n"/>
      <c r="D21" s="52" t="inlineStr">
        <is>
          <t>FENUM</t>
        </is>
      </c>
      <c r="E21" s="53" t="inlineStr">
        <is>
          <t>Item number</t>
        </is>
      </c>
      <c r="F21" s="54" t="inlineStr">
        <is>
          <t>מספר פריט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47" t="inlineStr">
        <is>
          <t>PK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URGRP</t>
        </is>
      </c>
      <c r="E23" s="53" t="inlineStr">
        <is>
          <t>Cause code group</t>
        </is>
      </c>
      <c r="F23" s="54" t="inlineStr">
        <is>
          <t>קבוצת קוד סיבה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IW22; IW67</t>
        </is>
      </c>
      <c r="C27" s="61" t="inlineStr">
        <is>
          <t>QMMA</t>
        </is>
      </c>
      <c r="D27" s="52" t="inlineStr">
        <is>
          <t>QMNUM</t>
        </is>
      </c>
      <c r="E27" s="53" t="inlineStr">
        <is>
          <t>Notification number</t>
        </is>
      </c>
      <c r="F27" s="54" t="inlineStr">
        <is>
          <t>מספר הודעה</t>
        </is>
      </c>
      <c r="G27" s="62" t="inlineStr">
        <is>
          <t>PK/FK</t>
        </is>
      </c>
      <c r="H27" s="60" t="inlineStr">
        <is>
          <t>• NOTIF_ACTIVITY_READ</t>
        </is>
      </c>
      <c r="I27" s="63" t="inlineStr">
        <is>
          <t>• קריאת פעילויות שבוצעו</t>
        </is>
      </c>
      <c r="J27" s="60" t="inlineStr">
        <is>
          <t>• RIQMEL00</t>
        </is>
      </c>
      <c r="K27" s="63" t="inlineStr">
        <is>
          <t>• ניתוח פעילויות הודעה</t>
        </is>
      </c>
      <c r="L27" s="64" t="inlineStr">
        <is>
          <t>ללא שינוי (תואם)</t>
        </is>
      </c>
      <c r="M27" s="64" t="inlineStr">
        <is>
          <t>QMMA (זהה)</t>
        </is>
      </c>
      <c r="N27" s="64" t="inlineStr">
        <is>
          <t>IW22; Fiori</t>
        </is>
      </c>
      <c r="O27" s="65" t="inlineStr">
        <is>
          <t>Report Malfunction (F2215)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47" t="inlineStr">
        <is>
          <t>PK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MNGRP</t>
        </is>
      </c>
      <c r="E29" s="53" t="inlineStr">
        <is>
          <t>Activity code group</t>
        </is>
      </c>
      <c r="F29" s="54" t="inlineStr">
        <is>
          <t>קבוצת קוד פעילות</t>
        </is>
      </c>
      <c r="G29" s="55" t="inlineStr">
        <is>
          <t>-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8" t="n"/>
      <c r="C30" s="58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6" t="inlineStr">
        <is>
          <t>-</t>
        </is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0" customHeight="1">
      <c r="A33" s="50" t="n">
        <v>22</v>
      </c>
      <c r="B33" s="60" t="inlineStr">
        <is>
          <t>IW22; IW66</t>
        </is>
      </c>
      <c r="C33" s="61" t="inlineStr">
        <is>
          <t>QMSM</t>
        </is>
      </c>
      <c r="D33" s="52" t="inlineStr">
        <is>
          <t>QMNUM</t>
        </is>
      </c>
      <c r="E33" s="53" t="inlineStr">
        <is>
          <t>Notification number</t>
        </is>
      </c>
      <c r="F33" s="54" t="inlineStr">
        <is>
          <t>מספר הודעה</t>
        </is>
      </c>
      <c r="G33" s="62" t="inlineStr">
        <is>
          <t>PK/FK</t>
        </is>
      </c>
      <c r="H33" s="60" t="inlineStr">
        <is>
          <t>• NOTIF_TASK_READ
• BAPI_ALM_NOTIF_TASK_ADD</t>
        </is>
      </c>
      <c r="I33" s="63" t="inlineStr">
        <is>
          <t>• קריאת משימות
• הוספת משימה</t>
        </is>
      </c>
      <c r="J33" s="60" t="inlineStr">
        <is>
          <t>• RIQMEL20</t>
        </is>
      </c>
      <c r="K33" s="63" t="inlineStr">
        <is>
          <t>• מעקב משימות פתוחות</t>
        </is>
      </c>
      <c r="L33" s="64" t="inlineStr">
        <is>
          <t>ללא שינוי (תואם)</t>
        </is>
      </c>
      <c r="M33" s="64" t="inlineStr">
        <is>
          <t>QMSM (זהה)</t>
        </is>
      </c>
      <c r="N33" s="64" t="inlineStr">
        <is>
          <t>IW22; Fiori</t>
        </is>
      </c>
      <c r="O33" s="65" t="inlineStr">
        <is>
          <t>Find Maintenance Notification (אמת ID)</t>
        </is>
      </c>
      <c r="P33" s="64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1" t="n"/>
      <c r="C34" s="51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47" t="inlineStr">
        <is>
          <t>PK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MNGRP</t>
        </is>
      </c>
      <c r="E35" s="53" t="inlineStr">
        <is>
          <t>Task code group</t>
        </is>
      </c>
      <c r="F35" s="54" t="inlineStr">
        <is>
          <t>קבוצת קוד משימה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PSTER</t>
        </is>
      </c>
      <c r="E37" s="53" t="inlineStr">
        <is>
          <t>Task planned completion</t>
        </is>
      </c>
      <c r="F37" s="54" t="inlineStr">
        <is>
          <t>מועד יעד למשימה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⚙ הרחבות טכניות ושינויי ארכיטקטורה (Technical Extensions: User Exits / BAdIs / ECC vs S/4HANA)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66" t="inlineStr">
        <is>
          <t>סוג (Type)</t>
        </is>
      </c>
      <c r="B41" s="4" t="n"/>
      <c r="C41" s="66" t="inlineStr">
        <is>
          <t>קוד / שם טכני (Code)</t>
        </is>
      </c>
      <c r="D41" s="4" t="n"/>
      <c r="E41" s="66" t="inlineStr">
        <is>
          <t>תיאור / הבדל (Hebrew)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User Exit (SMOD)</t>
        </is>
      </c>
      <c r="B42" s="4" t="n"/>
      <c r="C42" s="71" t="inlineStr">
        <is>
          <t>QQMA0014</t>
        </is>
      </c>
      <c r="D42" s="4" t="n"/>
      <c r="E42" s="72" t="inlineStr">
        <is>
          <t>בדיקת לקוח לפני שמירת הודעה (Check before save)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User Exit (SMOD)</t>
        </is>
      </c>
      <c r="B43" s="4" t="n"/>
      <c r="C43" s="68" t="inlineStr">
        <is>
          <t>QQMA0010</t>
        </is>
      </c>
      <c r="D43" s="4" t="n"/>
      <c r="E43" s="69" t="inlineStr">
        <is>
          <t>הרחבת שדות וברירות מחדל בכותרת ההודעה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User Exit (SMOD)</t>
        </is>
      </c>
      <c r="B44" s="4" t="n"/>
      <c r="C44" s="71" t="inlineStr">
        <is>
          <t>QQMA0025</t>
        </is>
      </c>
      <c r="D44" s="4" t="n"/>
      <c r="E44" s="72" t="inlineStr">
        <is>
          <t>הרחבה בעת השלמת/סגירת הודעה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67" t="inlineStr">
        <is>
          <t>BAdI (SE18)</t>
        </is>
      </c>
      <c r="B45" s="4" t="n"/>
      <c r="C45" s="68" t="inlineStr">
        <is>
          <t>NOTIF_EVENT_POST</t>
        </is>
      </c>
      <c r="D45" s="4" t="n"/>
      <c r="E45" s="69" t="inlineStr">
        <is>
          <t>BAdI לאירוע רישום/שמירת הודעה (לוגיקה לאחר שמירה)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70" t="inlineStr">
        <is>
          <t>BAdI (SE18)</t>
        </is>
      </c>
      <c r="B46" s="4" t="n"/>
      <c r="C46" s="71" t="inlineStr">
        <is>
          <t>NOTIF_EVENT_SAVE</t>
        </is>
      </c>
      <c r="D46" s="4" t="n"/>
      <c r="E46" s="72" t="inlineStr">
        <is>
          <t>BAdI לאירוע שמירת הודעה (בדיקות לפני commit)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ארכיטקטורה ECC↔S/4</t>
        </is>
      </c>
      <c r="B47" s="4" t="n"/>
      <c r="C47" s="68" t="inlineStr">
        <is>
          <t>—</t>
        </is>
      </c>
      <c r="D47" s="4" t="n"/>
      <c r="E47" s="69" t="inlineStr">
        <is>
          <t>טבלאות QMEL/QMFE/QMUR/QMMA/QMSM ללא שינוי; ניהול סטטוס זהה.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ארכיטקטורה ECC↔S/4</t>
        </is>
      </c>
      <c r="B48" s="4" t="n"/>
      <c r="C48" s="71" t="inlineStr">
        <is>
          <t>—</t>
        </is>
      </c>
      <c r="D48" s="4" t="n"/>
      <c r="E48" s="72" t="inlineStr">
        <is>
          <t>ב-S/4 'Report Malfunction' (F2215) ו-Maintenance Request כ-UX אסטרטגי; IW21-23 נתמכים בתאימות.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</sheetData>
  <mergeCells count="87">
    <mergeCell ref="A19:P19"/>
    <mergeCell ref="J27:J30"/>
    <mergeCell ref="C4:C9"/>
    <mergeCell ref="A41:B41"/>
    <mergeCell ref="C41:D41"/>
    <mergeCell ref="O4:O9"/>
    <mergeCell ref="H33:H37"/>
    <mergeCell ref="J33:J37"/>
    <mergeCell ref="A11:P11"/>
    <mergeCell ref="K27:K30"/>
    <mergeCell ref="C43:D43"/>
    <mergeCell ref="M27:M30"/>
    <mergeCell ref="N20:N24"/>
    <mergeCell ref="A42:B42"/>
    <mergeCell ref="K33:K37"/>
    <mergeCell ref="K20:K24"/>
    <mergeCell ref="O27:O30"/>
    <mergeCell ref="M20:M24"/>
    <mergeCell ref="E42:P42"/>
    <mergeCell ref="H12:H17"/>
    <mergeCell ref="J12:J17"/>
    <mergeCell ref="A26:P26"/>
    <mergeCell ref="E44:P44"/>
    <mergeCell ref="A48:B48"/>
    <mergeCell ref="H4:H9"/>
    <mergeCell ref="A45:B45"/>
    <mergeCell ref="C45:D45"/>
    <mergeCell ref="M33:M37"/>
    <mergeCell ref="B27:B30"/>
    <mergeCell ref="P27:P30"/>
    <mergeCell ref="E46:P46"/>
    <mergeCell ref="C47:D47"/>
    <mergeCell ref="B33:B37"/>
    <mergeCell ref="A46:B46"/>
    <mergeCell ref="P33:P37"/>
    <mergeCell ref="P20:P24"/>
    <mergeCell ref="C12:C17"/>
    <mergeCell ref="E41:P41"/>
    <mergeCell ref="M12:M17"/>
    <mergeCell ref="O12:O17"/>
    <mergeCell ref="E47:P47"/>
    <mergeCell ref="E43:P43"/>
    <mergeCell ref="P12:P17"/>
    <mergeCell ref="I27:I30"/>
    <mergeCell ref="B4:B9"/>
    <mergeCell ref="A32:P32"/>
    <mergeCell ref="J20:J24"/>
    <mergeCell ref="N4:N9"/>
    <mergeCell ref="L20:L24"/>
    <mergeCell ref="P4:P9"/>
    <mergeCell ref="I33:I37"/>
    <mergeCell ref="A1:B1"/>
    <mergeCell ref="I20:I24"/>
    <mergeCell ref="A40:P40"/>
    <mergeCell ref="E45:P45"/>
    <mergeCell ref="C44:D44"/>
    <mergeCell ref="C46:D46"/>
    <mergeCell ref="I12:I17"/>
    <mergeCell ref="K12:K17"/>
    <mergeCell ref="C48:D48"/>
    <mergeCell ref="L27:L30"/>
    <mergeCell ref="N27:N30"/>
    <mergeCell ref="A43:B43"/>
    <mergeCell ref="I4:I9"/>
    <mergeCell ref="O20:O24"/>
    <mergeCell ref="L33:L37"/>
    <mergeCell ref="A3:P3"/>
    <mergeCell ref="N33:N37"/>
    <mergeCell ref="K4:K9"/>
    <mergeCell ref="M4:M9"/>
    <mergeCell ref="C42:D42"/>
    <mergeCell ref="B12:B17"/>
    <mergeCell ref="L12:L17"/>
    <mergeCell ref="N12:N17"/>
    <mergeCell ref="B20:B24"/>
    <mergeCell ref="C1:P1"/>
    <mergeCell ref="C27:C30"/>
    <mergeCell ref="J4:J9"/>
    <mergeCell ref="H20:H24"/>
    <mergeCell ref="L4:L9"/>
    <mergeCell ref="C33:C37"/>
    <mergeCell ref="A47:B47"/>
    <mergeCell ref="O33:O37"/>
    <mergeCell ref="H27:H30"/>
    <mergeCell ref="C20:C24"/>
    <mergeCell ref="A44:B44"/>
    <mergeCell ref="E48:P4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5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7" t="inlineStr">
        <is>
          <t>PK</t>
        </is>
      </c>
      <c r="H4" s="42" t="inlineStr">
        <is>
          <t>• BAPI_ALM_ORDER_MAINTAIN
• BAPI_ALM_ORDER_GET_DETAIL
• BAPI_ALM_ORDERHEAD_GET_LIST</t>
        </is>
      </c>
      <c r="I4" s="48" t="inlineStr">
        <is>
          <t>• יצירה/שינוי פק"ע (ממשק מרכזי)
• שליפת פרטי פק"ע
• שליפת רשימת פק"ע</t>
        </is>
      </c>
      <c r="J4" s="42" t="inlineStr">
        <is>
          <t>• RIAUFK20</t>
        </is>
      </c>
      <c r="K4" s="48" t="inlineStr">
        <is>
          <t>• רשימת פק"ע (IW38/39)</t>
        </is>
      </c>
      <c r="L4" s="49" t="inlineStr">
        <is>
          <t>מותאם - מודל נתונים פשוט יותר לפקודות</t>
        </is>
      </c>
      <c r="M4" s="49" t="inlineStr">
        <is>
          <t>AUFK (זהה) + סטטוס/עלות ב-ACDOCA</t>
        </is>
      </c>
      <c r="N4" s="49" t="inlineStr">
        <is>
          <t>IW31-33 נתמכים; אסטרטגי: Fiori</t>
        </is>
      </c>
      <c r="O4" s="43" t="inlineStr">
        <is>
          <t>Find Maintenance Order (F2393)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AUART</t>
        </is>
      </c>
      <c r="E5" s="53" t="inlineStr">
        <is>
          <t>Order type (PM01/02/03)</t>
        </is>
      </c>
      <c r="F5" s="54" t="inlineStr">
        <is>
          <t>סוג פק"ע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OBJNR</t>
        </is>
      </c>
      <c r="E7" s="53" t="inlineStr">
        <is>
          <t>Object number (status/CO)</t>
        </is>
      </c>
      <c r="F7" s="54" t="inlineStr">
        <is>
          <t>מפתח אובייקט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7" t="inlineStr">
        <is>
          <t>FK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IW32; IW37N</t>
        </is>
      </c>
      <c r="C11" s="61" t="inlineStr">
        <is>
          <t>AFKO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PK/FK</t>
        </is>
      </c>
      <c r="H11" s="60" t="inlineStr">
        <is>
          <t>• CO_ZF_ORDER_HEADER_READ</t>
        </is>
      </c>
      <c r="I11" s="63" t="inlineStr">
        <is>
          <t>• קריאת כותרת הפקודה</t>
        </is>
      </c>
      <c r="J11" s="60" t="inlineStr">
        <is>
          <t>• RIAUFK20</t>
        </is>
      </c>
      <c r="K11" s="63" t="inlineStr">
        <is>
          <t>• רשימת פק"ע</t>
        </is>
      </c>
      <c r="L11" s="64" t="inlineStr">
        <is>
          <t>מותאם (תואם עם פישוטי תזמון)</t>
        </is>
      </c>
      <c r="M11" s="64" t="inlineStr">
        <is>
          <t>AFKO (זהה)</t>
        </is>
      </c>
      <c r="N11" s="64" t="inlineStr">
        <is>
          <t>IW32; Fiori</t>
        </is>
      </c>
      <c r="O11" s="65" t="inlineStr">
        <is>
          <t>Create Maintenance Order (אמת ID)</t>
        </is>
      </c>
      <c r="P11" s="64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1" t="n"/>
      <c r="C12" s="51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GLTRP</t>
        </is>
      </c>
      <c r="E13" s="53" t="inlineStr">
        <is>
          <t>Basic finish date</t>
        </is>
      </c>
      <c r="F13" s="54" t="inlineStr">
        <is>
          <t>תאריך סיום בסיסי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PLNBEZ</t>
        </is>
      </c>
      <c r="E15" s="53" t="inlineStr">
        <is>
          <t>BOM/material reference</t>
        </is>
      </c>
      <c r="F15" s="54" t="inlineStr">
        <is>
          <t>הפניית עץ מוצר/חומר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AFVC  -  פעולות הפקודה (Operations - השם התקני; לא AFVG)  (Order operations (correct table name, not AFVG))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IW31/IW32/IW33; IW37N, CM01</t>
        </is>
      </c>
      <c r="C18" s="43" t="inlineStr">
        <is>
          <t>AFVC</t>
        </is>
      </c>
      <c r="D18" s="44" t="inlineStr">
        <is>
          <t>AUFPL</t>
        </is>
      </c>
      <c r="E18" s="45" t="inlineStr">
        <is>
          <t>Routing/operations plan no. - joins AFKO</t>
        </is>
      </c>
      <c r="F18" s="46" t="inlineStr">
        <is>
          <t>מספר תוכנית פעולות - מצטרף ל-AFKO</t>
        </is>
      </c>
      <c r="G18" s="47" t="inlineStr">
        <is>
          <t>PK/FK</t>
        </is>
      </c>
      <c r="H18" s="42" t="inlineStr">
        <is>
          <t>• BAPI_ALM_ORDER_MAINTAIN
• CO_ZF_OPERATIONS_READ</t>
        </is>
      </c>
      <c r="I18" s="48" t="inlineStr">
        <is>
          <t>• הוספת/שינוי פעולות בפק"ע (METHOD=OPERATION)
• קריאת פעולות הפקודה</t>
        </is>
      </c>
      <c r="J18" s="42" t="inlineStr">
        <is>
          <t>• RIAFVC00</t>
        </is>
      </c>
      <c r="K18" s="48" t="inlineStr">
        <is>
          <t>• ניתוח פעולות ועומסי קיבולת</t>
        </is>
      </c>
      <c r="L18" s="49" t="inlineStr">
        <is>
          <t>מותאם (תואם)</t>
        </is>
      </c>
      <c r="M18" s="49" t="inlineStr">
        <is>
          <t>AFVC (זהה)</t>
        </is>
      </c>
      <c r="N18" s="49" t="inlineStr">
        <is>
          <t>IW32; Fiori Operations</t>
        </is>
      </c>
      <c r="O18" s="43" t="inlineStr">
        <is>
          <t>Find Maintenance Order (F2393)</t>
        </is>
      </c>
      <c r="P18" s="49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50" t="n">
        <v>12</v>
      </c>
      <c r="B19" s="51" t="n"/>
      <c r="C19" s="51" t="n"/>
      <c r="D19" s="52" t="inlineStr">
        <is>
          <t>APLZL</t>
        </is>
      </c>
      <c r="E19" s="53" t="inlineStr">
        <is>
          <t>Internal operation counter</t>
        </is>
      </c>
      <c r="F19" s="54" t="inlineStr">
        <is>
          <t>מונה פעולה פנימי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VORNR</t>
        </is>
      </c>
      <c r="E20" s="45" t="inlineStr">
        <is>
          <t>Operation number</t>
        </is>
      </c>
      <c r="F20" s="46" t="inlineStr">
        <is>
          <t>מספר פעולה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ARBID</t>
        </is>
      </c>
      <c r="E21" s="53" t="inlineStr">
        <is>
          <t>Work center (object id)</t>
        </is>
      </c>
      <c r="F21" s="54" t="inlineStr">
        <is>
          <t>מרכז עבודה (מזהה אובייקט)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STEUS</t>
        </is>
      </c>
      <c r="E22" s="45" t="inlineStr">
        <is>
          <t>Control key (in-house/external)</t>
        </is>
      </c>
      <c r="F22" s="46" t="inlineStr">
        <is>
          <t>מפתח בקרה (פנימי/חיצוני)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LTXA1</t>
        </is>
      </c>
      <c r="E23" s="53" t="inlineStr">
        <is>
          <t>Operation short text</t>
        </is>
      </c>
      <c r="F23" s="54" t="inlineStr">
        <is>
          <t>תיאור קצר של הפעולה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AFPO  -  פריט פקודה  (Order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IW32; IW33</t>
        </is>
      </c>
      <c r="C26" s="43" t="inlineStr">
        <is>
          <t>AFPO</t>
        </is>
      </c>
      <c r="D26" s="44" t="inlineStr">
        <is>
          <t>AUFNR</t>
        </is>
      </c>
      <c r="E26" s="45" t="inlineStr">
        <is>
          <t>Order number</t>
        </is>
      </c>
      <c r="F26" s="46" t="inlineStr">
        <is>
          <t>מספר פק"ע</t>
        </is>
      </c>
      <c r="G26" s="47" t="inlineStr">
        <is>
          <t>PK/FK</t>
        </is>
      </c>
      <c r="H26" s="42" t="inlineStr">
        <is>
          <t>• CO_ZF_ORDER_ITEM_READ</t>
        </is>
      </c>
      <c r="I26" s="48" t="inlineStr">
        <is>
          <t>• קריאת פריט הפקודה</t>
        </is>
      </c>
      <c r="J26" s="42" t="inlineStr">
        <is>
          <t>• RIAFPO00</t>
        </is>
      </c>
      <c r="K26" s="48" t="inlineStr">
        <is>
          <t>• ניתוח פריטי פקודה</t>
        </is>
      </c>
      <c r="L26" s="49" t="inlineStr">
        <is>
          <t>מותאם (תואם)</t>
        </is>
      </c>
      <c r="M26" s="49" t="inlineStr">
        <is>
          <t>AFPO (זהה)</t>
        </is>
      </c>
      <c r="N26" s="49" t="inlineStr">
        <is>
          <t>IW32; Fiori</t>
        </is>
      </c>
      <c r="O26" s="43" t="inlineStr">
        <is>
          <t>Find Maintenance Order (F2393)</t>
        </is>
      </c>
      <c r="P26" s="49" t="inlineStr">
        <is>
          <t>אין המרת טבלה הרסנית, אך מודל הנתונים מותאם - הרץ Regression Test ובדוק User Exits/דוחות מותאמים.</t>
        </is>
      </c>
    </row>
    <row r="27" ht="20" customHeight="1">
      <c r="A27" s="50" t="n">
        <v>18</v>
      </c>
      <c r="B27" s="51" t="n"/>
      <c r="C27" s="51" t="n"/>
      <c r="D27" s="52" t="inlineStr">
        <is>
          <t>POSNR</t>
        </is>
      </c>
      <c r="E27" s="53" t="inlineStr">
        <is>
          <t>Order item number</t>
        </is>
      </c>
      <c r="F27" s="54" t="inlineStr">
        <is>
          <t>מספר פריט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MATNR</t>
        </is>
      </c>
      <c r="E28" s="45" t="inlineStr">
        <is>
          <t>Material (refurbishment)</t>
        </is>
      </c>
      <c r="F28" s="46" t="inlineStr">
        <is>
          <t>חומר (שיפוץ)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8" t="n"/>
      <c r="C29" s="58" t="n"/>
      <c r="D29" s="52" t="inlineStr">
        <is>
          <t>PSAMG</t>
        </is>
      </c>
      <c r="E29" s="53" t="inlineStr">
        <is>
          <t>Order item quantity</t>
        </is>
      </c>
      <c r="F29" s="54" t="inlineStr">
        <is>
          <t>כמות פריט</t>
        </is>
      </c>
      <c r="G29" s="55" t="inlineStr">
        <is>
          <t>-</t>
        </is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◆ טבלה AFIH  -  כותרת פקודה - נתוני אחזקה (PM)  (Maintenance order header (PM))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0" customHeight="1">
      <c r="A32" s="41" t="n">
        <v>21</v>
      </c>
      <c r="B32" s="42" t="inlineStr">
        <is>
          <t>IW32; IW33</t>
        </is>
      </c>
      <c r="C32" s="43" t="inlineStr">
        <is>
          <t>AFIH</t>
        </is>
      </c>
      <c r="D32" s="44" t="inlineStr">
        <is>
          <t>AUFNR</t>
        </is>
      </c>
      <c r="E32" s="45" t="inlineStr">
        <is>
          <t>Order number</t>
        </is>
      </c>
      <c r="F32" s="46" t="inlineStr">
        <is>
          <t>מספר פק"ע</t>
        </is>
      </c>
      <c r="G32" s="47" t="inlineStr">
        <is>
          <t>PK/FK</t>
        </is>
      </c>
      <c r="H32" s="42" t="inlineStr">
        <is>
          <t>• BAPI_ALM_ORDER_GET_DETAIL</t>
        </is>
      </c>
      <c r="I32" s="48" t="inlineStr">
        <is>
          <t>• שליפת נתוני אחזקה של הפק"ע</t>
        </is>
      </c>
      <c r="J32" s="42" t="inlineStr">
        <is>
          <t>• RIAUFK20</t>
        </is>
      </c>
      <c r="K32" s="48" t="inlineStr">
        <is>
          <t>• רשימת פק"ע אחזקה</t>
        </is>
      </c>
      <c r="L32" s="49" t="inlineStr">
        <is>
          <t>מותאם (תואם)</t>
        </is>
      </c>
      <c r="M32" s="49" t="inlineStr">
        <is>
          <t>AFIH (זהה)</t>
        </is>
      </c>
      <c r="N32" s="49" t="inlineStr">
        <is>
          <t>IW32; Fiori</t>
        </is>
      </c>
      <c r="O32" s="43" t="inlineStr">
        <is>
          <t>Find Maintenance Order (F2393)</t>
        </is>
      </c>
      <c r="P32" s="49" t="inlineStr">
        <is>
          <t>אין המרת טבלה הרסנית, אך מודל הנתונים מותאם - הרץ Regression Test ובדוק User Exits/דוחות מותאמים.</t>
        </is>
      </c>
    </row>
    <row r="33" ht="20" customHeight="1">
      <c r="A33" s="50" t="n">
        <v>22</v>
      </c>
      <c r="B33" s="51" t="n"/>
      <c r="C33" s="51" t="n"/>
      <c r="D33" s="52" t="inlineStr">
        <is>
          <t>EQUNR</t>
        </is>
      </c>
      <c r="E33" s="53" t="inlineStr">
        <is>
          <t>Reference equipment</t>
        </is>
      </c>
      <c r="F33" s="54" t="inlineStr">
        <is>
          <t>ציוד מתייחס</t>
        </is>
      </c>
      <c r="G33" s="59" t="inlineStr">
        <is>
          <t>FK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1" t="n"/>
      <c r="C34" s="51" t="n"/>
      <c r="D34" s="44" t="inlineStr">
        <is>
          <t>TPLNR</t>
        </is>
      </c>
      <c r="E34" s="45" t="inlineStr">
        <is>
          <t>Reference functional location</t>
        </is>
      </c>
      <c r="F34" s="46" t="inlineStr">
        <is>
          <t>מיקום מתייחס</t>
        </is>
      </c>
      <c r="G34" s="57" t="inlineStr">
        <is>
          <t>FK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ILART</t>
        </is>
      </c>
      <c r="E35" s="53" t="inlineStr">
        <is>
          <t>Maintenance activity type</t>
        </is>
      </c>
      <c r="F35" s="54" t="inlineStr">
        <is>
          <t>סוג פעילות אחזקה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PRIOK</t>
        </is>
      </c>
      <c r="E36" s="45" t="inlineStr">
        <is>
          <t>Priority</t>
        </is>
      </c>
      <c r="F36" s="46" t="inlineStr">
        <is>
          <t>עדיפות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GEWRK</t>
        </is>
      </c>
      <c r="E37" s="53" t="inlineStr">
        <is>
          <t>Main work center</t>
        </is>
      </c>
      <c r="F37" s="54" t="inlineStr">
        <is>
          <t>מרכז עבודה ראשי</t>
        </is>
      </c>
      <c r="G37" s="59" t="inlineStr">
        <is>
          <t>FK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AFWI  -  תנועות מלאי המקושרות לדיווחי ביצוע  (Goods movements for confirmations)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IW41; IW42</t>
        </is>
      </c>
      <c r="C40" s="43" t="inlineStr">
        <is>
          <t>AFWI</t>
        </is>
      </c>
      <c r="D40" s="44" t="inlineStr">
        <is>
          <t>RUECK</t>
        </is>
      </c>
      <c r="E40" s="45" t="inlineStr">
        <is>
          <t>Confirmation counter</t>
        </is>
      </c>
      <c r="F40" s="46" t="inlineStr">
        <is>
          <t>מספר דיווח ביצוע</t>
        </is>
      </c>
      <c r="G40" s="47" t="inlineStr">
        <is>
          <t>PK/FK</t>
        </is>
      </c>
      <c r="H40" s="42" t="inlineStr">
        <is>
          <t>• BAPI_ALM_CONF_CREATE</t>
        </is>
      </c>
      <c r="I40" s="48" t="inlineStr">
        <is>
          <t>• יצירת דיווח ביצוע עם תנועות מלאי</t>
        </is>
      </c>
      <c r="J40" s="42" t="inlineStr">
        <is>
          <t>• RIAFRU00</t>
        </is>
      </c>
      <c r="K40" s="48" t="inlineStr">
        <is>
          <t>• ניתוח דיווחי ביצוע ותנועות נלוות</t>
        </is>
      </c>
      <c r="L40" s="49" t="inlineStr">
        <is>
          <t>מותאם (תנועת מלאי ב-MATDOC)</t>
        </is>
      </c>
      <c r="M40" s="49" t="inlineStr">
        <is>
          <t>AFWI (זהה); מסמך חומר ב-MATDOC</t>
        </is>
      </c>
      <c r="N40" s="49" t="inlineStr">
        <is>
          <t>IW41/IW42; Fiori Confirmation</t>
        </is>
      </c>
      <c r="O40" s="43" t="inlineStr">
        <is>
          <t>Confirm Maintenance Order (אמת ID)</t>
        </is>
      </c>
      <c r="P40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41" ht="20" customHeight="1">
      <c r="A41" s="50" t="n">
        <v>28</v>
      </c>
      <c r="B41" s="51" t="n"/>
      <c r="C41" s="51" t="n"/>
      <c r="D41" s="52" t="inlineStr">
        <is>
          <t>RMZHL</t>
        </is>
      </c>
      <c r="E41" s="53" t="inlineStr">
        <is>
          <t>Confirmation number</t>
        </is>
      </c>
      <c r="F41" s="54" t="inlineStr">
        <is>
          <t>מונה דיווח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MBLNR</t>
        </is>
      </c>
      <c r="E42" s="45" t="inlineStr">
        <is>
          <t>Material document number</t>
        </is>
      </c>
      <c r="F42" s="46" t="inlineStr">
        <is>
          <t>מסמך חומר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MATNR</t>
        </is>
      </c>
      <c r="E43" s="53" t="inlineStr">
        <is>
          <t>Material</t>
        </is>
      </c>
      <c r="F43" s="54" t="inlineStr">
        <is>
          <t>חומר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40" t="inlineStr">
        <is>
          <t xml:space="preserve">  ⚙ הרחבות טכניות ושינויי ארכיטקטורה (Technical Extensions: User Exits / BAdIs / ECC vs S/4HANA)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66" t="inlineStr">
        <is>
          <t>סוג (Type)</t>
        </is>
      </c>
      <c r="B47" s="4" t="n"/>
      <c r="C47" s="66" t="inlineStr">
        <is>
          <t>קוד / שם טכני (Code)</t>
        </is>
      </c>
      <c r="D47" s="4" t="n"/>
      <c r="E47" s="66" t="inlineStr">
        <is>
          <t>תיאור / הבדל (Hebrew)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IWO10009</t>
        </is>
      </c>
      <c r="D48" s="4" t="n"/>
      <c r="E48" s="72" t="inlineStr">
        <is>
          <t>הרחבת לקוח לפק"ע - בדיקות והשלמת שדות בכותרת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IWO10002</t>
        </is>
      </c>
      <c r="D49" s="4" t="n"/>
      <c r="E49" s="69" t="inlineStr">
        <is>
          <t>בדיקות בעת שמירת פקודת עבודה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IWO10012</t>
        </is>
      </c>
      <c r="D50" s="4" t="n"/>
      <c r="E50" s="72" t="inlineStr">
        <is>
          <t>בדיקת אישורי עבודה (Permits) בפק"ע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User Exit (SMOD)</t>
        </is>
      </c>
      <c r="B51" s="4" t="n"/>
      <c r="C51" s="68" t="inlineStr">
        <is>
          <t>IWO10018</t>
        </is>
      </c>
      <c r="D51" s="4" t="n"/>
      <c r="E51" s="69" t="inlineStr">
        <is>
          <t>בדיקת/הרחבת רכיבים בפק"ע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User Exit (SMOD)</t>
        </is>
      </c>
      <c r="B52" s="4" t="n"/>
      <c r="C52" s="71" t="inlineStr">
        <is>
          <t>IWO10024</t>
        </is>
      </c>
      <c r="D52" s="4" t="n"/>
      <c r="E52" s="72" t="inlineStr">
        <is>
          <t>הרחבת פעולות (Operations) בפק"ע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BAdI (SE18)</t>
        </is>
      </c>
      <c r="B53" s="4" t="n"/>
      <c r="C53" s="68" t="inlineStr">
        <is>
          <t>WORKORDER_UPDATE</t>
        </is>
      </c>
      <c r="D53" s="4" t="n"/>
      <c r="E53" s="69" t="inlineStr">
        <is>
          <t>BAdI לעדכון/בדיקת פקודת עבודה (לפני שמירה)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BAdI (SE18)</t>
        </is>
      </c>
      <c r="B54" s="4" t="n"/>
      <c r="C54" s="71" t="inlineStr">
        <is>
          <t>WORKORDER_GOODSMVT</t>
        </is>
      </c>
      <c r="D54" s="4" t="n"/>
      <c r="E54" s="72" t="inlineStr">
        <is>
          <t>BAdI לתנועות מלאי בפק"ע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BAdI (SE18)</t>
        </is>
      </c>
      <c r="B55" s="4" t="n"/>
      <c r="C55" s="68" t="inlineStr">
        <is>
          <t>WORKORDER_INFOSYSTEM</t>
        </is>
      </c>
      <c r="D55" s="4" t="n"/>
      <c r="E55" s="69" t="inlineStr">
        <is>
          <t>BAdI לרשימות/דוחות פק"ע (IW38/39)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ארכיטקטורה ECC↔S/4</t>
        </is>
      </c>
      <c r="B56" s="4" t="n"/>
      <c r="C56" s="71" t="inlineStr">
        <is>
          <t>—</t>
        </is>
      </c>
      <c r="D56" s="4" t="n"/>
      <c r="E56" s="72" t="inlineStr">
        <is>
          <t>מודל AUFK/AFKO/AFPO/AFIH מותאם; עלויות בפועל זורמות ל-ACDOCA (Universal Journal).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ארכיטקטורה ECC↔S/4</t>
        </is>
      </c>
      <c r="B57" s="4" t="n"/>
      <c r="C57" s="68" t="inlineStr">
        <is>
          <t>—</t>
        </is>
      </c>
      <c r="D57" s="4" t="n"/>
      <c r="E57" s="69" t="inlineStr">
        <is>
          <t>ב-S/4 'Find/Create Maintenance Order' (F2393) ו-Maintenance Scheduling Board; תזמון פושט.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 ht="24" customHeight="1">
      <c r="A58" s="70" t="inlineStr">
        <is>
          <t>ארכיטקטורה ECC↔S/4</t>
        </is>
      </c>
      <c r="B58" s="4" t="n"/>
      <c r="C58" s="71" t="inlineStr">
        <is>
          <t>—</t>
        </is>
      </c>
      <c r="D58" s="4" t="n"/>
      <c r="E58" s="72" t="inlineStr">
        <is>
          <t>IWO10009 נתמך; לפיתוח חדש מומלץ WORKORDER_UPDATE.</t>
        </is>
      </c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</sheetData>
  <mergeCells count="111">
    <mergeCell ref="A17:P17"/>
    <mergeCell ref="A51:B51"/>
    <mergeCell ref="C11:C15"/>
    <mergeCell ref="L18:L23"/>
    <mergeCell ref="A54:B54"/>
    <mergeCell ref="N18:N23"/>
    <mergeCell ref="C54:D54"/>
    <mergeCell ref="O26:O29"/>
    <mergeCell ref="B4:B8"/>
    <mergeCell ref="A39:P39"/>
    <mergeCell ref="C50:D50"/>
    <mergeCell ref="A56:B56"/>
    <mergeCell ref="P4:P8"/>
    <mergeCell ref="K4:K8"/>
    <mergeCell ref="K40:K43"/>
    <mergeCell ref="C40:C43"/>
    <mergeCell ref="C56:D56"/>
    <mergeCell ref="O32:O37"/>
    <mergeCell ref="H4:H8"/>
    <mergeCell ref="E58:P58"/>
    <mergeCell ref="A53:B53"/>
    <mergeCell ref="E50:P50"/>
    <mergeCell ref="M18:M23"/>
    <mergeCell ref="A46:P46"/>
    <mergeCell ref="B26:B29"/>
    <mergeCell ref="E52:P52"/>
    <mergeCell ref="B32:B37"/>
    <mergeCell ref="A48:B48"/>
    <mergeCell ref="J4:J8"/>
    <mergeCell ref="H26:H29"/>
    <mergeCell ref="I4:I8"/>
    <mergeCell ref="P40:P43"/>
    <mergeCell ref="A10:P10"/>
    <mergeCell ref="H40:H43"/>
    <mergeCell ref="B18:B23"/>
    <mergeCell ref="C47:D47"/>
    <mergeCell ref="O11:O15"/>
    <mergeCell ref="M40:M43"/>
    <mergeCell ref="M4:M8"/>
    <mergeCell ref="N11:N15"/>
    <mergeCell ref="E57:P57"/>
    <mergeCell ref="E54:P54"/>
    <mergeCell ref="M26:M29"/>
    <mergeCell ref="L11:L15"/>
    <mergeCell ref="E47:P47"/>
    <mergeCell ref="O40:O43"/>
    <mergeCell ref="E56:P56"/>
    <mergeCell ref="C32:C37"/>
    <mergeCell ref="M32:M37"/>
    <mergeCell ref="A52:B52"/>
    <mergeCell ref="B11:B15"/>
    <mergeCell ref="C57:D57"/>
    <mergeCell ref="P11:P15"/>
    <mergeCell ref="C53:D53"/>
    <mergeCell ref="K18:K23"/>
    <mergeCell ref="C18:C23"/>
    <mergeCell ref="N26:N29"/>
    <mergeCell ref="P26:P29"/>
    <mergeCell ref="A49:B49"/>
    <mergeCell ref="C58:D58"/>
    <mergeCell ref="A1:B1"/>
    <mergeCell ref="L32:L37"/>
    <mergeCell ref="N32:N37"/>
    <mergeCell ref="J40:J43"/>
    <mergeCell ref="A55:B55"/>
    <mergeCell ref="A57:B57"/>
    <mergeCell ref="C51:D51"/>
    <mergeCell ref="C4:C8"/>
    <mergeCell ref="C48:D48"/>
    <mergeCell ref="A25:P25"/>
    <mergeCell ref="L40:L43"/>
    <mergeCell ref="N40:N43"/>
    <mergeCell ref="P18:P23"/>
    <mergeCell ref="H18:H23"/>
    <mergeCell ref="J18:J23"/>
    <mergeCell ref="A3:P3"/>
    <mergeCell ref="O4:O8"/>
    <mergeCell ref="C49:D49"/>
    <mergeCell ref="E51:P51"/>
    <mergeCell ref="I40:I43"/>
    <mergeCell ref="L4:L8"/>
    <mergeCell ref="I26:I29"/>
    <mergeCell ref="H11:H15"/>
    <mergeCell ref="K26:K29"/>
    <mergeCell ref="J11:J15"/>
    <mergeCell ref="C26:C29"/>
    <mergeCell ref="I32:I37"/>
    <mergeCell ref="O18:O23"/>
    <mergeCell ref="K32:K37"/>
    <mergeCell ref="E49:P49"/>
    <mergeCell ref="A31:P31"/>
    <mergeCell ref="C55:D55"/>
    <mergeCell ref="C1:P1"/>
    <mergeCell ref="A50:B50"/>
    <mergeCell ref="I11:I15"/>
    <mergeCell ref="I18:I23"/>
    <mergeCell ref="J26:J29"/>
    <mergeCell ref="B40:B43"/>
    <mergeCell ref="N4:N8"/>
    <mergeCell ref="L26:L29"/>
    <mergeCell ref="A47:B47"/>
    <mergeCell ref="E53:P53"/>
    <mergeCell ref="P32:P37"/>
    <mergeCell ref="C52:D52"/>
    <mergeCell ref="H32:H37"/>
    <mergeCell ref="J32:J37"/>
    <mergeCell ref="E55:P55"/>
    <mergeCell ref="K11:K15"/>
    <mergeCell ref="M11:M15"/>
    <mergeCell ref="E48:P48"/>
    <mergeCell ref="A58:B5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7" t="inlineStr">
        <is>
          <t>PK/FK</t>
        </is>
      </c>
      <c r="H4" s="42" t="inlineStr">
        <is>
          <t>• STATUS_READ
• STATUS_CHANGE_INTERN
• STATUS_CHANGE_EXTERN</t>
        </is>
      </c>
      <c r="I4" s="48" t="inlineStr">
        <is>
          <t>• קריאת סטטוסי אובייקט
• שינוי סטטוס מערכת פנימי
• שינוי סטטוס משתמש</t>
        </is>
      </c>
      <c r="J4" s="42" t="inlineStr">
        <is>
          <t>• RISTAT00</t>
        </is>
      </c>
      <c r="K4" s="48" t="inlineStr">
        <is>
          <t>• ניתוח סטטוסים פעילים לאובייקטים</t>
        </is>
      </c>
      <c r="L4" s="49" t="inlineStr">
        <is>
          <t>ללא שינוי (תואם)</t>
        </is>
      </c>
      <c r="M4" s="49" t="inlineStr">
        <is>
          <t>JEST (זהה)</t>
        </is>
      </c>
      <c r="N4" s="49" t="inlineStr">
        <is>
          <t>BS22/BS23 (זהה)</t>
        </is>
      </c>
      <c r="O4" s="43" t="inlineStr">
        <is>
          <t>מוטמע באפליקציות PM (אין ייעודי)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STAT</t>
        </is>
      </c>
      <c r="E5" s="53" t="inlineStr">
        <is>
          <t>Status code</t>
        </is>
      </c>
      <c r="F5" s="54" t="inlineStr">
        <is>
          <t>קוד סטטוס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CHGNR</t>
        </is>
      </c>
      <c r="E7" s="53" t="inlineStr">
        <is>
          <t>Change number</t>
        </is>
      </c>
      <c r="F7" s="54" t="inlineStr">
        <is>
          <t>מספר שינוי</t>
        </is>
      </c>
      <c r="G7" s="55" t="inlineStr">
        <is>
          <t>-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7" t="inlineStr">
        <is>
          <t>PK</t>
        </is>
      </c>
      <c r="H10" s="42" t="inlineStr">
        <is>
          <t>• STATUS_OBJECT_CREATE
• STATUS_PROFILE_READ</t>
        </is>
      </c>
      <c r="I10" s="48" t="inlineStr">
        <is>
          <t>• יצירת אובייקט סטטוס
• קריאת פרופיל סטטוס</t>
        </is>
      </c>
      <c r="J10" s="42" t="inlineStr">
        <is>
          <t>• RIBS0200</t>
        </is>
      </c>
      <c r="K10" s="48" t="inlineStr">
        <is>
          <t>• סקירת פרופילי סטטוס וחסימות</t>
        </is>
      </c>
      <c r="L10" s="49" t="inlineStr">
        <is>
          <t>ללא שינוי (תואם)</t>
        </is>
      </c>
      <c r="M10" s="49" t="inlineStr">
        <is>
          <t>JSTO (זהה)</t>
        </is>
      </c>
      <c r="N10" s="49" t="inlineStr">
        <is>
          <t>BS02/BS03 (זהה)</t>
        </is>
      </c>
      <c r="O10" s="43" t="inlineStr">
        <is>
          <t>מוטמע באפליקציות PM (אין ייעודי)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STSMA</t>
        </is>
      </c>
      <c r="E11" s="53" t="inlineStr">
        <is>
          <t>Status profile</t>
        </is>
      </c>
      <c r="F11" s="54" t="inlineStr">
        <is>
          <t>פרופיל סטטוס</t>
        </is>
      </c>
      <c r="G11" s="59" t="inlineStr">
        <is>
          <t>FK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CHGKZ</t>
        </is>
      </c>
      <c r="E13" s="53" t="inlineStr">
        <is>
          <t>Change flag</t>
        </is>
      </c>
      <c r="F13" s="54" t="inlineStr">
        <is>
          <t>מחוון שינוי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7" t="inlineStr">
        <is>
          <t>PK</t>
        </is>
      </c>
      <c r="H16" s="42" t="inlineStr">
        <is>
          <t>• STATUS_TEXT_READ</t>
        </is>
      </c>
      <c r="I16" s="48" t="inlineStr">
        <is>
          <t>• קריאת טקסט סטטוס מערכת</t>
        </is>
      </c>
      <c r="J16" s="42" t="inlineStr">
        <is>
          <t>• RISTAT00</t>
        </is>
      </c>
      <c r="K16" s="48" t="inlineStr">
        <is>
          <t>• פענוח קודי סטטוס בדוחות</t>
        </is>
      </c>
      <c r="L16" s="49" t="inlineStr">
        <is>
          <t>ללא שינוי (תואם)</t>
        </is>
      </c>
      <c r="M16" s="49" t="inlineStr">
        <is>
          <t>TJ02T (זהה)</t>
        </is>
      </c>
      <c r="N16" s="49" t="inlineStr">
        <is>
          <t>BS23 (זהה)</t>
        </is>
      </c>
      <c r="O16" s="43" t="inlineStr">
        <is>
          <t>מוטמע (אין ייעודי)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SPRAS</t>
        </is>
      </c>
      <c r="E17" s="53" t="inlineStr">
        <is>
          <t>Language key</t>
        </is>
      </c>
      <c r="F17" s="54" t="inlineStr">
        <is>
          <t>שפה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6" t="inlineStr">
        <is>
          <t>-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TXT30</t>
        </is>
      </c>
      <c r="E19" s="53" t="inlineStr">
        <is>
          <t>Status long text</t>
        </is>
      </c>
      <c r="F19" s="54" t="inlineStr">
        <is>
          <t>תיאור ארוך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7" t="inlineStr">
        <is>
          <t>PK</t>
        </is>
      </c>
      <c r="H22" s="42" t="inlineStr">
        <is>
          <t>• USER_STATUS_TEXT_READ</t>
        </is>
      </c>
      <c r="I22" s="48" t="inlineStr">
        <is>
          <t>• קריאת טקסט סטטוס משתמש</t>
        </is>
      </c>
      <c r="J22" s="42" t="inlineStr">
        <is>
          <t>• RIBS0200</t>
        </is>
      </c>
      <c r="K22" s="48" t="inlineStr">
        <is>
          <t>• סקירת סטטוסי משתמש בפרופיל</t>
        </is>
      </c>
      <c r="L22" s="49" t="inlineStr">
        <is>
          <t>ללא שינוי (תואם)</t>
        </is>
      </c>
      <c r="M22" s="49" t="inlineStr">
        <is>
          <t>TJ30T (זהה)</t>
        </is>
      </c>
      <c r="N22" s="49" t="inlineStr">
        <is>
          <t>BS02/BS03 (זהה)</t>
        </is>
      </c>
      <c r="O22" s="43" t="inlineStr">
        <is>
          <t>מוטמע (אין ייעודי)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ESTAT</t>
        </is>
      </c>
      <c r="E23" s="53" t="inlineStr">
        <is>
          <t>User status</t>
        </is>
      </c>
      <c r="F23" s="54" t="inlineStr">
        <is>
          <t>סטטוס משתמש</t>
        </is>
      </c>
      <c r="G23" s="62" t="inlineStr">
        <is>
          <t>PK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1" t="n"/>
      <c r="C24" s="51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47" t="inlineStr">
        <is>
          <t>PK</t>
        </is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</row>
    <row r="25" ht="20" customHeight="1">
      <c r="A25" s="50" t="n">
        <v>16</v>
      </c>
      <c r="B25" s="51" t="n"/>
      <c r="C25" s="51" t="n"/>
      <c r="D25" s="52" t="inlineStr">
        <is>
          <t>TXT04</t>
        </is>
      </c>
      <c r="E25" s="53" t="inlineStr">
        <is>
          <t>User status short code</t>
        </is>
      </c>
      <c r="F25" s="54" t="inlineStr">
        <is>
          <t>קוד מקוצר</t>
        </is>
      </c>
      <c r="G25" s="55" t="inlineStr">
        <is>
          <t>-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8" t="n"/>
      <c r="C26" s="58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6" t="inlineStr">
        <is>
          <t>-</t>
        </is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40" t="inlineStr">
        <is>
          <t xml:space="preserve">  ⚙ הרחבות טכניות ושינויי ארכיטקטורה (Technical Extensions: User Exits / BAdIs / ECC vs S/4HANA)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66" t="inlineStr">
        <is>
          <t>סוג (Type)</t>
        </is>
      </c>
      <c r="B30" s="4" t="n"/>
      <c r="C30" s="66" t="inlineStr">
        <is>
          <t>קוד / שם טכני (Code)</t>
        </is>
      </c>
      <c r="D30" s="4" t="n"/>
      <c r="E30" s="66" t="inlineStr">
        <is>
          <t>תיאור / הבדל (Hebrew)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User Exit (SMOD)</t>
        </is>
      </c>
      <c r="B31" s="4" t="n"/>
      <c r="C31" s="68" t="inlineStr">
        <is>
          <t>STATUS (BS02/BS22)</t>
        </is>
      </c>
      <c r="D31" s="4" t="n"/>
      <c r="E31" s="69" t="inlineStr">
        <is>
          <t>סטטוס משתמש מוגדר בפרופיל ולא דרך user-exit ייעודי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BAdI (SE18)</t>
        </is>
      </c>
      <c r="B32" s="4" t="n"/>
      <c r="C32" s="71" t="inlineStr">
        <is>
          <t>BADI_STATUS_MANAGEMENT</t>
        </is>
      </c>
      <c r="D32" s="4" t="n"/>
      <c r="E32" s="72" t="inlineStr">
        <is>
          <t>הרחבת לוגיקת סטטוס (אמת שם ב-SE18)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ארכיטקטורה ECC↔S/4</t>
        </is>
      </c>
      <c r="B33" s="4" t="n"/>
      <c r="C33" s="68" t="inlineStr">
        <is>
          <t>—</t>
        </is>
      </c>
      <c r="D33" s="4" t="n"/>
      <c r="E33" s="69" t="inlineStr">
        <is>
          <t>JEST/JSTO/TJ02T/TJ30T ללא שינוי; חוקי החסימה (כגון GI לפני REL) זהים.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ארכיטקטורה ECC↔S/4</t>
        </is>
      </c>
      <c r="B34" s="4" t="n"/>
      <c r="C34" s="71" t="inlineStr">
        <is>
          <t>—</t>
        </is>
      </c>
      <c r="D34" s="4" t="n"/>
      <c r="E34" s="72" t="inlineStr">
        <is>
          <t>ב-S/4 ניהול סטטוס מוטמע באפליקציות Fiori של האובייקט.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</sheetData>
  <mergeCells count="66">
    <mergeCell ref="O22:O26"/>
    <mergeCell ref="A31:B31"/>
    <mergeCell ref="A30:B30"/>
    <mergeCell ref="C34:D34"/>
    <mergeCell ref="H4:H7"/>
    <mergeCell ref="N4:N7"/>
    <mergeCell ref="C30:D30"/>
    <mergeCell ref="P4:P7"/>
    <mergeCell ref="H22:H26"/>
    <mergeCell ref="C33:D33"/>
    <mergeCell ref="L16:L19"/>
    <mergeCell ref="H10:H13"/>
    <mergeCell ref="E31:P31"/>
    <mergeCell ref="N16:N19"/>
    <mergeCell ref="A1:B1"/>
    <mergeCell ref="J10:J13"/>
    <mergeCell ref="I16:I19"/>
    <mergeCell ref="A29:P29"/>
    <mergeCell ref="C10:C13"/>
    <mergeCell ref="M10:M13"/>
    <mergeCell ref="J22:J26"/>
    <mergeCell ref="L22:L26"/>
    <mergeCell ref="C4:C7"/>
    <mergeCell ref="E30:P30"/>
    <mergeCell ref="E34:P34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A34:B34"/>
    <mergeCell ref="L10:L13"/>
    <mergeCell ref="J4:J7"/>
    <mergeCell ref="E32:P32"/>
    <mergeCell ref="L4:L7"/>
    <mergeCell ref="A33:B33"/>
    <mergeCell ref="H16:H19"/>
    <mergeCell ref="A32:B32"/>
    <mergeCell ref="J16:J19"/>
    <mergeCell ref="B22:B26"/>
    <mergeCell ref="N10:N13"/>
    <mergeCell ref="N22:N26"/>
    <mergeCell ref="I10:I13"/>
    <mergeCell ref="P22:P26"/>
    <mergeCell ref="K10:K13"/>
    <mergeCell ref="I4:I7"/>
    <mergeCell ref="C32:D32"/>
    <mergeCell ref="K4:K7"/>
    <mergeCell ref="M4:M7"/>
    <mergeCell ref="B4:B7"/>
    <mergeCell ref="A21:P21"/>
    <mergeCell ref="E33:P33"/>
    <mergeCell ref="M22:M26"/>
    <mergeCell ref="A3:P3"/>
    <mergeCell ref="K16:K19"/>
    <mergeCell ref="C22:C26"/>
    <mergeCell ref="I22:I26"/>
    <mergeCell ref="B16:B19"/>
    <mergeCell ref="O10:O13"/>
    <mergeCell ref="K22:K26"/>
    <mergeCell ref="P10:P1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5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7" t="inlineStr">
        <is>
          <t>PK</t>
        </is>
      </c>
      <c r="H4" s="42" t="inlineStr">
        <is>
          <t>• BAPI_RESERVATION_CREATE1
• BAPI_GOODSMVT_CREATE
• RESERVATION_READ</t>
        </is>
      </c>
      <c r="I4" s="48" t="inlineStr">
        <is>
          <t>• יצירת הזמנת מלאי
• רישום פליטת חומר (261)
• קריאת הזמנת רכיבים</t>
        </is>
      </c>
      <c r="J4" s="42" t="inlineStr">
        <is>
          <t>• RM07RESL</t>
        </is>
      </c>
      <c r="K4" s="48" t="inlineStr">
        <is>
          <t>• דוח הזמנות מלאי פתוחות</t>
        </is>
      </c>
      <c r="L4" s="49" t="inlineStr">
        <is>
          <t>ללא שינוי (תואם)</t>
        </is>
      </c>
      <c r="M4" s="49" t="inlineStr">
        <is>
          <t>RESB (זהה)</t>
        </is>
      </c>
      <c r="N4" s="49" t="inlineStr">
        <is>
          <t>MIGO/MB1A נתמכים; Fiori</t>
        </is>
      </c>
      <c r="O4" s="43" t="inlineStr">
        <is>
          <t>Post Goods Movement / MIGO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RSPOS</t>
        </is>
      </c>
      <c r="E5" s="53" t="inlineStr">
        <is>
          <t>Reservation item</t>
        </is>
      </c>
      <c r="F5" s="54" t="inlineStr">
        <is>
          <t>פריט הזמנה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7" t="inlineStr">
        <is>
          <t>FK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BDMNG</t>
        </is>
      </c>
      <c r="E7" s="53" t="inlineStr">
        <is>
          <t>Requirement quantity</t>
        </is>
      </c>
      <c r="F7" s="54" t="inlineStr">
        <is>
          <t>כמות נדרשת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AUFNR</t>
        </is>
      </c>
      <c r="E9" s="53" t="inlineStr">
        <is>
          <t>Order (account assignment)</t>
        </is>
      </c>
      <c r="F9" s="54" t="inlineStr">
        <is>
          <t>פק"ע מחויבת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7" t="inlineStr">
        <is>
          <t>PK</t>
        </is>
      </c>
      <c r="H12" s="42" t="inlineStr">
        <is>
          <t>• BAPI_PR_CREATE
• BAPI_REQUISITION_GETDETAIL</t>
        </is>
      </c>
      <c r="I12" s="48" t="inlineStr">
        <is>
          <t>• יצירת דרישת רכש
• שליפת פרטי דרישת רכש</t>
        </is>
      </c>
      <c r="J12" s="42" t="inlineStr">
        <is>
          <t>• RM06BANF</t>
        </is>
      </c>
      <c r="K12" s="48" t="inlineStr">
        <is>
          <t>• דוח דרישות רכש פתוחות</t>
        </is>
      </c>
      <c r="L12" s="49" t="inlineStr">
        <is>
          <t>מותאם (Business Partner לספקים)</t>
        </is>
      </c>
      <c r="M12" s="49" t="inlineStr">
        <is>
          <t>EBAN (זהה)</t>
        </is>
      </c>
      <c r="N12" s="49" t="inlineStr">
        <is>
          <t>ME51N נתמך; ספק דרך BP</t>
        </is>
      </c>
      <c r="O12" s="43" t="inlineStr">
        <is>
          <t>Manage Purchase Requisitions (אמת ID)</t>
        </is>
      </c>
      <c r="P12" s="49" t="inlineStr">
        <is>
          <t>נדרש CVI והמרת ספקים/לקוחות ל-Business Partner לפני/במהלך ההמרה (Pre-check חובה).</t>
        </is>
      </c>
    </row>
    <row r="13" ht="20" customHeight="1">
      <c r="A13" s="50" t="n">
        <v>8</v>
      </c>
      <c r="B13" s="51" t="n"/>
      <c r="C13" s="51" t="n"/>
      <c r="D13" s="52" t="inlineStr">
        <is>
          <t>BNFPO</t>
        </is>
      </c>
      <c r="E13" s="53" t="inlineStr">
        <is>
          <t>Requisition item</t>
        </is>
      </c>
      <c r="F13" s="54" t="inlineStr">
        <is>
          <t>פריט דרישה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KNTTP</t>
        </is>
      </c>
      <c r="E15" s="53" t="inlineStr">
        <is>
          <t>Account assignment cat. (F=order)</t>
        </is>
      </c>
      <c r="F15" s="54" t="inlineStr">
        <is>
          <t>סוג חיוב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ME51N; ME52N</t>
        </is>
      </c>
      <c r="C19" s="61" t="inlineStr">
        <is>
          <t>EBKN</t>
        </is>
      </c>
      <c r="D19" s="52" t="inlineStr">
        <is>
          <t>BANFN</t>
        </is>
      </c>
      <c r="E19" s="53" t="inlineStr">
        <is>
          <t>Purchase requisition number</t>
        </is>
      </c>
      <c r="F19" s="54" t="inlineStr">
        <is>
          <t>מספר דרישת רכש</t>
        </is>
      </c>
      <c r="G19" s="62" t="inlineStr">
        <is>
          <t>PK/FK</t>
        </is>
      </c>
      <c r="H19" s="60" t="inlineStr">
        <is>
          <t>• ACCOUNT_ASSIGNMENT_READ</t>
        </is>
      </c>
      <c r="I19" s="63" t="inlineStr">
        <is>
          <t>• קריאת נתוני חיוב לדרישה</t>
        </is>
      </c>
      <c r="J19" s="60" t="inlineStr">
        <is>
          <t>• RM06BANF</t>
        </is>
      </c>
      <c r="K19" s="63" t="inlineStr">
        <is>
          <t>• דוח דרישות רכש מחויבות לפק"ע</t>
        </is>
      </c>
      <c r="L19" s="64" t="inlineStr">
        <is>
          <t>מותאם (חיוב ל-ACDOCA)</t>
        </is>
      </c>
      <c r="M19" s="64" t="inlineStr">
        <is>
          <t>EBKN (זהה); עלות בפועל ב-ACDOCA</t>
        </is>
      </c>
      <c r="N19" s="64" t="inlineStr">
        <is>
          <t>ME51N; Fiori</t>
        </is>
      </c>
      <c r="O19" s="65" t="inlineStr">
        <is>
          <t>Manage Purchase Requisitions (אמת ID)</t>
        </is>
      </c>
      <c r="P19" s="64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1" t="n"/>
      <c r="C20" s="51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47" t="inlineStr">
        <is>
          <t>PK/FK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AUFNR</t>
        </is>
      </c>
      <c r="E21" s="53" t="inlineStr">
        <is>
          <t>Order (account assignment)</t>
        </is>
      </c>
      <c r="F21" s="54" t="inlineStr">
        <is>
          <t>פק"ע מחויבת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SAKTO</t>
        </is>
      </c>
      <c r="E23" s="53" t="inlineStr">
        <is>
          <t>G/L account</t>
        </is>
      </c>
      <c r="F23" s="54" t="inlineStr">
        <is>
          <t>חשבון ראשי</t>
        </is>
      </c>
      <c r="G23" s="59" t="inlineStr">
        <is>
          <t>FK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7" t="inlineStr">
        <is>
          <t>PK/FK</t>
        </is>
      </c>
      <c r="H26" s="42" t="inlineStr">
        <is>
          <t>• BAPI_GOODSMVT_CREATE
• BAPI_GOODSMVT_GETITEMS</t>
        </is>
      </c>
      <c r="I26" s="48" t="inlineStr">
        <is>
          <t>• רישום תנועת מלאי
• שליפת פריטי תנועה</t>
        </is>
      </c>
      <c r="J26" s="42" t="inlineStr">
        <is>
          <t>• RM07DOCS</t>
        </is>
      </c>
      <c r="K26" s="48" t="inlineStr">
        <is>
          <t>• דוח מסמכי חומר לפי פק"ע/תנועה</t>
        </is>
      </c>
      <c r="L26" s="49" t="inlineStr">
        <is>
          <t>הוחלף - מסמכי חומר מאוחדים ב-MATDOC</t>
        </is>
      </c>
      <c r="M26" s="49" t="inlineStr">
        <is>
          <t>MATDOC (MSEG=View תאימות)</t>
        </is>
      </c>
      <c r="N26" s="49" t="inlineStr">
        <is>
          <t>MIGO נתמך; Fiori</t>
        </is>
      </c>
      <c r="O26" s="43" t="inlineStr">
        <is>
          <t>Post Goods Movement (אמת ID)</t>
        </is>
      </c>
      <c r="P26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50" t="n">
        <v>18</v>
      </c>
      <c r="B27" s="51" t="n"/>
      <c r="C27" s="51" t="n"/>
      <c r="D27" s="52" t="inlineStr">
        <is>
          <t>ZEILE</t>
        </is>
      </c>
      <c r="E27" s="53" t="inlineStr">
        <is>
          <t>Material document item</t>
        </is>
      </c>
      <c r="F27" s="54" t="inlineStr">
        <is>
          <t>פריט מסמך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MATNR</t>
        </is>
      </c>
      <c r="E29" s="53" t="inlineStr">
        <is>
          <t>Material</t>
        </is>
      </c>
      <c r="F29" s="54" t="inlineStr">
        <is>
          <t>חומר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AUFNR</t>
        </is>
      </c>
      <c r="E31" s="53" t="inlineStr">
        <is>
          <t>Order (account assignment)</t>
        </is>
      </c>
      <c r="F31" s="54" t="inlineStr">
        <is>
          <t>פק"ע מחויבת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7" t="inlineStr">
        <is>
          <t>PK</t>
        </is>
      </c>
      <c r="H34" s="42" t="inlineStr">
        <is>
          <t>• BAPI_GOODSMVT_GETDETAIL</t>
        </is>
      </c>
      <c r="I34" s="48" t="inlineStr">
        <is>
          <t>• שליפת פרטי מסמך חומר</t>
        </is>
      </c>
      <c r="J34" s="42" t="inlineStr">
        <is>
          <t>• RM07DOCS</t>
        </is>
      </c>
      <c r="K34" s="48" t="inlineStr">
        <is>
          <t>• דוח מסמכי חומר</t>
        </is>
      </c>
      <c r="L34" s="49" t="inlineStr">
        <is>
          <t>הוחלף - מאוחד ב-MATDOC</t>
        </is>
      </c>
      <c r="M34" s="49" t="inlineStr">
        <is>
          <t>MATDOC (MKPF=View תאימות)</t>
        </is>
      </c>
      <c r="N34" s="49" t="inlineStr">
        <is>
          <t>MIGO נתמך; Fiori</t>
        </is>
      </c>
      <c r="O34" s="43" t="inlineStr">
        <is>
          <t>Post Goods Movement (אמת ID)</t>
        </is>
      </c>
      <c r="P34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50" t="n">
        <v>24</v>
      </c>
      <c r="B35" s="51" t="n"/>
      <c r="C35" s="51" t="n"/>
      <c r="D35" s="52" t="inlineStr">
        <is>
          <t>MJAHR</t>
        </is>
      </c>
      <c r="E35" s="53" t="inlineStr">
        <is>
          <t>Material document year</t>
        </is>
      </c>
      <c r="F35" s="54" t="inlineStr">
        <is>
          <t>שנת מסמך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BUDAT</t>
        </is>
      </c>
      <c r="E37" s="53" t="inlineStr">
        <is>
          <t>Posting date</t>
        </is>
      </c>
      <c r="F37" s="54" t="inlineStr">
        <is>
          <t>תאריך רישום</t>
        </is>
      </c>
      <c r="G37" s="55" t="inlineStr">
        <is>
          <t>-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40" t="inlineStr">
        <is>
          <t xml:space="preserve">  ⚙ הרחבות טכניות ושינויי ארכיטקטורה (Technical Extensions: User Exits / BAdIs / ECC vs S/4HANA)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66" t="inlineStr">
        <is>
          <t>סוג (Type)</t>
        </is>
      </c>
      <c r="B42" s="4" t="n"/>
      <c r="C42" s="66" t="inlineStr">
        <is>
          <t>קוד / שם טכני (Code)</t>
        </is>
      </c>
      <c r="D42" s="4" t="n"/>
      <c r="E42" s="66" t="inlineStr">
        <is>
          <t>תיאור / הבדל (Hebrew)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User Exit (SMOD)</t>
        </is>
      </c>
      <c r="B43" s="4" t="n"/>
      <c r="C43" s="68" t="inlineStr">
        <is>
          <t>MB_CF001</t>
        </is>
      </c>
      <c r="D43" s="4" t="n"/>
      <c r="E43" s="69" t="inlineStr">
        <is>
          <t>Customer Function לתנועות מלאי (Goods Movement)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User Exit (SMOD)</t>
        </is>
      </c>
      <c r="B44" s="4" t="n"/>
      <c r="C44" s="71" t="inlineStr">
        <is>
          <t>M06B0001</t>
        </is>
      </c>
      <c r="D44" s="4" t="n"/>
      <c r="E44" s="72" t="inlineStr">
        <is>
          <t>הרחבת בדיקות בדרישות רכש (PR)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67" t="inlineStr">
        <is>
          <t>User Exit (SMOD)</t>
        </is>
      </c>
      <c r="B45" s="4" t="n"/>
      <c r="C45" s="68" t="inlineStr">
        <is>
          <t>MEREQ001</t>
        </is>
      </c>
      <c r="D45" s="4" t="n"/>
      <c r="E45" s="69" t="inlineStr">
        <is>
          <t>הרחבת לקוח לדרישות רכש (חיוב/שדות)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70" t="inlineStr">
        <is>
          <t>BAdI (SE18)</t>
        </is>
      </c>
      <c r="B46" s="4" t="n"/>
      <c r="C46" s="71" t="inlineStr">
        <is>
          <t>MB_DOCUMENT_BADI</t>
        </is>
      </c>
      <c r="D46" s="4" t="n"/>
      <c r="E46" s="72" t="inlineStr">
        <is>
          <t>BAdI למסמך חומר (בדיקות/הרחבה בתנועת מלאי)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BAdI (SE18)</t>
        </is>
      </c>
      <c r="B47" s="4" t="n"/>
      <c r="C47" s="68" t="inlineStr">
        <is>
          <t>ME_PROCESS_REQ_CUST</t>
        </is>
      </c>
      <c r="D47" s="4" t="n"/>
      <c r="E47" s="69" t="inlineStr">
        <is>
          <t>BAdI לעיבוד דרישת רכש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ארכיטקטורה ECC↔S/4</t>
        </is>
      </c>
      <c r="B48" s="4" t="n"/>
      <c r="C48" s="71" t="inlineStr">
        <is>
          <t>—</t>
        </is>
      </c>
      <c r="D48" s="4" t="n"/>
      <c r="E48" s="72" t="inlineStr">
        <is>
          <t>מסמכי חומר MKPF/MSEG הוחלפו ב-MATDOC (טבלה מאוחדת); MKPF/MSEG הם Compatibility Views.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ארכיטקטורה ECC↔S/4</t>
        </is>
      </c>
      <c r="B49" s="4" t="n"/>
      <c r="C49" s="68" t="inlineStr">
        <is>
          <t>—</t>
        </is>
      </c>
      <c r="D49" s="4" t="n"/>
      <c r="E49" s="69" t="inlineStr">
        <is>
          <t>ספקים נוהלו דרך LFA1 - ב-S/4 דרך Business Partner (BP) עם CVI חובה.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ארכיטקטורה ECC↔S/4</t>
        </is>
      </c>
      <c r="B50" s="4" t="n"/>
      <c r="C50" s="71" t="inlineStr">
        <is>
          <t>—</t>
        </is>
      </c>
      <c r="D50" s="4" t="n"/>
      <c r="E50" s="72" t="inlineStr">
        <is>
          <t>MIGO/MB1A/ME21N נתמכים; הארכת אורך חומר ל-40 תווים משפיעה על ממשקים.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</sheetData>
  <mergeCells count="90">
    <mergeCell ref="N26:N31"/>
    <mergeCell ref="P26:P31"/>
    <mergeCell ref="H26:H31"/>
    <mergeCell ref="B19:B23"/>
    <mergeCell ref="M12:M16"/>
    <mergeCell ref="C4:C9"/>
    <mergeCell ref="L34:L38"/>
    <mergeCell ref="I26:I31"/>
    <mergeCell ref="N34:N38"/>
    <mergeCell ref="K26:K31"/>
    <mergeCell ref="O4:O9"/>
    <mergeCell ref="C50:D50"/>
    <mergeCell ref="A11:P11"/>
    <mergeCell ref="C43:D43"/>
    <mergeCell ref="A42:B42"/>
    <mergeCell ref="J19:J23"/>
    <mergeCell ref="L19:L23"/>
    <mergeCell ref="E50:P50"/>
    <mergeCell ref="L12:L16"/>
    <mergeCell ref="E42:P42"/>
    <mergeCell ref="I12:I16"/>
    <mergeCell ref="K12:K16"/>
    <mergeCell ref="E44:P44"/>
    <mergeCell ref="A48:B48"/>
    <mergeCell ref="B26:B31"/>
    <mergeCell ref="H4:H9"/>
    <mergeCell ref="O12:O16"/>
    <mergeCell ref="A45:B45"/>
    <mergeCell ref="C45:D45"/>
    <mergeCell ref="E46:P46"/>
    <mergeCell ref="C47:D47"/>
    <mergeCell ref="A46:B46"/>
    <mergeCell ref="B12:B16"/>
    <mergeCell ref="E47:P47"/>
    <mergeCell ref="N12:N16"/>
    <mergeCell ref="E43:P43"/>
    <mergeCell ref="M26:M31"/>
    <mergeCell ref="H34:H38"/>
    <mergeCell ref="J34:J38"/>
    <mergeCell ref="B4:B9"/>
    <mergeCell ref="N4:N9"/>
    <mergeCell ref="A49:B49"/>
    <mergeCell ref="P4:P9"/>
    <mergeCell ref="A1:B1"/>
    <mergeCell ref="H12:H16"/>
    <mergeCell ref="O26:O31"/>
    <mergeCell ref="E45:P45"/>
    <mergeCell ref="I19:I23"/>
    <mergeCell ref="C44:D44"/>
    <mergeCell ref="K19:K23"/>
    <mergeCell ref="C19:C23"/>
    <mergeCell ref="C34:C38"/>
    <mergeCell ref="C46:D46"/>
    <mergeCell ref="M34:M38"/>
    <mergeCell ref="J26:J31"/>
    <mergeCell ref="O34:O38"/>
    <mergeCell ref="L26:L31"/>
    <mergeCell ref="C48:D48"/>
    <mergeCell ref="A25:P25"/>
    <mergeCell ref="P34:P38"/>
    <mergeCell ref="I4:I9"/>
    <mergeCell ref="A43:B43"/>
    <mergeCell ref="A18:P18"/>
    <mergeCell ref="A3:P3"/>
    <mergeCell ref="K4:K9"/>
    <mergeCell ref="C49:D49"/>
    <mergeCell ref="M4:M9"/>
    <mergeCell ref="C42:D42"/>
    <mergeCell ref="B34:B38"/>
    <mergeCell ref="N19:N23"/>
    <mergeCell ref="J12:J16"/>
    <mergeCell ref="P19:P23"/>
    <mergeCell ref="H19:H23"/>
    <mergeCell ref="C26:C31"/>
    <mergeCell ref="P12:P16"/>
    <mergeCell ref="E49:P49"/>
    <mergeCell ref="C1:P1"/>
    <mergeCell ref="A50:B50"/>
    <mergeCell ref="I34:I38"/>
    <mergeCell ref="K34:K38"/>
    <mergeCell ref="J4:J9"/>
    <mergeCell ref="L4:L9"/>
    <mergeCell ref="A47:B47"/>
    <mergeCell ref="M19:M23"/>
    <mergeCell ref="O19:O23"/>
    <mergeCell ref="A41:P41"/>
    <mergeCell ref="C12:C16"/>
    <mergeCell ref="A44:B44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7" t="inlineStr">
        <is>
          <t>PK/FK</t>
        </is>
      </c>
      <c r="H4" s="42" t="inlineStr">
        <is>
          <t>• K_COSTS_READ
• K_ORDER_SETTLEMENT</t>
        </is>
      </c>
      <c r="I4" s="48" t="inlineStr">
        <is>
          <t>• קריאת עלויות אובייקט
• ביצוע התחשבנות פק"ע</t>
        </is>
      </c>
      <c r="J4" s="42" t="inlineStr">
        <is>
          <t>• RKO7KO88</t>
        </is>
      </c>
      <c r="K4" s="48" t="inlineStr">
        <is>
          <t>• תוכנית ההתחשבנות (KO88)</t>
        </is>
      </c>
      <c r="L4" s="49" t="inlineStr">
        <is>
          <t>הוחלף - עלויות ב-Universal Journal</t>
        </is>
      </c>
      <c r="M4" s="49" t="inlineStr">
        <is>
          <t>ACDOCA (COSP=View תאימות)</t>
        </is>
      </c>
      <c r="N4" s="49" t="inlineStr">
        <is>
          <t>KO88 נתמך; Fiori Settlement</t>
        </is>
      </c>
      <c r="O4" s="43" t="inlineStr">
        <is>
          <t>Maintenance Order Actuals (אמת ID)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KSTAR</t>
        </is>
      </c>
      <c r="E5" s="53" t="inlineStr">
        <is>
          <t>Cost element</t>
        </is>
      </c>
      <c r="F5" s="54" t="inlineStr">
        <is>
          <t>אלמנט עלות</t>
        </is>
      </c>
      <c r="G5" s="62" t="inlineStr">
        <is>
          <t>PK/FK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GJAHR</t>
        </is>
      </c>
      <c r="E7" s="53" t="inlineStr">
        <is>
          <t>Fiscal year</t>
        </is>
      </c>
      <c r="F7" s="54" t="inlineStr">
        <is>
          <t>שנת כספים</t>
        </is>
      </c>
      <c r="G7" s="62" t="inlineStr">
        <is>
          <t>PK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KO88; KOB1</t>
        </is>
      </c>
      <c r="C11" s="61" t="inlineStr">
        <is>
          <t>COSS</t>
        </is>
      </c>
      <c r="D11" s="52" t="inlineStr">
        <is>
          <t>OBJNR</t>
        </is>
      </c>
      <c r="E11" s="53" t="inlineStr">
        <is>
          <t>CO object</t>
        </is>
      </c>
      <c r="F11" s="54" t="inlineStr">
        <is>
          <t>אובייקט CO</t>
        </is>
      </c>
      <c r="G11" s="62" t="inlineStr">
        <is>
          <t>PK/FK</t>
        </is>
      </c>
      <c r="H11" s="60" t="inlineStr">
        <is>
          <t>• K_COSTS_READ</t>
        </is>
      </c>
      <c r="I11" s="63" t="inlineStr">
        <is>
          <t>• קריאת עלויות פנימיות</t>
        </is>
      </c>
      <c r="J11" s="60" t="inlineStr">
        <is>
          <t>• RKAEP000</t>
        </is>
      </c>
      <c r="K11" s="63" t="inlineStr">
        <is>
          <t>• דוח פריטי עלות בפועל</t>
        </is>
      </c>
      <c r="L11" s="64" t="inlineStr">
        <is>
          <t>הוחלף - עלויות ב-Universal Journal</t>
        </is>
      </c>
      <c r="M11" s="64" t="inlineStr">
        <is>
          <t>ACDOCA (COSS=View תאימות)</t>
        </is>
      </c>
      <c r="N11" s="64" t="inlineStr">
        <is>
          <t>KO88 נתמך; Fiori</t>
        </is>
      </c>
      <c r="O11" s="65" t="inlineStr">
        <is>
          <t>Maintenance Order Actuals (אמת ID)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47" t="inlineStr">
        <is>
          <t>PK/FK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WRTTP</t>
        </is>
      </c>
      <c r="E13" s="53" t="inlineStr">
        <is>
          <t>Value type</t>
        </is>
      </c>
      <c r="F13" s="54" t="inlineStr">
        <is>
          <t>סוג ערך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47" t="inlineStr">
        <is>
          <t>PK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PARGB</t>
        </is>
      </c>
      <c r="E15" s="53" t="inlineStr">
        <is>
          <t>Partner / sender object</t>
        </is>
      </c>
      <c r="F15" s="54" t="inlineStr">
        <is>
          <t>אובייקט שותף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7" t="inlineStr">
        <is>
          <t>PK/FK</t>
        </is>
      </c>
      <c r="H18" s="42" t="inlineStr">
        <is>
          <t>• K_SETTLEMENT_RULE_READ</t>
        </is>
      </c>
      <c r="I18" s="48" t="inlineStr">
        <is>
          <t>• קריאת חוק התחשבנות</t>
        </is>
      </c>
      <c r="J18" s="42" t="inlineStr">
        <is>
          <t>• RKACOR40</t>
        </is>
      </c>
      <c r="K18" s="48" t="inlineStr">
        <is>
          <t>• איתור חוקי התחשבנות חסרים</t>
        </is>
      </c>
      <c r="L18" s="49" t="inlineStr">
        <is>
          <t>ללא שינוי (תואם)</t>
        </is>
      </c>
      <c r="M18" s="49" t="inlineStr">
        <is>
          <t>COBRA (זהה)</t>
        </is>
      </c>
      <c r="N18" s="49" t="inlineStr">
        <is>
          <t>KO02/IW32 (זהה)</t>
        </is>
      </c>
      <c r="O18" s="43" t="inlineStr">
        <is>
          <t>Manage Settlement Rules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BUREG</t>
        </is>
      </c>
      <c r="E19" s="53" t="inlineStr">
        <is>
          <t>Settlement rule</t>
        </is>
      </c>
      <c r="F19" s="54" t="inlineStr">
        <is>
          <t>חוק התחשבנות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ERLKZ</t>
        </is>
      </c>
      <c r="E21" s="53" t="inlineStr">
        <is>
          <t>Completion indicator</t>
        </is>
      </c>
      <c r="F21" s="54" t="inlineStr">
        <is>
          <t>מחוון השלמה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7" t="inlineStr">
        <is>
          <t>PK/FK</t>
        </is>
      </c>
      <c r="H24" s="42" t="inlineStr">
        <is>
          <t>• K_SETTLEMENT_RULE_READ</t>
        </is>
      </c>
      <c r="I24" s="48" t="inlineStr">
        <is>
          <t>• קריאת פריטי חוק התחשבנות</t>
        </is>
      </c>
      <c r="J24" s="42" t="inlineStr">
        <is>
          <t>• RKACOR40</t>
        </is>
      </c>
      <c r="K24" s="48" t="inlineStr">
        <is>
          <t>• בדיקת תקינות חוקי חלוקה</t>
        </is>
      </c>
      <c r="L24" s="49" t="inlineStr">
        <is>
          <t>ללא שינוי (תואם)</t>
        </is>
      </c>
      <c r="M24" s="49" t="inlineStr">
        <is>
          <t>COBRB (זהה)</t>
        </is>
      </c>
      <c r="N24" s="49" t="inlineStr">
        <is>
          <t>KO02/IW32 (זהה)</t>
        </is>
      </c>
      <c r="O24" s="43" t="inlineStr">
        <is>
          <t>Manage Settlement Rules (אמת ID)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BUREG</t>
        </is>
      </c>
      <c r="E25" s="53" t="inlineStr">
        <is>
          <t>Settlement rule</t>
        </is>
      </c>
      <c r="F25" s="54" t="inlineStr">
        <is>
          <t>חוק התחשבנות</t>
        </is>
      </c>
      <c r="G25" s="62" t="inlineStr">
        <is>
          <t>PK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EMPGE</t>
        </is>
      </c>
      <c r="E27" s="53" t="inlineStr">
        <is>
          <t>Settlement receiver</t>
        </is>
      </c>
      <c r="F27" s="54" t="inlineStr">
        <is>
          <t>המקבל בפועל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COOMEP01</t>
        </is>
      </c>
      <c r="D33" s="4" t="n"/>
      <c r="E33" s="69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KOAB0001</t>
        </is>
      </c>
      <c r="D34" s="4" t="n"/>
      <c r="E34" s="72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BAdI (SE18)</t>
        </is>
      </c>
      <c r="B35" s="4" t="n"/>
      <c r="C35" s="68" t="inlineStr">
        <is>
          <t>BADI_SETTLEMENT</t>
        </is>
      </c>
      <c r="D35" s="4" t="n"/>
      <c r="E35" s="69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ארכיטקטורה ECC↔S/4</t>
        </is>
      </c>
      <c r="B36" s="4" t="n"/>
      <c r="C36" s="71" t="inlineStr">
        <is>
          <t>—</t>
        </is>
      </c>
      <c r="D36" s="4" t="n"/>
      <c r="E36" s="72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ארכיטקטורה ECC↔S/4</t>
        </is>
      </c>
      <c r="B37" s="4" t="n"/>
      <c r="C37" s="68" t="inlineStr">
        <is>
          <t>—</t>
        </is>
      </c>
      <c r="D37" s="4" t="n"/>
      <c r="E37" s="69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</sheetData>
  <mergeCells count="72">
    <mergeCell ref="C34:D34"/>
    <mergeCell ref="E38:P38"/>
    <mergeCell ref="J4:J8"/>
    <mergeCell ref="L4:L8"/>
    <mergeCell ref="A17:P17"/>
    <mergeCell ref="H11:H15"/>
    <mergeCell ref="A23:P23"/>
    <mergeCell ref="C11:C15"/>
    <mergeCell ref="J11:J15"/>
    <mergeCell ref="B18:B21"/>
    <mergeCell ref="C33:D33"/>
    <mergeCell ref="A36:B36"/>
    <mergeCell ref="I24:I28"/>
    <mergeCell ref="A1:B1"/>
    <mergeCell ref="I4:I8"/>
    <mergeCell ref="O18:O21"/>
    <mergeCell ref="E34:P34"/>
    <mergeCell ref="L18:L21"/>
    <mergeCell ref="C35:D35"/>
    <mergeCell ref="A10:P10"/>
    <mergeCell ref="N18:N21"/>
    <mergeCell ref="E35:P35"/>
    <mergeCell ref="O11:O15"/>
    <mergeCell ref="M24:M28"/>
    <mergeCell ref="M4:M8"/>
    <mergeCell ref="B4:B8"/>
    <mergeCell ref="B24:B28"/>
    <mergeCell ref="A31:P31"/>
    <mergeCell ref="A37:B37"/>
    <mergeCell ref="C1:P1"/>
    <mergeCell ref="P24:P28"/>
    <mergeCell ref="E36:P36"/>
    <mergeCell ref="H24:H28"/>
    <mergeCell ref="N24:N28"/>
    <mergeCell ref="N11:N15"/>
    <mergeCell ref="P4:P8"/>
    <mergeCell ref="K4:K8"/>
    <mergeCell ref="I11:I15"/>
    <mergeCell ref="I18:I21"/>
    <mergeCell ref="E32:P32"/>
    <mergeCell ref="H4:H8"/>
    <mergeCell ref="N4:N8"/>
    <mergeCell ref="M18:M21"/>
    <mergeCell ref="A33:B33"/>
    <mergeCell ref="L11:L15"/>
    <mergeCell ref="C24:C28"/>
    <mergeCell ref="C4:C8"/>
    <mergeCell ref="A32:B32"/>
    <mergeCell ref="C36:D36"/>
    <mergeCell ref="K24:K28"/>
    <mergeCell ref="E37:P37"/>
    <mergeCell ref="O24:O28"/>
    <mergeCell ref="A35:B35"/>
    <mergeCell ref="P18:P21"/>
    <mergeCell ref="L24:L28"/>
    <mergeCell ref="H18:H21"/>
    <mergeCell ref="C32:D32"/>
    <mergeCell ref="A38:B38"/>
    <mergeCell ref="J18:J21"/>
    <mergeCell ref="C38:D38"/>
    <mergeCell ref="K18:K21"/>
    <mergeCell ref="B11:B15"/>
    <mergeCell ref="E33:P33"/>
    <mergeCell ref="K11:K15"/>
    <mergeCell ref="C37:D37"/>
    <mergeCell ref="M11:M15"/>
    <mergeCell ref="J24:J28"/>
    <mergeCell ref="A3:P3"/>
    <mergeCell ref="P11:P15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7" t="inlineStr">
        <is>
          <t>PK</t>
        </is>
      </c>
      <c r="H4" s="42" t="inlineStr">
        <is>
          <t>• BAPI_TASKLIST_CREATE
• CARO_TASKLIST_READ</t>
        </is>
      </c>
      <c r="I4" s="48" t="inlineStr">
        <is>
          <t>• יצירת רשימת פעולות
• קריאת רשימת פעולות</t>
        </is>
      </c>
      <c r="J4" s="42" t="inlineStr">
        <is>
          <t>• RIPLKO00</t>
        </is>
      </c>
      <c r="K4" s="48" t="inlineStr">
        <is>
          <t>• דוח רשימות פעולות לפי קבוצה</t>
        </is>
      </c>
      <c r="L4" s="49" t="inlineStr">
        <is>
          <t>ללא שינוי (תואם)</t>
        </is>
      </c>
      <c r="M4" s="49" t="inlineStr">
        <is>
          <t>PLKO (זהה)</t>
        </is>
      </c>
      <c r="N4" s="49" t="inlineStr">
        <is>
          <t>IA05-IA12; Fiori</t>
        </is>
      </c>
      <c r="O4" s="43" t="inlineStr">
        <is>
          <t>Manage Task Lists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PLNAL</t>
        </is>
      </c>
      <c r="E5" s="53" t="inlineStr">
        <is>
          <t>Group counter / alternative</t>
        </is>
      </c>
      <c r="F5" s="54" t="inlineStr">
        <is>
          <t>חלופת רשימה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VERWE</t>
        </is>
      </c>
      <c r="E7" s="53" t="inlineStr">
        <is>
          <t>Task list usage</t>
        </is>
      </c>
      <c r="F7" s="54" t="inlineStr">
        <is>
          <t>שימוש רשימה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IA01/IA05; IA06</t>
        </is>
      </c>
      <c r="C11" s="61" t="inlineStr">
        <is>
          <t>PLPO</t>
        </is>
      </c>
      <c r="D11" s="52" t="inlineStr">
        <is>
          <t>PLNTY</t>
        </is>
      </c>
      <c r="E11" s="53" t="inlineStr">
        <is>
          <t>Task list type</t>
        </is>
      </c>
      <c r="F11" s="54" t="inlineStr">
        <is>
          <t>סוג רשימה</t>
        </is>
      </c>
      <c r="G11" s="62" t="inlineStr">
        <is>
          <t>PK</t>
        </is>
      </c>
      <c r="H11" s="60" t="inlineStr">
        <is>
          <t>• CP_DI_OPERATION_READ</t>
        </is>
      </c>
      <c r="I11" s="63" t="inlineStr">
        <is>
          <t>• קריאת פעולות הרשימה</t>
        </is>
      </c>
      <c r="J11" s="60" t="inlineStr">
        <is>
          <t>• RIPLKO00</t>
        </is>
      </c>
      <c r="K11" s="63" t="inlineStr">
        <is>
          <t>• דוח פעולות רשימה</t>
        </is>
      </c>
      <c r="L11" s="64" t="inlineStr">
        <is>
          <t>ללא שינוי (תואם)</t>
        </is>
      </c>
      <c r="M11" s="64" t="inlineStr">
        <is>
          <t>PLPO (זהה)</t>
        </is>
      </c>
      <c r="N11" s="64" t="inlineStr">
        <is>
          <t>IA0*; Fiori</t>
        </is>
      </c>
      <c r="O11" s="65" t="inlineStr">
        <is>
          <t>Manage Task Lists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VORNR</t>
        </is>
      </c>
      <c r="E13" s="53" t="inlineStr">
        <is>
          <t>Operation number</t>
        </is>
      </c>
      <c r="F13" s="54" t="inlineStr">
        <is>
          <t>מספר פעולה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STEUS</t>
        </is>
      </c>
      <c r="E15" s="53" t="inlineStr">
        <is>
          <t>Control key</t>
        </is>
      </c>
      <c r="F15" s="54" t="inlineStr">
        <is>
          <t>מפתח בקרה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IP01/IP02/IP03; IP41, IP42</t>
        </is>
      </c>
      <c r="C19" s="61" t="inlineStr">
        <is>
          <t>MPLA</t>
        </is>
      </c>
      <c r="D19" s="52" t="inlineStr">
        <is>
          <t>WARPL</t>
        </is>
      </c>
      <c r="E19" s="53" t="inlineStr">
        <is>
          <t>Maintenance plan number</t>
        </is>
      </c>
      <c r="F19" s="54" t="inlineStr">
        <is>
          <t>מספר תכנית אחזקה</t>
        </is>
      </c>
      <c r="G19" s="62" t="inlineStr">
        <is>
          <t>PK</t>
        </is>
      </c>
      <c r="H19" s="60" t="inlineStr">
        <is>
          <t>• BAPI_MAINTENANCEPLAN_CREATE
• MAINTENANCE_PLAN_SCHEDULE</t>
        </is>
      </c>
      <c r="I19" s="63" t="inlineStr">
        <is>
          <t>• יצירת תכנית אחזקה
• תזמון תכנית אחזקה</t>
        </is>
      </c>
      <c r="J19" s="60" t="inlineStr">
        <is>
          <t>• RIMPLA00</t>
        </is>
      </c>
      <c r="K19" s="63" t="inlineStr">
        <is>
          <t>• דוח תכניות אחזקה ופריטיהן</t>
        </is>
      </c>
      <c r="L19" s="64" t="inlineStr">
        <is>
          <t>ללא שינוי (תואם)</t>
        </is>
      </c>
      <c r="M19" s="64" t="inlineStr">
        <is>
          <t>MPLA (זהה)</t>
        </is>
      </c>
      <c r="N19" s="64" t="inlineStr">
        <is>
          <t>IP01-03; Fiori</t>
        </is>
      </c>
      <c r="O19" s="65" t="inlineStr">
        <is>
          <t>Manage Maintenance Plans (אמת ID)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STRAT</t>
        </is>
      </c>
      <c r="E21" s="53" t="inlineStr">
        <is>
          <t>Maintenance strategy</t>
        </is>
      </c>
      <c r="F21" s="54" t="inlineStr">
        <is>
          <t>אסטרטגיית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ABRHO</t>
        </is>
      </c>
      <c r="E23" s="53" t="inlineStr">
        <is>
          <t>Scheduling period</t>
        </is>
      </c>
      <c r="F23" s="54" t="inlineStr">
        <is>
          <t>תקופת תזמון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7" t="inlineStr">
        <is>
          <t>PK</t>
        </is>
      </c>
      <c r="H26" s="42" t="inlineStr">
        <is>
          <t>• MAINTENANCE_ITEM_READ</t>
        </is>
      </c>
      <c r="I26" s="48" t="inlineStr">
        <is>
          <t>• קריאת פריט תכנית אחזקה</t>
        </is>
      </c>
      <c r="J26" s="42" t="inlineStr">
        <is>
          <t>• RIMPLA00</t>
        </is>
      </c>
      <c r="K26" s="48" t="inlineStr">
        <is>
          <t>• דוח פריטי תכנית אחזקה</t>
        </is>
      </c>
      <c r="L26" s="49" t="inlineStr">
        <is>
          <t>ללא שינוי (תואם)</t>
        </is>
      </c>
      <c r="M26" s="49" t="inlineStr">
        <is>
          <t>MPOS (זהה)</t>
        </is>
      </c>
      <c r="N26" s="49" t="inlineStr">
        <is>
          <t>IP04; Fiori</t>
        </is>
      </c>
      <c r="O26" s="43" t="inlineStr">
        <is>
          <t>Manage Maintenance Plans (אמת ID)</t>
        </is>
      </c>
      <c r="P26" s="49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50" t="n">
        <v>18</v>
      </c>
      <c r="B27" s="51" t="n"/>
      <c r="C27" s="51" t="n"/>
      <c r="D27" s="52" t="inlineStr">
        <is>
          <t>WARPL</t>
        </is>
      </c>
      <c r="E27" s="53" t="inlineStr">
        <is>
          <t>Maintenance plan</t>
        </is>
      </c>
      <c r="F27" s="54" t="inlineStr">
        <is>
          <t>תכנית אחזקה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TPLNR</t>
        </is>
      </c>
      <c r="E29" s="53" t="inlineStr">
        <is>
          <t>Reference functional location</t>
        </is>
      </c>
      <c r="F29" s="54" t="inlineStr">
        <is>
          <t>מיקום מתייחס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PLNNR</t>
        </is>
      </c>
      <c r="E31" s="53" t="inlineStr">
        <is>
          <t>Task list group</t>
        </is>
      </c>
      <c r="F31" s="54" t="inlineStr">
        <is>
          <t>קבוצת רשימת פעולות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7" t="inlineStr">
        <is>
          <t>PK/FK</t>
        </is>
      </c>
      <c r="H34" s="42" t="inlineStr">
        <is>
          <t>• ISCHED_CALL_GENERATE
• MAINTENANCE_PLAN_SCHEDULE</t>
        </is>
      </c>
      <c r="I34" s="48" t="inlineStr">
        <is>
          <t>• יצירת קריאת אחזקה ופק"ע
• תזמון ושחרור קריאות</t>
        </is>
      </c>
      <c r="J34" s="42" t="inlineStr">
        <is>
          <t>• RISTRA20</t>
        </is>
      </c>
      <c r="K34" s="48" t="inlineStr">
        <is>
          <t>• ניטור מועדים ברקע (IP30)</t>
        </is>
      </c>
      <c r="L34" s="49" t="inlineStr">
        <is>
          <t>ללא שינוי (תואם)</t>
        </is>
      </c>
      <c r="M34" s="49" t="inlineStr">
        <is>
          <t>MHIO (זהה)</t>
        </is>
      </c>
      <c r="N34" s="49" t="inlineStr">
        <is>
          <t>IP10/IP30; Fiori</t>
        </is>
      </c>
      <c r="O34" s="43" t="inlineStr">
        <is>
          <t>Schedule Maintenance Plans (אמת ID)</t>
        </is>
      </c>
      <c r="P34" s="49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50" t="n">
        <v>24</v>
      </c>
      <c r="B35" s="51" t="n"/>
      <c r="C35" s="51" t="n"/>
      <c r="D35" s="52" t="inlineStr">
        <is>
          <t>ABNUM</t>
        </is>
      </c>
      <c r="E35" s="53" t="inlineStr">
        <is>
          <t>Maintenance call number</t>
        </is>
      </c>
      <c r="F35" s="54" t="inlineStr">
        <is>
          <t>מספר קריאה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AUFNR</t>
        </is>
      </c>
      <c r="E37" s="53" t="inlineStr">
        <is>
          <t>Order created</t>
        </is>
      </c>
      <c r="F37" s="54" t="inlineStr">
        <is>
          <t>פק"ע שנוצרה</t>
        </is>
      </c>
      <c r="G37" s="59" t="inlineStr">
        <is>
          <t>FK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IP10; IP30</t>
        </is>
      </c>
      <c r="C41" s="61" t="inlineStr">
        <is>
          <t>MHIS</t>
        </is>
      </c>
      <c r="D41" s="52" t="inlineStr">
        <is>
          <t>WARPL</t>
        </is>
      </c>
      <c r="E41" s="53" t="inlineStr">
        <is>
          <t>Maintenance plan</t>
        </is>
      </c>
      <c r="F41" s="54" t="inlineStr">
        <is>
          <t>תכנית אחזקה</t>
        </is>
      </c>
      <c r="G41" s="62" t="inlineStr">
        <is>
          <t>PK/FK</t>
        </is>
      </c>
      <c r="H41" s="60" t="inlineStr">
        <is>
          <t>• SCHEDULING_HISTORY_READ</t>
        </is>
      </c>
      <c r="I41" s="63" t="inlineStr">
        <is>
          <t>• קריאת היסטוריית תזמון</t>
        </is>
      </c>
      <c r="J41" s="60" t="inlineStr">
        <is>
          <t>• RISTRA10</t>
        </is>
      </c>
      <c r="K41" s="63" t="inlineStr">
        <is>
          <t>• ניתוח אסטרטגיות וחבילות אחזקה</t>
        </is>
      </c>
      <c r="L41" s="64" t="inlineStr">
        <is>
          <t>ללא שינוי (תואם)</t>
        </is>
      </c>
      <c r="M41" s="64" t="inlineStr">
        <is>
          <t>MHIS (זהה)</t>
        </is>
      </c>
      <c r="N41" s="64" t="inlineStr">
        <is>
          <t>IP10/IP30; Fiori</t>
        </is>
      </c>
      <c r="O41" s="65" t="inlineStr">
        <is>
          <t>Schedule Maintenance Plans (אמת ID)</t>
        </is>
      </c>
      <c r="P41" s="64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1" t="n"/>
      <c r="C42" s="51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47" t="inlineStr">
        <is>
          <t>PK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NTERM</t>
        </is>
      </c>
      <c r="E43" s="53" t="inlineStr">
        <is>
          <t>Planned date</t>
        </is>
      </c>
      <c r="F43" s="54" t="inlineStr">
        <is>
          <t>מועד מתוכנן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8" t="n"/>
      <c r="C44" s="58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6" t="inlineStr">
        <is>
          <t>-</t>
        </is>
      </c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66" t="inlineStr">
        <is>
          <t>סוג (Type)</t>
        </is>
      </c>
      <c r="B48" s="4" t="n"/>
      <c r="C48" s="66" t="inlineStr">
        <is>
          <t>קוד / שם טכני (Code)</t>
        </is>
      </c>
      <c r="D48" s="4" t="n"/>
      <c r="E48" s="66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IPRM0001</t>
        </is>
      </c>
      <c r="D49" s="4" t="n"/>
      <c r="E49" s="69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IPRM0002</t>
        </is>
      </c>
      <c r="D50" s="4" t="n"/>
      <c r="E50" s="72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BADI_EAM_MAINT_PLAN</t>
        </is>
      </c>
      <c r="D51" s="4" t="n"/>
      <c r="E51" s="69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3">
    <mergeCell ref="H41:H44"/>
    <mergeCell ref="N26:N31"/>
    <mergeCell ref="P26:P31"/>
    <mergeCell ref="H26:H31"/>
    <mergeCell ref="A51:B51"/>
    <mergeCell ref="B19:B23"/>
    <mergeCell ref="I41:I44"/>
    <mergeCell ref="K41:K44"/>
    <mergeCell ref="L34:L38"/>
    <mergeCell ref="I26:I31"/>
    <mergeCell ref="N34:N38"/>
    <mergeCell ref="K26:K31"/>
    <mergeCell ref="B4:B8"/>
    <mergeCell ref="B11:B16"/>
    <mergeCell ref="C50:D50"/>
    <mergeCell ref="P4:P8"/>
    <mergeCell ref="K4:K8"/>
    <mergeCell ref="P11:P16"/>
    <mergeCell ref="H4:H8"/>
    <mergeCell ref="J19:J23"/>
    <mergeCell ref="L19:L23"/>
    <mergeCell ref="A53:B53"/>
    <mergeCell ref="E50:P50"/>
    <mergeCell ref="E52:P52"/>
    <mergeCell ref="B41:B44"/>
    <mergeCell ref="A48:B48"/>
    <mergeCell ref="N41:N44"/>
    <mergeCell ref="B26:B31"/>
    <mergeCell ref="P41:P44"/>
    <mergeCell ref="J4:J8"/>
    <mergeCell ref="I4:I8"/>
    <mergeCell ref="I11:I16"/>
    <mergeCell ref="A10:P10"/>
    <mergeCell ref="M4:M8"/>
    <mergeCell ref="J41:J44"/>
    <mergeCell ref="M26:M31"/>
    <mergeCell ref="H34:H38"/>
    <mergeCell ref="A52:B52"/>
    <mergeCell ref="J34:J38"/>
    <mergeCell ref="L11:L16"/>
    <mergeCell ref="C53:D53"/>
    <mergeCell ref="N11:N16"/>
    <mergeCell ref="A49:B49"/>
    <mergeCell ref="A1:B1"/>
    <mergeCell ref="O26:O31"/>
    <mergeCell ref="A40:P40"/>
    <mergeCell ref="K11:K16"/>
    <mergeCell ref="I19:I23"/>
    <mergeCell ref="M11:M16"/>
    <mergeCell ref="K19:K23"/>
    <mergeCell ref="O41:O44"/>
    <mergeCell ref="C19:C23"/>
    <mergeCell ref="L41:L44"/>
    <mergeCell ref="C34:C38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A25:P25"/>
    <mergeCell ref="M41:M44"/>
    <mergeCell ref="P34:P38"/>
    <mergeCell ref="A18:P18"/>
    <mergeCell ref="A3:P3"/>
    <mergeCell ref="O4:O8"/>
    <mergeCell ref="C49:D49"/>
    <mergeCell ref="E51:P51"/>
    <mergeCell ref="A47:P47"/>
    <mergeCell ref="L4:L8"/>
    <mergeCell ref="B34:B38"/>
    <mergeCell ref="N19:N23"/>
    <mergeCell ref="P19:P23"/>
    <mergeCell ref="C41:C44"/>
    <mergeCell ref="H19:H23"/>
    <mergeCell ref="C26:C31"/>
    <mergeCell ref="E49:P49"/>
    <mergeCell ref="C1:P1"/>
    <mergeCell ref="H11:H16"/>
    <mergeCell ref="J11:J16"/>
    <mergeCell ref="A50:B50"/>
    <mergeCell ref="I34:I38"/>
    <mergeCell ref="N4:N8"/>
    <mergeCell ref="K34:K38"/>
    <mergeCell ref="M19:M23"/>
    <mergeCell ref="E53:P53"/>
    <mergeCell ref="O19:O23"/>
    <mergeCell ref="C52:D52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BAPI_ALM_NOTIF_GET_DETAIL
• BAPI_ALM_NOTIF_LIST_FILTER</t>
        </is>
      </c>
      <c r="I4" s="48" t="inlineStr">
        <is>
          <t>• שליפת פרטי הודעה היסטורית
• סינון הודעות לפי קריטריון</t>
        </is>
      </c>
      <c r="J4" s="42" t="inlineStr">
        <is>
          <t>• RIQMEL20</t>
        </is>
      </c>
      <c r="K4" s="48" t="inlineStr">
        <is>
          <t>• דוח היסטוריית הודעות (MTBF/MTTR)</t>
        </is>
      </c>
      <c r="L4" s="49" t="inlineStr">
        <is>
          <t>ללא שינוי; ניתוח דרך Analytics/CDS</t>
        </is>
      </c>
      <c r="M4" s="49" t="inlineStr">
        <is>
          <t>QMEL (זהה) + CDS אנליטי</t>
        </is>
      </c>
      <c r="N4" s="49" t="inlineStr">
        <is>
          <t>IW64 נתמך; Fiori/Analytics</t>
        </is>
      </c>
      <c r="O4" s="43" t="inlineStr">
        <is>
          <t>Maintenance Backlog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</t>
        </is>
      </c>
      <c r="F5" s="54" t="inlineStr">
        <is>
          <t>סוג הודעה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AUSBS</t>
        </is>
      </c>
      <c r="E7" s="53" t="inlineStr">
        <is>
          <t>Breakdown end</t>
        </is>
      </c>
      <c r="F7" s="54" t="inlineStr">
        <is>
          <t>סיום השבתה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IW39; IW13</t>
        </is>
      </c>
      <c r="C11" s="61" t="inlineStr">
        <is>
          <t>AUFK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</t>
        </is>
      </c>
      <c r="H11" s="60" t="inlineStr">
        <is>
          <t>• BAPI_ALM_ORDERHEAD_GET_LIST</t>
        </is>
      </c>
      <c r="I11" s="63" t="inlineStr">
        <is>
          <t>• שליפת רשימת פק"ע היסטוריות</t>
        </is>
      </c>
      <c r="J11" s="60" t="inlineStr">
        <is>
          <t>• RIAUFK20</t>
        </is>
      </c>
      <c r="K11" s="63" t="inlineStr">
        <is>
          <t>• דוח פק"ע סגורות וניתוח עלות מחזור חיים</t>
        </is>
      </c>
      <c r="L11" s="64" t="inlineStr">
        <is>
          <t>מותאם; עלות ב-ACDOCA</t>
        </is>
      </c>
      <c r="M11" s="64" t="inlineStr">
        <is>
          <t>AUFK (זהה); עלות ב-ACDOCA</t>
        </is>
      </c>
      <c r="N11" s="64" t="inlineStr">
        <is>
          <t>IW39 נתמך; Fiori</t>
        </is>
      </c>
      <c r="O11" s="65" t="inlineStr">
        <is>
          <t>Find Maintenance Order (F2393)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IDAT2</t>
        </is>
      </c>
      <c r="E13" s="53" t="inlineStr">
        <is>
          <t>Technical completion date (TECO)</t>
        </is>
      </c>
      <c r="F13" s="54" t="inlineStr">
        <is>
          <t>תאריך השלמה טכנית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OBJNR</t>
        </is>
      </c>
      <c r="E15" s="53" t="inlineStr">
        <is>
          <t>Object number</t>
        </is>
      </c>
      <c r="F15" s="54" t="inlineStr">
        <is>
          <t>מפתח אובייקט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7" t="inlineStr">
        <is>
          <t>PK</t>
        </is>
      </c>
      <c r="H18" s="42" t="inlineStr">
        <is>
          <t>• ARCHIVE_OPEN_FOR_WRITE
• ARCHIVE_GET_NEXT_OBJECT
• ARCHIVE_DELETE_FROM_DB</t>
        </is>
      </c>
      <c r="I18" s="48" t="inlineStr">
        <is>
          <t>• פתיחת ארכיון לכתיבה
• קריאת אובייקט הבא מהארכיון
• מחיקת רשומות מה-DB החי</t>
        </is>
      </c>
      <c r="J18" s="42" t="inlineStr">
        <is>
          <t>• RIARCPM1</t>
        </is>
      </c>
      <c r="K18" s="48" t="inlineStr">
        <is>
          <t>• כתיבה/מחיקה של ארכוב פקודות אחזקה</t>
        </is>
      </c>
      <c r="L18" s="49" t="inlineStr">
        <is>
          <t>ללא שינוי; ILM אופציונלי ב-S/4</t>
        </is>
      </c>
      <c r="M18" s="49" t="inlineStr">
        <is>
          <t>ADMI_RUN (זהה) + SAP ILM</t>
        </is>
      </c>
      <c r="N18" s="49" t="inlineStr">
        <is>
          <t>SARA (זהה)</t>
        </is>
      </c>
      <c r="O18" s="43" t="inlineStr">
        <is>
          <t>Data Archiving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OBJECT</t>
        </is>
      </c>
      <c r="E19" s="53" t="inlineStr">
        <is>
          <t>Archiving object (PM_ORDER/PM_QMEL)</t>
        </is>
      </c>
      <c r="F19" s="54" t="inlineStr">
        <is>
          <t>אובייקט ארכוב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STATUS</t>
        </is>
      </c>
      <c r="E21" s="53" t="inlineStr">
        <is>
          <t>Run status</t>
        </is>
      </c>
      <c r="F21" s="54" t="inlineStr">
        <is>
          <t>סטטוס ריצה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66" t="inlineStr">
        <is>
          <t>סוג (Type)</t>
        </is>
      </c>
      <c r="B25" s="4" t="n"/>
      <c r="C25" s="66" t="inlineStr">
        <is>
          <t>קוד / שם טכני (Code)</t>
        </is>
      </c>
      <c r="D25" s="4" t="n"/>
      <c r="E25" s="66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User Exit (SMOD)</t>
        </is>
      </c>
      <c r="B26" s="4" t="n"/>
      <c r="C26" s="71" t="inlineStr">
        <is>
          <t>ARCH_PM (SARA/AOBJ)</t>
        </is>
      </c>
      <c r="D26" s="4" t="n"/>
      <c r="E26" s="72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67" t="inlineStr">
        <is>
          <t>BAdI (SE18)</t>
        </is>
      </c>
      <c r="B27" s="4" t="n"/>
      <c r="C27" s="68" t="inlineStr">
        <is>
          <t>BADI_ARCHIVING</t>
        </is>
      </c>
      <c r="D27" s="4" t="n"/>
      <c r="E27" s="69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70" t="inlineStr">
        <is>
          <t>ארכיטקטורה ECC↔S/4</t>
        </is>
      </c>
      <c r="B28" s="4" t="n"/>
      <c r="C28" s="71" t="inlineStr">
        <is>
          <t>—</t>
        </is>
      </c>
      <c r="D28" s="4" t="n"/>
      <c r="E28" s="72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ארכיטקטורה ECC↔S/4</t>
        </is>
      </c>
      <c r="B29" s="4" t="n"/>
      <c r="C29" s="68" t="inlineStr">
        <is>
          <t>—</t>
        </is>
      </c>
      <c r="D29" s="4" t="n"/>
      <c r="E29" s="69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</sheetData>
  <mergeCells count="54">
    <mergeCell ref="J4:J8"/>
    <mergeCell ref="E28:P28"/>
    <mergeCell ref="L4:L8"/>
    <mergeCell ref="A17:P17"/>
    <mergeCell ref="H11:H15"/>
    <mergeCell ref="C11:C15"/>
    <mergeCell ref="J11:J15"/>
    <mergeCell ref="B18:B21"/>
    <mergeCell ref="A1:B1"/>
    <mergeCell ref="I4:I8"/>
    <mergeCell ref="O18:O21"/>
    <mergeCell ref="C26:D26"/>
    <mergeCell ref="L18:L21"/>
    <mergeCell ref="A10:P10"/>
    <mergeCell ref="N18:N21"/>
    <mergeCell ref="C29:D29"/>
    <mergeCell ref="A25:B25"/>
    <mergeCell ref="O11:O15"/>
    <mergeCell ref="C25:D25"/>
    <mergeCell ref="E29:P29"/>
    <mergeCell ref="M4:M8"/>
    <mergeCell ref="B4:B8"/>
    <mergeCell ref="E27:P27"/>
    <mergeCell ref="C1:P1"/>
    <mergeCell ref="E26:P26"/>
    <mergeCell ref="N11:N15"/>
    <mergeCell ref="P4:P8"/>
    <mergeCell ref="K4:K8"/>
    <mergeCell ref="A27:B27"/>
    <mergeCell ref="A24:P24"/>
    <mergeCell ref="I11:I15"/>
    <mergeCell ref="A26:B26"/>
    <mergeCell ref="I18:I21"/>
    <mergeCell ref="H4:H8"/>
    <mergeCell ref="N4:N8"/>
    <mergeCell ref="M18:M21"/>
    <mergeCell ref="E25:P25"/>
    <mergeCell ref="C27:D27"/>
    <mergeCell ref="L11:L15"/>
    <mergeCell ref="C4:C8"/>
    <mergeCell ref="P18:P21"/>
    <mergeCell ref="H18:H21"/>
    <mergeCell ref="A29:B29"/>
    <mergeCell ref="J18:J21"/>
    <mergeCell ref="K18:K21"/>
    <mergeCell ref="B11:B15"/>
    <mergeCell ref="K11:K15"/>
    <mergeCell ref="A28:B28"/>
    <mergeCell ref="M11:M15"/>
    <mergeCell ref="C28:D28"/>
    <mergeCell ref="A3:P3"/>
    <mergeCell ref="P11:P15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73" t="inlineStr">
        <is>
          <t>מס' (#)</t>
        </is>
      </c>
      <c r="B2" s="73" t="inlineStr">
        <is>
          <t>תחום / אובייקט</t>
        </is>
      </c>
      <c r="C2" s="73" t="inlineStr">
        <is>
          <t>Simplification Item (כותרת הפריט)</t>
        </is>
      </c>
      <c r="D2" s="73" t="inlineStr">
        <is>
          <t>SAP Note</t>
        </is>
      </c>
      <c r="E2" s="73" t="inlineStr">
        <is>
          <t>קטגוריה</t>
        </is>
      </c>
      <c r="F2" s="73" t="inlineStr">
        <is>
          <t>השפעה והמלצה (Impact &amp; Action)</t>
        </is>
      </c>
    </row>
    <row r="3" ht="54" customHeight="1">
      <c r="A3" s="74" t="n">
        <v>1</v>
      </c>
      <c r="B3" s="75" t="inlineStr">
        <is>
          <t>MM-IM / PM רכש</t>
        </is>
      </c>
      <c r="C3" s="76" t="inlineStr">
        <is>
          <t>Material Inventory Management - מודל נתונים חדש (MATDOC)</t>
        </is>
      </c>
      <c r="D3" s="77" t="inlineStr">
        <is>
          <t>2206980</t>
        </is>
      </c>
      <c r="E3" s="75" t="inlineStr">
        <is>
          <t>הוחלף (Replaced)</t>
        </is>
      </c>
      <c r="F3" s="75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8" t="n">
        <v>2</v>
      </c>
      <c r="B4" s="79" t="inlineStr">
        <is>
          <t>FI/CO / PM עלויות</t>
        </is>
      </c>
      <c r="C4" s="80" t="inlineStr">
        <is>
          <t>Universal Journal - טבלה אחת (ACDOCA)</t>
        </is>
      </c>
      <c r="D4" s="81" t="inlineStr">
        <is>
          <t>2270333</t>
        </is>
      </c>
      <c r="E4" s="79" t="inlineStr">
        <is>
          <t>הוחלף (Replaced)</t>
        </is>
      </c>
      <c r="F4" s="79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74" t="n">
        <v>3</v>
      </c>
      <c r="B5" s="75" t="inlineStr">
        <is>
          <t>MM / PM ספקים</t>
        </is>
      </c>
      <c r="C5" s="76" t="inlineStr">
        <is>
          <t>Business Partner Approach (CVI חובה)</t>
        </is>
      </c>
      <c r="D5" s="77" t="inlineStr">
        <is>
          <t>2265093</t>
        </is>
      </c>
      <c r="E5" s="75" t="inlineStr">
        <is>
          <t>הוחלף (Replaced)</t>
        </is>
      </c>
      <c r="F5" s="75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8" t="n">
        <v>4</v>
      </c>
      <c r="B6" s="79" t="inlineStr">
        <is>
          <t>Cross / PM חומר</t>
        </is>
      </c>
      <c r="C6" s="80" t="inlineStr">
        <is>
          <t>Material Number Field Length Extension (40 תווים)</t>
        </is>
      </c>
      <c r="D6" s="81" t="inlineStr">
        <is>
          <t>2267140</t>
        </is>
      </c>
      <c r="E6" s="79" t="inlineStr">
        <is>
          <t>שונה (Changed)</t>
        </is>
      </c>
      <c r="F6" s="79" t="inlineStr">
        <is>
          <t>אורך MATNR מורחב ל-40 תווים; בדוק ממשקים, BOM (IDNRK), סריאליזציה ושדות מותאמים.</t>
        </is>
      </c>
    </row>
    <row r="7" ht="54" customHeight="1">
      <c r="A7" s="74" t="n">
        <v>5</v>
      </c>
      <c r="B7" s="75" t="inlineStr">
        <is>
          <t>EAM / PM כללי</t>
        </is>
      </c>
      <c r="C7" s="76" t="inlineStr">
        <is>
          <t>S4TWL - Plant Maintenance / EAM (פריט פישוט כללי)</t>
        </is>
      </c>
      <c r="D7" s="77" t="inlineStr">
        <is>
          <t>(אמת ב-Simplification List)</t>
        </is>
      </c>
      <c r="E7" s="75" t="inlineStr">
        <is>
          <t>שונה (Changed)</t>
        </is>
      </c>
      <c r="F7" s="75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8" t="n">
        <v>6</v>
      </c>
      <c r="B8" s="79" t="inlineStr">
        <is>
          <t>EAM / Lists</t>
        </is>
      </c>
      <c r="C8" s="80" t="inlineStr">
        <is>
          <t>List Viewer ב-EAM - מעבר ל-SAPUI5 / Fiori Lists</t>
        </is>
      </c>
      <c r="D8" s="81" t="inlineStr">
        <is>
          <t>(אמת ב-Simplification List)</t>
        </is>
      </c>
      <c r="E8" s="79" t="inlineStr">
        <is>
          <t>שונה (Changed)</t>
        </is>
      </c>
      <c r="F8" s="79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74" t="n">
        <v>7</v>
      </c>
      <c r="B9" s="75" t="inlineStr">
        <is>
          <t>EAM / LAM</t>
        </is>
      </c>
      <c r="C9" s="76" t="inlineStr">
        <is>
          <t>Linear Asset Management (LAM) - זמין ב-S/4HANA</t>
        </is>
      </c>
      <c r="D9" s="77" t="inlineStr">
        <is>
          <t>(אמת ב-Simplification List)</t>
        </is>
      </c>
      <c r="E9" s="75" t="inlineStr">
        <is>
          <t>חדש (New)</t>
        </is>
      </c>
      <c r="F9" s="75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8" t="n">
        <v>8</v>
      </c>
      <c r="B10" s="79" t="inlineStr">
        <is>
          <t>EAM / Mobile</t>
        </is>
      </c>
      <c r="C10" s="80" t="inlineStr">
        <is>
          <t>Mobile Asset Management (SAP Asset Manager)</t>
        </is>
      </c>
      <c r="D10" s="81" t="inlineStr">
        <is>
          <t>(אמת ב-Simplification List)</t>
        </is>
      </c>
      <c r="E10" s="79" t="inlineStr">
        <is>
          <t>שונה (Changed)</t>
        </is>
      </c>
      <c r="F10" s="79" t="inlineStr">
        <is>
          <t>פתרונות Mobile קלאסיים (MAM/SAP Work Manager) מוחלפים ב-SAP Asset Manager (BTP/Mobile).</t>
        </is>
      </c>
    </row>
    <row r="11" ht="54" customHeight="1">
      <c r="A11" s="74" t="n">
        <v>9</v>
      </c>
      <c r="B11" s="75" t="inlineStr">
        <is>
          <t>EAM / Output</t>
        </is>
      </c>
      <c r="C11" s="76" t="inlineStr">
        <is>
          <t>Output Management - מסגרת חדשה (BRF+/Adobe)</t>
        </is>
      </c>
      <c r="D11" s="77" t="inlineStr">
        <is>
          <t>(אמת ב-Simplification List)</t>
        </is>
      </c>
      <c r="E11" s="75" t="inlineStr">
        <is>
          <t>שונה (Changed)</t>
        </is>
      </c>
      <c r="F11" s="75" t="inlineStr">
        <is>
          <t>הדפסת פק"ע/הודעה דרך Output Management החדש (BRF+, Adobe Forms) במקום NACE/SAPscript קלאסי.</t>
        </is>
      </c>
    </row>
    <row r="12" ht="54" customHeight="1">
      <c r="A12" s="78" t="n">
        <v>10</v>
      </c>
      <c r="B12" s="79" t="inlineStr">
        <is>
          <t>EAM / MRS</t>
        </is>
      </c>
      <c r="C12" s="80" t="inlineStr">
        <is>
          <t>Multiresource Scheduling -&gt; Maintenance Scheduling Board</t>
        </is>
      </c>
      <c r="D12" s="81" t="inlineStr">
        <is>
          <t>(אמת ב-Simplification List)</t>
        </is>
      </c>
      <c r="E12" s="79" t="inlineStr">
        <is>
          <t>שונה (Changed)</t>
        </is>
      </c>
      <c r="F12" s="79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5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אובייקט / טבלה</t>
        </is>
      </c>
      <c r="D2" s="73" t="inlineStr">
        <is>
          <t>סטטוס מעבר (Status)</t>
        </is>
      </c>
      <c r="E2" s="73" t="inlineStr">
        <is>
          <t>אחראי (Owner)</t>
        </is>
      </c>
      <c r="F2" s="73" t="inlineStr">
        <is>
          <t>תאריך יעד</t>
        </is>
      </c>
      <c r="G2" s="73" t="inlineStr">
        <is>
          <t>תאריך סיום</t>
        </is>
      </c>
      <c r="H2" s="73" t="inlineStr">
        <is>
          <t>הערות / בלוקרים</t>
        </is>
      </c>
      <c r="I2" s="73" t="inlineStr">
        <is>
          <t>קישור לגיליון</t>
        </is>
      </c>
      <c r="J2" s="4" t="n"/>
      <c r="K2" s="82" t="inlineStr">
        <is>
          <t>סטטוס (Status)</t>
        </is>
      </c>
      <c r="L2" s="82" t="inlineStr">
        <is>
          <t>כמות (Count)</t>
        </is>
      </c>
    </row>
    <row r="3" ht="22" customHeight="1">
      <c r="A3" s="83" t="n">
        <v>1</v>
      </c>
      <c r="B3" s="46" t="inlineStr">
        <is>
          <t>1. מבנה ארגוני ותשתית  -  רשומת אב של מיקום פונקציונלי</t>
        </is>
      </c>
      <c r="C3" s="44" t="inlineStr">
        <is>
          <t>IFLOT</t>
        </is>
      </c>
      <c r="D3" s="84" t="inlineStr">
        <is>
          <t>Not started</t>
        </is>
      </c>
      <c r="E3" s="46" t="inlineStr"/>
      <c r="F3" s="83" t="inlineStr"/>
      <c r="G3" s="83" t="inlineStr"/>
      <c r="H3" s="46" t="inlineStr"/>
      <c r="I3" s="85">
        <f>HYPERLINK("#'"&amp;"1. מבנה ארגוני ותשתית"&amp;"'!A3","➜ פתח")</f>
        <v/>
      </c>
      <c r="J3" s="4" t="n"/>
      <c r="K3" s="86" t="inlineStr">
        <is>
          <t>Not started</t>
        </is>
      </c>
      <c r="L3" s="87">
        <f>COUNTIF($D$3:$D$56,$K3)</f>
        <v/>
      </c>
    </row>
    <row r="4" ht="22" customHeight="1">
      <c r="A4" s="88" t="n">
        <v>2</v>
      </c>
      <c r="B4" s="54" t="inlineStr">
        <is>
          <t>1. מבנה ארגוני ותשתית  -  תוויות מיקום פונקציונלי (Labels - טבלת ילד של IFLOT)</t>
        </is>
      </c>
      <c r="C4" s="52" t="inlineStr">
        <is>
          <t>IFLOS</t>
        </is>
      </c>
      <c r="D4" s="84" t="inlineStr">
        <is>
          <t>Not started</t>
        </is>
      </c>
      <c r="E4" s="54" t="inlineStr"/>
      <c r="F4" s="88" t="inlineStr"/>
      <c r="G4" s="88" t="inlineStr"/>
      <c r="H4" s="54" t="inlineStr"/>
      <c r="I4" s="89">
        <f>HYPERLINK("#'"&amp;"1. מבנה ארגוני ותשתית"&amp;"'!A11","➜ פתח")</f>
        <v/>
      </c>
      <c r="J4" s="4" t="n"/>
      <c r="K4" s="90" t="inlineStr">
        <is>
          <t>In analysis</t>
        </is>
      </c>
      <c r="L4" s="87">
        <f>COUNTIF($D$3:$D$56,$K4)</f>
        <v/>
      </c>
    </row>
    <row r="5" ht="22" customHeight="1">
      <c r="A5" s="83" t="n">
        <v>3</v>
      </c>
      <c r="B5" s="46" t="inlineStr">
        <is>
          <t>1. מבנה ארגוני ותשתית  -  נתוני מיקום וחיוב משותפים</t>
        </is>
      </c>
      <c r="C5" s="44" t="inlineStr">
        <is>
          <t>ILOA</t>
        </is>
      </c>
      <c r="D5" s="84" t="inlineStr">
        <is>
          <t>Not started</t>
        </is>
      </c>
      <c r="E5" s="46" t="inlineStr"/>
      <c r="F5" s="83" t="inlineStr"/>
      <c r="G5" s="83" t="inlineStr"/>
      <c r="H5" s="46" t="inlineStr"/>
      <c r="I5" s="85">
        <f>HYPERLINK("#'"&amp;"1. מבנה ארגוני ותשתית"&amp;"'!A18","➜ פתח")</f>
        <v/>
      </c>
      <c r="J5" s="4" t="n"/>
      <c r="K5" s="91" t="inlineStr">
        <is>
          <t>In conversion</t>
        </is>
      </c>
      <c r="L5" s="87">
        <f>COUNTIF($D$3:$D$56,$K5)</f>
        <v/>
      </c>
    </row>
    <row r="6" ht="22" customHeight="1">
      <c r="A6" s="88" t="n">
        <v>4</v>
      </c>
      <c r="B6" s="54" t="inlineStr">
        <is>
          <t>1. מבנה ארגוני ותשתית  -  כותרת מרכז עבודה</t>
        </is>
      </c>
      <c r="C6" s="52" t="inlineStr">
        <is>
          <t>CRHD</t>
        </is>
      </c>
      <c r="D6" s="84" t="inlineStr">
        <is>
          <t>Not started</t>
        </is>
      </c>
      <c r="E6" s="54" t="inlineStr"/>
      <c r="F6" s="88" t="inlineStr"/>
      <c r="G6" s="88" t="inlineStr"/>
      <c r="H6" s="54" t="inlineStr"/>
      <c r="I6" s="89">
        <f>HYPERLINK("#'"&amp;"1. מבנה ארגוני ותשתית"&amp;"'!A26","➜ פתח")</f>
        <v/>
      </c>
      <c r="J6" s="4" t="n"/>
      <c r="K6" s="92" t="inlineStr">
        <is>
          <t>Tested</t>
        </is>
      </c>
      <c r="L6" s="87">
        <f>COUNTIF($D$3:$D$56,$K6)</f>
        <v/>
      </c>
    </row>
    <row r="7" ht="22" customHeight="1">
      <c r="A7" s="83" t="n">
        <v>5</v>
      </c>
      <c r="B7" s="46" t="inlineStr">
        <is>
          <t>1. מבנה ארגוני ותשתית  -  טקסטים של מרכז עבודה</t>
        </is>
      </c>
      <c r="C7" s="44" t="inlineStr">
        <is>
          <t>CRTX</t>
        </is>
      </c>
      <c r="D7" s="84" t="inlineStr">
        <is>
          <t>Not started</t>
        </is>
      </c>
      <c r="E7" s="46" t="inlineStr"/>
      <c r="F7" s="83" t="inlineStr"/>
      <c r="G7" s="83" t="inlineStr"/>
      <c r="H7" s="46" t="inlineStr"/>
      <c r="I7" s="85">
        <f>HYPERLINK("#'"&amp;"1. מבנה ארגוני ותשתית"&amp;"'!A34","➜ פתח")</f>
        <v/>
      </c>
      <c r="J7" s="4" t="n"/>
      <c r="K7" s="93" t="inlineStr">
        <is>
          <t>Done</t>
        </is>
      </c>
      <c r="L7" s="87">
        <f>COUNTIF($D$3:$D$56,$K7)</f>
        <v/>
      </c>
    </row>
    <row r="8" ht="22" customHeight="1">
      <c r="A8" s="88" t="n">
        <v>6</v>
      </c>
      <c r="B8" s="54" t="inlineStr">
        <is>
          <t>1. מבנה ארגוני ותשתית  -  טבלת טקסט להגדרות מבנה/קטגוריות PM (Customizing)</t>
        </is>
      </c>
      <c r="C8" s="52" t="inlineStr">
        <is>
          <t>T370T</t>
        </is>
      </c>
      <c r="D8" s="84" t="inlineStr">
        <is>
          <t>Not started</t>
        </is>
      </c>
      <c r="E8" s="54" t="inlineStr"/>
      <c r="F8" s="88" t="inlineStr"/>
      <c r="G8" s="88" t="inlineStr"/>
      <c r="H8" s="54" t="inlineStr"/>
      <c r="I8" s="89">
        <f>HYPERLINK("#'"&amp;"1. מבנה ארגוני ותשתית"&amp;"'!A39","➜ פתח")</f>
        <v/>
      </c>
      <c r="J8" s="4" t="n"/>
      <c r="K8" s="94" t="inlineStr">
        <is>
          <t>סה"כ</t>
        </is>
      </c>
      <c r="L8" s="87">
        <f>SUM($L$3:$L$7)</f>
        <v/>
      </c>
    </row>
    <row r="9" ht="22" customHeight="1">
      <c r="A9" s="83" t="n">
        <v>7</v>
      </c>
      <c r="B9" s="46" t="inlineStr">
        <is>
          <t>2. ציוד ונתוני מאסטר  -  רשומת אב של ציוד</t>
        </is>
      </c>
      <c r="C9" s="44" t="inlineStr">
        <is>
          <t>EQUI</t>
        </is>
      </c>
      <c r="D9" s="84" t="inlineStr">
        <is>
          <t>Not started</t>
        </is>
      </c>
      <c r="E9" s="46" t="inlineStr"/>
      <c r="F9" s="83" t="inlineStr"/>
      <c r="G9" s="83" t="inlineStr"/>
      <c r="H9" s="46" t="inlineStr"/>
      <c r="I9" s="85">
        <f>HYPERLINK("#'"&amp;"2. ציוד ונתוני מאסטר"&amp;"'!A3","➜ פתח")</f>
        <v/>
      </c>
      <c r="J9" s="4" t="n"/>
      <c r="K9" s="4" t="n"/>
      <c r="L9" s="4" t="n"/>
    </row>
    <row r="10" ht="22" customHeight="1">
      <c r="A10" s="88" t="n">
        <v>8</v>
      </c>
      <c r="B10" s="54" t="inlineStr">
        <is>
          <t>2. ציוד ונתוני מאסטר  -  טקסטים (תיאורים) של ציוד</t>
        </is>
      </c>
      <c r="C10" s="52" t="inlineStr">
        <is>
          <t>EQKT</t>
        </is>
      </c>
      <c r="D10" s="84" t="inlineStr">
        <is>
          <t>Not started</t>
        </is>
      </c>
      <c r="E10" s="54" t="inlineStr"/>
      <c r="F10" s="88" t="inlineStr"/>
      <c r="G10" s="88" t="inlineStr"/>
      <c r="H10" s="54" t="inlineStr"/>
      <c r="I10" s="89">
        <f>HYPERLINK("#'"&amp;"2. ציוד ונתוני מאסטר"&amp;"'!A11","➜ פתח")</f>
        <v/>
      </c>
      <c r="J10" s="4" t="n"/>
      <c r="K10" s="4" t="n"/>
      <c r="L10" s="4" t="n"/>
    </row>
    <row r="11" ht="22" customHeight="1">
      <c r="A11" s="83" t="n">
        <v>9</v>
      </c>
      <c r="B11" s="46" t="inlineStr">
        <is>
          <t>2. ציוד ונתוני מאסטר  -  פלח זמן של ציוד (התקנות/שיוך)</t>
        </is>
      </c>
      <c r="C11" s="44" t="inlineStr">
        <is>
          <t>EQUZ</t>
        </is>
      </c>
      <c r="D11" s="84" t="inlineStr">
        <is>
          <t>Not started</t>
        </is>
      </c>
      <c r="E11" s="46" t="inlineStr"/>
      <c r="F11" s="83" t="inlineStr"/>
      <c r="G11" s="83" t="inlineStr"/>
      <c r="H11" s="46" t="inlineStr"/>
      <c r="I11" s="85">
        <f>HYPERLINK("#'"&amp;"2. ציוד ונתוני מאסטר"&amp;"'!A16","➜ פתח")</f>
        <v/>
      </c>
      <c r="J11" s="4" t="n"/>
      <c r="K11" s="4" t="n"/>
      <c r="L11" s="4" t="n"/>
    </row>
    <row r="12" ht="22" customHeight="1">
      <c r="A12" s="88" t="n">
        <v>10</v>
      </c>
      <c r="B12" s="54" t="inlineStr">
        <is>
          <t>2. ציוד ונתוני מאסטר  -  רשימת אובייקטים / מספרים סידוריים</t>
        </is>
      </c>
      <c r="C12" s="52" t="inlineStr">
        <is>
          <t>OBJK</t>
        </is>
      </c>
      <c r="D12" s="84" t="inlineStr">
        <is>
          <t>Not started</t>
        </is>
      </c>
      <c r="E12" s="54" t="inlineStr"/>
      <c r="F12" s="88" t="inlineStr"/>
      <c r="G12" s="88" t="inlineStr"/>
      <c r="H12" s="54" t="inlineStr"/>
      <c r="I12" s="89">
        <f>HYPERLINK("#'"&amp;"2. ציוד ונתוני מאסטר"&amp;"'!A23","➜ פתח")</f>
        <v/>
      </c>
      <c r="J12" s="4" t="n"/>
      <c r="K12" s="4" t="n"/>
      <c r="L12" s="4" t="n"/>
    </row>
    <row r="13" ht="22" customHeight="1">
      <c r="A13" s="83" t="n">
        <v>11</v>
      </c>
      <c r="B13" s="46" t="inlineStr">
        <is>
          <t>3. עצי מוצר של אחזקה (BOM)  -  כותרת עץ מוצר</t>
        </is>
      </c>
      <c r="C13" s="44" t="inlineStr">
        <is>
          <t>STKO</t>
        </is>
      </c>
      <c r="D13" s="84" t="inlineStr">
        <is>
          <t>Not started</t>
        </is>
      </c>
      <c r="E13" s="46" t="inlineStr"/>
      <c r="F13" s="83" t="inlineStr"/>
      <c r="G13" s="83" t="inlineStr"/>
      <c r="H13" s="46" t="inlineStr"/>
      <c r="I13" s="85">
        <f>HYPERLINK("#'"&amp;"3. עצי מוצר של אחזקה (BOM)"&amp;"'!A3","➜ פתח")</f>
        <v/>
      </c>
      <c r="J13" s="4" t="n"/>
      <c r="K13" s="4" t="n"/>
      <c r="L13" s="4" t="n"/>
    </row>
    <row r="14" ht="22" customHeight="1">
      <c r="A14" s="88" t="n">
        <v>12</v>
      </c>
      <c r="B14" s="54" t="inlineStr">
        <is>
          <t>3. עצי מוצר של אחזקה (BOM)  -  פריטי עץ מוצר (רכיבים)</t>
        </is>
      </c>
      <c r="C14" s="52" t="inlineStr">
        <is>
          <t>STPO</t>
        </is>
      </c>
      <c r="D14" s="84" t="inlineStr">
        <is>
          <t>Not started</t>
        </is>
      </c>
      <c r="E14" s="54" t="inlineStr"/>
      <c r="F14" s="88" t="inlineStr"/>
      <c r="G14" s="88" t="inlineStr"/>
      <c r="H14" s="54" t="inlineStr"/>
      <c r="I14" s="89">
        <f>HYPERLINK("#'"&amp;"3. עצי מוצר של אחזקה (BOM)"&amp;"'!A10","➜ פתח")</f>
        <v/>
      </c>
      <c r="J14" s="4" t="n"/>
      <c r="K14" s="4" t="n"/>
      <c r="L14" s="4" t="n"/>
    </row>
    <row r="15" ht="22" customHeight="1">
      <c r="A15" s="83" t="n">
        <v>13</v>
      </c>
      <c r="B15" s="46" t="inlineStr">
        <is>
          <t>3. עצי מוצר של אחזקה (BOM)  -  קישור חומר לעץ מוצר</t>
        </is>
      </c>
      <c r="C15" s="44" t="inlineStr">
        <is>
          <t>MAST</t>
        </is>
      </c>
      <c r="D15" s="84" t="inlineStr">
        <is>
          <t>Not started</t>
        </is>
      </c>
      <c r="E15" s="46" t="inlineStr"/>
      <c r="F15" s="83" t="inlineStr"/>
      <c r="G15" s="83" t="inlineStr"/>
      <c r="H15" s="46" t="inlineStr"/>
      <c r="I15" s="85">
        <f>HYPERLINK("#'"&amp;"3. עצי מוצר של אחזקה (BOM)"&amp;"'!A17","➜ פתח")</f>
        <v/>
      </c>
      <c r="J15" s="4" t="n"/>
      <c r="K15" s="4" t="n"/>
      <c r="L15" s="4" t="n"/>
    </row>
    <row r="16" ht="22" customHeight="1">
      <c r="A16" s="88" t="n">
        <v>14</v>
      </c>
      <c r="B16" s="54" t="inlineStr">
        <is>
          <t>3. עצי מוצר של אחזקה (BOM)  -  קישור ציוד לעץ מוצר</t>
        </is>
      </c>
      <c r="C16" s="52" t="inlineStr">
        <is>
          <t>EQST</t>
        </is>
      </c>
      <c r="D16" s="84" t="inlineStr">
        <is>
          <t>Not started</t>
        </is>
      </c>
      <c r="E16" s="54" t="inlineStr"/>
      <c r="F16" s="88" t="inlineStr"/>
      <c r="G16" s="88" t="inlineStr"/>
      <c r="H16" s="54" t="inlineStr"/>
      <c r="I16" s="89">
        <f>HYPERLINK("#'"&amp;"3. עצי מוצר של אחזקה (BOM)"&amp;"'!A24","➜ פתח")</f>
        <v/>
      </c>
      <c r="J16" s="4" t="n"/>
      <c r="K16" s="4" t="n"/>
      <c r="L16" s="4" t="n"/>
    </row>
    <row r="17" ht="22" customHeight="1">
      <c r="A17" s="83" t="n">
        <v>15</v>
      </c>
      <c r="B17" s="46" t="inlineStr">
        <is>
          <t>3. עצי מוצר של אחזקה (BOM)  -  קישור מיקום פונקציונלי לעץ מוצר</t>
        </is>
      </c>
      <c r="C17" s="44" t="inlineStr">
        <is>
          <t>TPST</t>
        </is>
      </c>
      <c r="D17" s="84" t="inlineStr">
        <is>
          <t>Not started</t>
        </is>
      </c>
      <c r="E17" s="46" t="inlineStr"/>
      <c r="F17" s="83" t="inlineStr"/>
      <c r="G17" s="83" t="inlineStr"/>
      <c r="H17" s="46" t="inlineStr"/>
      <c r="I17" s="85">
        <f>HYPERLINK("#'"&amp;"3. עצי מוצר של אחזקה (BOM)"&amp;"'!A30","➜ פתח")</f>
        <v/>
      </c>
      <c r="J17" s="4" t="n"/>
      <c r="K17" s="4" t="n"/>
      <c r="L17" s="4" t="n"/>
    </row>
    <row r="18" ht="22" customHeight="1">
      <c r="A18" s="88" t="n">
        <v>16</v>
      </c>
      <c r="B18" s="54" t="inlineStr">
        <is>
          <t>4. נקודות מדידה ומונים  -  רשומת אב של נקודת מדידה / מונה</t>
        </is>
      </c>
      <c r="C18" s="52" t="inlineStr">
        <is>
          <t>IMPTT</t>
        </is>
      </c>
      <c r="D18" s="84" t="inlineStr">
        <is>
          <t>Not started</t>
        </is>
      </c>
      <c r="E18" s="54" t="inlineStr"/>
      <c r="F18" s="88" t="inlineStr"/>
      <c r="G18" s="88" t="inlineStr"/>
      <c r="H18" s="54" t="inlineStr"/>
      <c r="I18" s="89">
        <f>HYPERLINK("#'"&amp;"4. נקודות מדידה ומונים"&amp;"'!A3","➜ פתח")</f>
        <v/>
      </c>
      <c r="J18" s="4" t="n"/>
      <c r="K18" s="4" t="n"/>
      <c r="L18" s="4" t="n"/>
    </row>
    <row r="19" ht="22" customHeight="1">
      <c r="A19" s="83" t="n">
        <v>17</v>
      </c>
      <c r="B19" s="46" t="inlineStr">
        <is>
          <t>4. נקודות מדידה ומונים  -  מסמכי מדידה (קריאות מונה/ערך)</t>
        </is>
      </c>
      <c r="C19" s="44" t="inlineStr">
        <is>
          <t>IMRG</t>
        </is>
      </c>
      <c r="D19" s="84" t="inlineStr">
        <is>
          <t>Not started</t>
        </is>
      </c>
      <c r="E19" s="46" t="inlineStr"/>
      <c r="F19" s="83" t="inlineStr"/>
      <c r="G19" s="83" t="inlineStr"/>
      <c r="H19" s="46" t="inlineStr"/>
      <c r="I19" s="85">
        <f>HYPERLINK("#'"&amp;"4. נקודות מדידה ומונים"&amp;"'!A11","➜ פתח")</f>
        <v/>
      </c>
      <c r="J19" s="4" t="n"/>
      <c r="K19" s="4" t="n"/>
      <c r="L19" s="4" t="n"/>
    </row>
    <row r="20" ht="22" customHeight="1">
      <c r="A20" s="88" t="n">
        <v>18</v>
      </c>
      <c r="B20" s="54" t="inlineStr">
        <is>
          <t>5. קטלוגים, קודים ופרופילים  -  קודים בתוך קבוצת קוד</t>
        </is>
      </c>
      <c r="C20" s="52" t="inlineStr">
        <is>
          <t>QPCD</t>
        </is>
      </c>
      <c r="D20" s="84" t="inlineStr">
        <is>
          <t>Not started</t>
        </is>
      </c>
      <c r="E20" s="54" t="inlineStr"/>
      <c r="F20" s="88" t="inlineStr"/>
      <c r="G20" s="88" t="inlineStr"/>
      <c r="H20" s="54" t="inlineStr"/>
      <c r="I20" s="89">
        <f>HYPERLINK("#'"&amp;"5. קטלוגים, קודים ופרופילים"&amp;"'!A3","➜ פתח")</f>
        <v/>
      </c>
      <c r="J20" s="4" t="n"/>
      <c r="K20" s="4" t="n"/>
      <c r="L20" s="4" t="n"/>
    </row>
    <row r="21" ht="22" customHeight="1">
      <c r="A21" s="83" t="n">
        <v>19</v>
      </c>
      <c r="B21" s="46" t="inlineStr">
        <is>
          <t>5. קטלוגים, קודים ופרופילים  -  קבוצות קוד (במקום QPCR הלא-תקני)</t>
        </is>
      </c>
      <c r="C21" s="44" t="inlineStr">
        <is>
          <t>QPGR</t>
        </is>
      </c>
      <c r="D21" s="84" t="inlineStr">
        <is>
          <t>Not started</t>
        </is>
      </c>
      <c r="E21" s="46" t="inlineStr"/>
      <c r="F21" s="83" t="inlineStr"/>
      <c r="G21" s="83" t="inlineStr"/>
      <c r="H21" s="46" t="inlineStr"/>
      <c r="I21" s="85">
        <f>HYPERLINK("#'"&amp;"5. קטלוגים, קודים ופרופילים"&amp;"'!A9","➜ פתח")</f>
        <v/>
      </c>
      <c r="J21" s="4" t="n"/>
      <c r="K21" s="4" t="n"/>
      <c r="L21" s="4" t="n"/>
    </row>
    <row r="22" ht="22" customHeight="1">
      <c r="A22" s="88" t="n">
        <v>20</v>
      </c>
      <c r="B22" s="54" t="inlineStr">
        <is>
          <t>5. קטלוגים, קודים ופרופילים  -  שיוך פרופיל קטלוג לקבוצות בחירה</t>
        </is>
      </c>
      <c r="C22" s="52" t="inlineStr">
        <is>
          <t>T352B</t>
        </is>
      </c>
      <c r="D22" s="84" t="inlineStr">
        <is>
          <t>Not started</t>
        </is>
      </c>
      <c r="E22" s="54" t="inlineStr"/>
      <c r="F22" s="88" t="inlineStr"/>
      <c r="G22" s="88" t="inlineStr"/>
      <c r="H22" s="54" t="inlineStr"/>
      <c r="I22" s="89">
        <f>HYPERLINK("#'"&amp;"5. קטלוגים, קודים ופרופילים"&amp;"'!A15","➜ פתח")</f>
        <v/>
      </c>
      <c r="J22" s="4" t="n"/>
      <c r="K22" s="4" t="n"/>
      <c r="L22" s="4" t="n"/>
    </row>
    <row r="23" ht="22" customHeight="1">
      <c r="A23" s="83" t="n">
        <v>21</v>
      </c>
      <c r="B23" s="46" t="inlineStr">
        <is>
          <t>5. קטלוגים, קודים ופרופילים  -  פרופיל קטלוג (כותרת)</t>
        </is>
      </c>
      <c r="C23" s="44" t="inlineStr">
        <is>
          <t>T352</t>
        </is>
      </c>
      <c r="D23" s="84" t="inlineStr">
        <is>
          <t>Not started</t>
        </is>
      </c>
      <c r="E23" s="46" t="inlineStr"/>
      <c r="F23" s="83" t="inlineStr"/>
      <c r="G23" s="83" t="inlineStr"/>
      <c r="H23" s="46" t="inlineStr"/>
      <c r="I23" s="85">
        <f>HYPERLINK("#'"&amp;"5. קטלוגים, קודים ופרופילים"&amp;"'!A21","➜ פתח")</f>
        <v/>
      </c>
      <c r="J23" s="4" t="n"/>
      <c r="K23" s="4" t="n"/>
      <c r="L23" s="4" t="n"/>
    </row>
    <row r="24" ht="22" customHeight="1">
      <c r="A24" s="88" t="n">
        <v>22</v>
      </c>
      <c r="B24" s="54" t="inlineStr">
        <is>
          <t>6. הודעות אחזקה (Notifications)  -  כותרת הודעת אחזקה</t>
        </is>
      </c>
      <c r="C24" s="52" t="inlineStr">
        <is>
          <t>QMEL</t>
        </is>
      </c>
      <c r="D24" s="84" t="inlineStr">
        <is>
          <t>Not started</t>
        </is>
      </c>
      <c r="E24" s="54" t="inlineStr"/>
      <c r="F24" s="88" t="inlineStr"/>
      <c r="G24" s="88" t="inlineStr"/>
      <c r="H24" s="54" t="inlineStr"/>
      <c r="I24" s="89">
        <f>HYPERLINK("#'"&amp;"6. הודעות אחזקה (Notifications)"&amp;"'!A3","➜ פתח")</f>
        <v/>
      </c>
      <c r="J24" s="4" t="n"/>
      <c r="K24" s="4" t="n"/>
      <c r="L24" s="4" t="n"/>
    </row>
    <row r="25" ht="22" customHeight="1">
      <c r="A25" s="83" t="n">
        <v>23</v>
      </c>
      <c r="B25" s="46" t="inlineStr">
        <is>
          <t>6. הודעות אחזקה (Notifications)  -  פריטי הודעה (ליקויים)</t>
        </is>
      </c>
      <c r="C25" s="44" t="inlineStr">
        <is>
          <t>QMFE</t>
        </is>
      </c>
      <c r="D25" s="84" t="inlineStr">
        <is>
          <t>Not started</t>
        </is>
      </c>
      <c r="E25" s="46" t="inlineStr"/>
      <c r="F25" s="83" t="inlineStr"/>
      <c r="G25" s="83" t="inlineStr"/>
      <c r="H25" s="46" t="inlineStr"/>
      <c r="I25" s="85">
        <f>HYPERLINK("#'"&amp;"6. הודעות אחזקה (Notifications)"&amp;"'!A11","➜ פתח")</f>
        <v/>
      </c>
      <c r="J25" s="4" t="n"/>
      <c r="K25" s="4" t="n"/>
      <c r="L25" s="4" t="n"/>
    </row>
    <row r="26" ht="22" customHeight="1">
      <c r="A26" s="88" t="n">
        <v>24</v>
      </c>
      <c r="B26" s="54" t="inlineStr">
        <is>
          <t>6. הודעות אחזקה (Notifications)  -  סיבות לליקוי</t>
        </is>
      </c>
      <c r="C26" s="52" t="inlineStr">
        <is>
          <t>QMUR</t>
        </is>
      </c>
      <c r="D26" s="84" t="inlineStr">
        <is>
          <t>Not started</t>
        </is>
      </c>
      <c r="E26" s="54" t="inlineStr"/>
      <c r="F26" s="88" t="inlineStr"/>
      <c r="G26" s="88" t="inlineStr"/>
      <c r="H26" s="54" t="inlineStr"/>
      <c r="I26" s="89">
        <f>HYPERLINK("#'"&amp;"6. הודעות אחזקה (Notifications)"&amp;"'!A19","➜ פתח")</f>
        <v/>
      </c>
      <c r="J26" s="4" t="n"/>
      <c r="K26" s="4" t="n"/>
      <c r="L26" s="4" t="n"/>
    </row>
    <row r="27" ht="22" customHeight="1">
      <c r="A27" s="83" t="n">
        <v>25</v>
      </c>
      <c r="B27" s="46" t="inlineStr">
        <is>
          <t>6. הודעות אחזקה (Notifications)  -  פעילויות שבוצעו (במקום QMAA הלא-תקני)</t>
        </is>
      </c>
      <c r="C27" s="44" t="inlineStr">
        <is>
          <t>QMMA</t>
        </is>
      </c>
      <c r="D27" s="84" t="inlineStr">
        <is>
          <t>Not started</t>
        </is>
      </c>
      <c r="E27" s="46" t="inlineStr"/>
      <c r="F27" s="83" t="inlineStr"/>
      <c r="G27" s="83" t="inlineStr"/>
      <c r="H27" s="46" t="inlineStr"/>
      <c r="I27" s="85">
        <f>HYPERLINK("#'"&amp;"6. הודעות אחזקה (Notifications)"&amp;"'!A26","➜ פתח")</f>
        <v/>
      </c>
      <c r="J27" s="4" t="n"/>
      <c r="K27" s="4" t="n"/>
      <c r="L27" s="4" t="n"/>
    </row>
    <row r="28" ht="22" customHeight="1">
      <c r="A28" s="88" t="n">
        <v>26</v>
      </c>
      <c r="B28" s="54" t="inlineStr">
        <is>
          <t>6. הודעות אחזקה (Notifications)  -  משימות לטיפול (במקום QMAS הלא-תקני)</t>
        </is>
      </c>
      <c r="C28" s="52" t="inlineStr">
        <is>
          <t>QMSM</t>
        </is>
      </c>
      <c r="D28" s="84" t="inlineStr">
        <is>
          <t>Not started</t>
        </is>
      </c>
      <c r="E28" s="54" t="inlineStr"/>
      <c r="F28" s="88" t="inlineStr"/>
      <c r="G28" s="88" t="inlineStr"/>
      <c r="H28" s="54" t="inlineStr"/>
      <c r="I28" s="89">
        <f>HYPERLINK("#'"&amp;"6. הודעות אחזקה (Notifications)"&amp;"'!A32","➜ פתח")</f>
        <v/>
      </c>
      <c r="J28" s="4" t="n"/>
      <c r="K28" s="4" t="n"/>
      <c r="L28" s="4" t="n"/>
    </row>
    <row r="29" ht="22" customHeight="1">
      <c r="A29" s="83" t="n">
        <v>27</v>
      </c>
      <c r="B29" s="46" t="inlineStr">
        <is>
          <t>7. פקודות עבודה (פק"ע)  -  נתוני אב של פקודת עבודה</t>
        </is>
      </c>
      <c r="C29" s="44" t="inlineStr">
        <is>
          <t>AUFK</t>
        </is>
      </c>
      <c r="D29" s="84" t="inlineStr">
        <is>
          <t>Not started</t>
        </is>
      </c>
      <c r="E29" s="46" t="inlineStr"/>
      <c r="F29" s="83" t="inlineStr"/>
      <c r="G29" s="83" t="inlineStr"/>
      <c r="H29" s="46" t="inlineStr"/>
      <c r="I29" s="85">
        <f>HYPERLINK("#'"&amp;"7. פקודות עבודה (פק"ע)"&amp;"'!A3","➜ פתח")</f>
        <v/>
      </c>
      <c r="J29" s="4" t="n"/>
      <c r="K29" s="4" t="n"/>
      <c r="L29" s="4" t="n"/>
    </row>
    <row r="30" ht="22" customHeight="1">
      <c r="A30" s="88" t="n">
        <v>28</v>
      </c>
      <c r="B30" s="54" t="inlineStr">
        <is>
          <t>7. פקודות עבודה (פק"ע)  -  כותרת פקודה (נתוני אחזקה/ייצור)</t>
        </is>
      </c>
      <c r="C30" s="52" t="inlineStr">
        <is>
          <t>AFKO</t>
        </is>
      </c>
      <c r="D30" s="84" t="inlineStr">
        <is>
          <t>Not started</t>
        </is>
      </c>
      <c r="E30" s="54" t="inlineStr"/>
      <c r="F30" s="88" t="inlineStr"/>
      <c r="G30" s="88" t="inlineStr"/>
      <c r="H30" s="54" t="inlineStr"/>
      <c r="I30" s="89">
        <f>HYPERLINK("#'"&amp;"7. פקודות עבודה (פק"ע)"&amp;"'!A10","➜ פתח")</f>
        <v/>
      </c>
      <c r="J30" s="4" t="n"/>
      <c r="K30" s="4" t="n"/>
      <c r="L30" s="4" t="n"/>
    </row>
    <row r="31" ht="22" customHeight="1">
      <c r="A31" s="83" t="n">
        <v>29</v>
      </c>
      <c r="B31" s="46" t="inlineStr">
        <is>
          <t>7. פקודות עבודה (פק"ע)  -  פעולות הפקודה (Operations - השם התקני; לא AFVG)</t>
        </is>
      </c>
      <c r="C31" s="44" t="inlineStr">
        <is>
          <t>AFVC</t>
        </is>
      </c>
      <c r="D31" s="84" t="inlineStr">
        <is>
          <t>Not started</t>
        </is>
      </c>
      <c r="E31" s="46" t="inlineStr"/>
      <c r="F31" s="83" t="inlineStr"/>
      <c r="G31" s="83" t="inlineStr"/>
      <c r="H31" s="46" t="inlineStr"/>
      <c r="I31" s="85">
        <f>HYPERLINK("#'"&amp;"7. פקודות עבודה (פק"ע)"&amp;"'!A17","➜ פתח")</f>
        <v/>
      </c>
      <c r="J31" s="4" t="n"/>
      <c r="K31" s="4" t="n"/>
      <c r="L31" s="4" t="n"/>
    </row>
    <row r="32" ht="22" customHeight="1">
      <c r="A32" s="88" t="n">
        <v>30</v>
      </c>
      <c r="B32" s="54" t="inlineStr">
        <is>
          <t>7. פקודות עבודה (פק"ע)  -  פריט פקודה</t>
        </is>
      </c>
      <c r="C32" s="52" t="inlineStr">
        <is>
          <t>AFPO</t>
        </is>
      </c>
      <c r="D32" s="84" t="inlineStr">
        <is>
          <t>Not started</t>
        </is>
      </c>
      <c r="E32" s="54" t="inlineStr"/>
      <c r="F32" s="88" t="inlineStr"/>
      <c r="G32" s="88" t="inlineStr"/>
      <c r="H32" s="54" t="inlineStr"/>
      <c r="I32" s="89">
        <f>HYPERLINK("#'"&amp;"7. פקודות עבודה (פק"ע)"&amp;"'!A25","➜ פתח")</f>
        <v/>
      </c>
      <c r="J32" s="4" t="n"/>
      <c r="K32" s="4" t="n"/>
      <c r="L32" s="4" t="n"/>
    </row>
    <row r="33" ht="22" customHeight="1">
      <c r="A33" s="83" t="n">
        <v>31</v>
      </c>
      <c r="B33" s="46" t="inlineStr">
        <is>
          <t>7. פקודות עבודה (פק"ע)  -  כותרת פקודה - נתוני אחזקה (PM)</t>
        </is>
      </c>
      <c r="C33" s="44" t="inlineStr">
        <is>
          <t>AFIH</t>
        </is>
      </c>
      <c r="D33" s="84" t="inlineStr">
        <is>
          <t>Not started</t>
        </is>
      </c>
      <c r="E33" s="46" t="inlineStr"/>
      <c r="F33" s="83" t="inlineStr"/>
      <c r="G33" s="83" t="inlineStr"/>
      <c r="H33" s="46" t="inlineStr"/>
      <c r="I33" s="85">
        <f>HYPERLINK("#'"&amp;"7. פקודות עבודה (פק"ע)"&amp;"'!A31","➜ פתח")</f>
        <v/>
      </c>
      <c r="J33" s="4" t="n"/>
      <c r="K33" s="4" t="n"/>
      <c r="L33" s="4" t="n"/>
    </row>
    <row r="34" ht="22" customHeight="1">
      <c r="A34" s="88" t="n">
        <v>32</v>
      </c>
      <c r="B34" s="54" t="inlineStr">
        <is>
          <t>7. פקודות עבודה (פק"ע)  -  תנועות מלאי המקושרות לדיווחי ביצוע</t>
        </is>
      </c>
      <c r="C34" s="52" t="inlineStr">
        <is>
          <t>AFWI</t>
        </is>
      </c>
      <c r="D34" s="84" t="inlineStr">
        <is>
          <t>Not started</t>
        </is>
      </c>
      <c r="E34" s="54" t="inlineStr"/>
      <c r="F34" s="88" t="inlineStr"/>
      <c r="G34" s="88" t="inlineStr"/>
      <c r="H34" s="54" t="inlineStr"/>
      <c r="I34" s="89">
        <f>HYPERLINK("#'"&amp;"7. פקודות עבודה (פק"ע)"&amp;"'!A39","➜ פתח")</f>
        <v/>
      </c>
      <c r="J34" s="4" t="n"/>
      <c r="K34" s="4" t="n"/>
      <c r="L34" s="4" t="n"/>
    </row>
    <row r="35" ht="22" customHeight="1">
      <c r="A35" s="83" t="n">
        <v>33</v>
      </c>
      <c r="B35" s="46" t="inlineStr">
        <is>
          <t>8. ניהול סטטוסים (Status Mgmt)  -  סטטוס אובייקט (פעיל/לא פעיל)</t>
        </is>
      </c>
      <c r="C35" s="44" t="inlineStr">
        <is>
          <t>JEST</t>
        </is>
      </c>
      <c r="D35" s="84" t="inlineStr">
        <is>
          <t>Not started</t>
        </is>
      </c>
      <c r="E35" s="46" t="inlineStr"/>
      <c r="F35" s="83" t="inlineStr"/>
      <c r="G35" s="83" t="inlineStr"/>
      <c r="H35" s="46" t="inlineStr"/>
      <c r="I35" s="85">
        <f>HYPERLINK("#'"&amp;"8. ניהול סטטוסים (Status Mgmt)"&amp;"'!A3","➜ פתח")</f>
        <v/>
      </c>
      <c r="J35" s="4" t="n"/>
      <c r="K35" s="4" t="n"/>
      <c r="L35" s="4" t="n"/>
    </row>
    <row r="36" ht="22" customHeight="1">
      <c r="A36" s="88" t="n">
        <v>34</v>
      </c>
      <c r="B36" s="54" t="inlineStr">
        <is>
          <t>8. ניהול סטטוסים (Status Mgmt)  -  כותרת אובייקט סטטוס + פרופיל</t>
        </is>
      </c>
      <c r="C36" s="52" t="inlineStr">
        <is>
          <t>JSTO</t>
        </is>
      </c>
      <c r="D36" s="84" t="inlineStr">
        <is>
          <t>Not started</t>
        </is>
      </c>
      <c r="E36" s="54" t="inlineStr"/>
      <c r="F36" s="88" t="inlineStr"/>
      <c r="G36" s="88" t="inlineStr"/>
      <c r="H36" s="54" t="inlineStr"/>
      <c r="I36" s="89">
        <f>HYPERLINK("#'"&amp;"8. ניהול סטטוסים (Status Mgmt)"&amp;"'!A9","➜ פתח")</f>
        <v/>
      </c>
      <c r="J36" s="4" t="n"/>
      <c r="K36" s="4" t="n"/>
      <c r="L36" s="4" t="n"/>
    </row>
    <row r="37" ht="22" customHeight="1">
      <c r="A37" s="83" t="n">
        <v>35</v>
      </c>
      <c r="B37" s="46" t="inlineStr">
        <is>
          <t>8. ניהול סטטוסים (Status Mgmt)  -  טקסטים של סטטוסי מערכת</t>
        </is>
      </c>
      <c r="C37" s="44" t="inlineStr">
        <is>
          <t>TJ02T</t>
        </is>
      </c>
      <c r="D37" s="84" t="inlineStr">
        <is>
          <t>Not started</t>
        </is>
      </c>
      <c r="E37" s="46" t="inlineStr"/>
      <c r="F37" s="83" t="inlineStr"/>
      <c r="G37" s="83" t="inlineStr"/>
      <c r="H37" s="46" t="inlineStr"/>
      <c r="I37" s="85">
        <f>HYPERLINK("#'"&amp;"8. ניהול סטטוסים (Status Mgmt)"&amp;"'!A15","➜ פתח")</f>
        <v/>
      </c>
      <c r="J37" s="4" t="n"/>
      <c r="K37" s="4" t="n"/>
      <c r="L37" s="4" t="n"/>
    </row>
    <row r="38" ht="22" customHeight="1">
      <c r="A38" s="88" t="n">
        <v>36</v>
      </c>
      <c r="B38" s="54" t="inlineStr">
        <is>
          <t>8. ניהול סטטוסים (Status Mgmt)  -  טקסטים של סטטוסי משתמש</t>
        </is>
      </c>
      <c r="C38" s="52" t="inlineStr">
        <is>
          <t>TJ30T</t>
        </is>
      </c>
      <c r="D38" s="84" t="inlineStr">
        <is>
          <t>Not started</t>
        </is>
      </c>
      <c r="E38" s="54" t="inlineStr"/>
      <c r="F38" s="88" t="inlineStr"/>
      <c r="G38" s="88" t="inlineStr"/>
      <c r="H38" s="54" t="inlineStr"/>
      <c r="I38" s="89">
        <f>HYPERLINK("#'"&amp;"8. ניהול סטטוסים (Status Mgmt)"&amp;"'!A21","➜ פתח")</f>
        <v/>
      </c>
      <c r="J38" s="4" t="n"/>
      <c r="K38" s="4" t="n"/>
      <c r="L38" s="4" t="n"/>
    </row>
    <row r="39" ht="22" customHeight="1">
      <c r="A39" s="83" t="n">
        <v>37</v>
      </c>
      <c r="B39" s="46" t="inlineStr">
        <is>
          <t>9. אינטגרציית מלאי ורכש (PM-MM)  -  הזמנת רכיבים (Reservation)</t>
        </is>
      </c>
      <c r="C39" s="44" t="inlineStr">
        <is>
          <t>RESB</t>
        </is>
      </c>
      <c r="D39" s="84" t="inlineStr">
        <is>
          <t>Not started</t>
        </is>
      </c>
      <c r="E39" s="46" t="inlineStr"/>
      <c r="F39" s="83" t="inlineStr"/>
      <c r="G39" s="83" t="inlineStr"/>
      <c r="H39" s="46" t="inlineStr"/>
      <c r="I39" s="85">
        <f>HYPERLINK("#'"&amp;"9. אינטגרציית מלאי ורכש (PM-MM)"&amp;"'!A3","➜ פתח")</f>
        <v/>
      </c>
      <c r="J39" s="4" t="n"/>
      <c r="K39" s="4" t="n"/>
      <c r="L39" s="4" t="n"/>
    </row>
    <row r="40" ht="22" customHeight="1">
      <c r="A40" s="88" t="n">
        <v>38</v>
      </c>
      <c r="B40" s="54" t="inlineStr">
        <is>
          <t>9. אינטגרציית מלאי ורכש (PM-MM)  -  דרישת רכש (Purchase Requisition)</t>
        </is>
      </c>
      <c r="C40" s="52" t="inlineStr">
        <is>
          <t>EBAN</t>
        </is>
      </c>
      <c r="D40" s="84" t="inlineStr">
        <is>
          <t>Not started</t>
        </is>
      </c>
      <c r="E40" s="54" t="inlineStr"/>
      <c r="F40" s="88" t="inlineStr"/>
      <c r="G40" s="88" t="inlineStr"/>
      <c r="H40" s="54" t="inlineStr"/>
      <c r="I40" s="89">
        <f>HYPERLINK("#'"&amp;"9. אינטגרציית מלאי ורכש (PM-MM)"&amp;"'!A11","➜ פתח")</f>
        <v/>
      </c>
      <c r="J40" s="4" t="n"/>
      <c r="K40" s="4" t="n"/>
      <c r="L40" s="4" t="n"/>
    </row>
    <row r="41" ht="22" customHeight="1">
      <c r="A41" s="83" t="n">
        <v>39</v>
      </c>
      <c r="B41" s="46" t="inlineStr">
        <is>
          <t>9. אינטגרציית מלאי ורכש (PM-MM)  -  חיוב דרישת רכש (לפק"ע)</t>
        </is>
      </c>
      <c r="C41" s="44" t="inlineStr">
        <is>
          <t>EBKN</t>
        </is>
      </c>
      <c r="D41" s="84" t="inlineStr">
        <is>
          <t>Not started</t>
        </is>
      </c>
      <c r="E41" s="46" t="inlineStr"/>
      <c r="F41" s="83" t="inlineStr"/>
      <c r="G41" s="83" t="inlineStr"/>
      <c r="H41" s="46" t="inlineStr"/>
      <c r="I41" s="85">
        <f>HYPERLINK("#'"&amp;"9. אינטגרציית מלאי ורכש (PM-MM)"&amp;"'!A18","➜ פתח")</f>
        <v/>
      </c>
      <c r="J41" s="4" t="n"/>
      <c r="K41" s="4" t="n"/>
      <c r="L41" s="4" t="n"/>
    </row>
    <row r="42" ht="22" customHeight="1">
      <c r="A42" s="88" t="n">
        <v>40</v>
      </c>
      <c r="B42" s="54" t="inlineStr">
        <is>
          <t>9. אינטגרציית מלאי ורכש (PM-MM)  -  פריטי מסמך חומר (תנועות מלאי)</t>
        </is>
      </c>
      <c r="C42" s="52" t="inlineStr">
        <is>
          <t>MSEG</t>
        </is>
      </c>
      <c r="D42" s="84" t="inlineStr">
        <is>
          <t>Not started</t>
        </is>
      </c>
      <c r="E42" s="54" t="inlineStr"/>
      <c r="F42" s="88" t="inlineStr"/>
      <c r="G42" s="88" t="inlineStr"/>
      <c r="H42" s="54" t="inlineStr"/>
      <c r="I42" s="89">
        <f>HYPERLINK("#'"&amp;"9. אינטגרציית מלאי ורכש (PM-MM)"&amp;"'!A25","➜ פתח")</f>
        <v/>
      </c>
      <c r="J42" s="4" t="n"/>
      <c r="K42" s="4" t="n"/>
      <c r="L42" s="4" t="n"/>
    </row>
    <row r="43" ht="22" customHeight="1">
      <c r="A43" s="83" t="n">
        <v>41</v>
      </c>
      <c r="B43" s="46" t="inlineStr">
        <is>
          <t>9. אינטגרציית מלאי ורכש (PM-MM)  -  כותרת מסמך חומר</t>
        </is>
      </c>
      <c r="C43" s="44" t="inlineStr">
        <is>
          <t>MKPF</t>
        </is>
      </c>
      <c r="D43" s="84" t="inlineStr">
        <is>
          <t>Not started</t>
        </is>
      </c>
      <c r="E43" s="46" t="inlineStr"/>
      <c r="F43" s="83" t="inlineStr"/>
      <c r="G43" s="83" t="inlineStr"/>
      <c r="H43" s="46" t="inlineStr"/>
      <c r="I43" s="85">
        <f>HYPERLINK("#'"&amp;"9. אינטגרציית מלאי ורכש (PM-MM)"&amp;"'!A33","➜ פתח")</f>
        <v/>
      </c>
      <c r="J43" s="4" t="n"/>
      <c r="K43" s="4" t="n"/>
      <c r="L43" s="4" t="n"/>
    </row>
    <row r="44" ht="22" customHeight="1">
      <c r="A44" s="88" t="n">
        <v>42</v>
      </c>
      <c r="B44" s="54" t="inlineStr">
        <is>
          <t>10. עלויות והתחשבנות (PM-CO)  -  סך עלויות חיצוניות (Primary)</t>
        </is>
      </c>
      <c r="C44" s="52" t="inlineStr">
        <is>
          <t>COSP</t>
        </is>
      </c>
      <c r="D44" s="84" t="inlineStr">
        <is>
          <t>Not started</t>
        </is>
      </c>
      <c r="E44" s="54" t="inlineStr"/>
      <c r="F44" s="88" t="inlineStr"/>
      <c r="G44" s="88" t="inlineStr"/>
      <c r="H44" s="54" t="inlineStr"/>
      <c r="I44" s="89">
        <f>HYPERLINK("#'"&amp;"10. עלויות והתחשבנות (PM-CO)"&amp;"'!A3","➜ פתח")</f>
        <v/>
      </c>
      <c r="J44" s="4" t="n"/>
      <c r="K44" s="4" t="n"/>
      <c r="L44" s="4" t="n"/>
    </row>
    <row r="45" ht="22" customHeight="1">
      <c r="A45" s="83" t="n">
        <v>43</v>
      </c>
      <c r="B45" s="46" t="inlineStr">
        <is>
          <t>10. עלויות והתחשבנות (PM-CO)  -  סך עלויות פנימיות (Secondary)</t>
        </is>
      </c>
      <c r="C45" s="44" t="inlineStr">
        <is>
          <t>COSS</t>
        </is>
      </c>
      <c r="D45" s="84" t="inlineStr">
        <is>
          <t>Not started</t>
        </is>
      </c>
      <c r="E45" s="46" t="inlineStr"/>
      <c r="F45" s="83" t="inlineStr"/>
      <c r="G45" s="83" t="inlineStr"/>
      <c r="H45" s="46" t="inlineStr"/>
      <c r="I45" s="85">
        <f>HYPERLINK("#'"&amp;"10. עלויות והתחשבנות (PM-CO)"&amp;"'!A10","➜ פתח")</f>
        <v/>
      </c>
      <c r="J45" s="4" t="n"/>
      <c r="K45" s="4" t="n"/>
      <c r="L45" s="4" t="n"/>
    </row>
    <row r="46" ht="22" customHeight="1">
      <c r="A46" s="88" t="n">
        <v>44</v>
      </c>
      <c r="B46" s="54" t="inlineStr">
        <is>
          <t>10. עלויות והתחשבנות (PM-CO)  -  כותרת חוק התחשבנות</t>
        </is>
      </c>
      <c r="C46" s="52" t="inlineStr">
        <is>
          <t>COBRA</t>
        </is>
      </c>
      <c r="D46" s="84" t="inlineStr">
        <is>
          <t>Not started</t>
        </is>
      </c>
      <c r="E46" s="54" t="inlineStr"/>
      <c r="F46" s="88" t="inlineStr"/>
      <c r="G46" s="88" t="inlineStr"/>
      <c r="H46" s="54" t="inlineStr"/>
      <c r="I46" s="89">
        <f>HYPERLINK("#'"&amp;"10. עלויות והתחשבנות (PM-CO)"&amp;"'!A17","➜ פתח")</f>
        <v/>
      </c>
      <c r="J46" s="4" t="n"/>
      <c r="K46" s="4" t="n"/>
      <c r="L46" s="4" t="n"/>
    </row>
    <row r="47" ht="22" customHeight="1">
      <c r="A47" s="83" t="n">
        <v>45</v>
      </c>
      <c r="B47" s="46" t="inlineStr">
        <is>
          <t>10. עלויות והתחשבנות (PM-CO)  -  פריטי חוק התחשבנות (חוקי חלוקה)</t>
        </is>
      </c>
      <c r="C47" s="44" t="inlineStr">
        <is>
          <t>COBRB</t>
        </is>
      </c>
      <c r="D47" s="84" t="inlineStr">
        <is>
          <t>Not started</t>
        </is>
      </c>
      <c r="E47" s="46" t="inlineStr"/>
      <c r="F47" s="83" t="inlineStr"/>
      <c r="G47" s="83" t="inlineStr"/>
      <c r="H47" s="46" t="inlineStr"/>
      <c r="I47" s="85">
        <f>HYPERLINK("#'"&amp;"10. עלויות והתחשבנות (PM-CO)"&amp;"'!A23","➜ פתח")</f>
        <v/>
      </c>
      <c r="J47" s="4" t="n"/>
      <c r="K47" s="4" t="n"/>
      <c r="L47" s="4" t="n"/>
    </row>
    <row r="48" ht="22" customHeight="1">
      <c r="A48" s="88" t="n">
        <v>46</v>
      </c>
      <c r="B48" s="54" t="inlineStr">
        <is>
          <t>11. אחזקה מונעת ותוכניות  -  כותרת רשימת פעולות אחזקה</t>
        </is>
      </c>
      <c r="C48" s="52" t="inlineStr">
        <is>
          <t>PLKO</t>
        </is>
      </c>
      <c r="D48" s="84" t="inlineStr">
        <is>
          <t>Not started</t>
        </is>
      </c>
      <c r="E48" s="54" t="inlineStr"/>
      <c r="F48" s="88" t="inlineStr"/>
      <c r="G48" s="88" t="inlineStr"/>
      <c r="H48" s="54" t="inlineStr"/>
      <c r="I48" s="89">
        <f>HYPERLINK("#'"&amp;"11. אחזקה מונעת ותוכניות"&amp;"'!A3","➜ פתח")</f>
        <v/>
      </c>
      <c r="J48" s="4" t="n"/>
      <c r="K48" s="4" t="n"/>
      <c r="L48" s="4" t="n"/>
    </row>
    <row r="49" ht="22" customHeight="1">
      <c r="A49" s="83" t="n">
        <v>47</v>
      </c>
      <c r="B49" s="46" t="inlineStr">
        <is>
          <t>11. אחזקה מונעת ותוכניות  -  פעולות ברשימת פעולות</t>
        </is>
      </c>
      <c r="C49" s="44" t="inlineStr">
        <is>
          <t>PLPO</t>
        </is>
      </c>
      <c r="D49" s="84" t="inlineStr">
        <is>
          <t>Not started</t>
        </is>
      </c>
      <c r="E49" s="46" t="inlineStr"/>
      <c r="F49" s="83" t="inlineStr"/>
      <c r="G49" s="83" t="inlineStr"/>
      <c r="H49" s="46" t="inlineStr"/>
      <c r="I49" s="85">
        <f>HYPERLINK("#'"&amp;"11. אחזקה מונעת ותוכניות"&amp;"'!A10","➜ פתח")</f>
        <v/>
      </c>
      <c r="J49" s="4" t="n"/>
      <c r="K49" s="4" t="n"/>
      <c r="L49" s="4" t="n"/>
    </row>
    <row r="50" ht="22" customHeight="1">
      <c r="A50" s="88" t="n">
        <v>48</v>
      </c>
      <c r="B50" s="54" t="inlineStr">
        <is>
          <t>11. אחזקה מונעת ותוכניות  -  כותרת תכנית אחזקה ונתוני תזמון</t>
        </is>
      </c>
      <c r="C50" s="52" t="inlineStr">
        <is>
          <t>MPLA</t>
        </is>
      </c>
      <c r="D50" s="84" t="inlineStr">
        <is>
          <t>Not started</t>
        </is>
      </c>
      <c r="E50" s="54" t="inlineStr"/>
      <c r="F50" s="88" t="inlineStr"/>
      <c r="G50" s="88" t="inlineStr"/>
      <c r="H50" s="54" t="inlineStr"/>
      <c r="I50" s="89">
        <f>HYPERLINK("#'"&amp;"11. אחזקה מונעת ותוכניות"&amp;"'!A18","➜ פתח")</f>
        <v/>
      </c>
      <c r="J50" s="4" t="n"/>
      <c r="K50" s="4" t="n"/>
      <c r="L50" s="4" t="n"/>
    </row>
    <row r="51" ht="22" customHeight="1">
      <c r="A51" s="83" t="n">
        <v>49</v>
      </c>
      <c r="B51" s="46" t="inlineStr">
        <is>
          <t>11. אחזקה מונעת ותוכניות  -  פריט תכנית אחזקה</t>
        </is>
      </c>
      <c r="C51" s="44" t="inlineStr">
        <is>
          <t>MPOS</t>
        </is>
      </c>
      <c r="D51" s="84" t="inlineStr">
        <is>
          <t>Not started</t>
        </is>
      </c>
      <c r="E51" s="46" t="inlineStr"/>
      <c r="F51" s="83" t="inlineStr"/>
      <c r="G51" s="83" t="inlineStr"/>
      <c r="H51" s="46" t="inlineStr"/>
      <c r="I51" s="85">
        <f>HYPERLINK("#'"&amp;"11. אחזקה מונעת ותוכניות"&amp;"'!A25","➜ פתח")</f>
        <v/>
      </c>
      <c r="J51" s="4" t="n"/>
      <c r="K51" s="4" t="n"/>
      <c r="L51" s="4" t="n"/>
    </row>
    <row r="52" ht="22" customHeight="1">
      <c r="A52" s="88" t="n">
        <v>50</v>
      </c>
      <c r="B52" s="54" t="inlineStr">
        <is>
          <t>11. אחזקה מונעת ותוכניות  -  אובייקטי קריאת תכנית האחזקה</t>
        </is>
      </c>
      <c r="C52" s="52" t="inlineStr">
        <is>
          <t>MHIO</t>
        </is>
      </c>
      <c r="D52" s="84" t="inlineStr">
        <is>
          <t>Not started</t>
        </is>
      </c>
      <c r="E52" s="54" t="inlineStr"/>
      <c r="F52" s="88" t="inlineStr"/>
      <c r="G52" s="88" t="inlineStr"/>
      <c r="H52" s="54" t="inlineStr"/>
      <c r="I52" s="89">
        <f>HYPERLINK("#'"&amp;"11. אחזקה מונעת ותוכניות"&amp;"'!A33","➜ פתח")</f>
        <v/>
      </c>
      <c r="J52" s="4" t="n"/>
      <c r="K52" s="4" t="n"/>
      <c r="L52" s="4" t="n"/>
    </row>
    <row r="53" ht="22" customHeight="1">
      <c r="A53" s="83" t="n">
        <v>51</v>
      </c>
      <c r="B53" s="46" t="inlineStr">
        <is>
          <t>11. אחזקה מונעת ותוכניות  -  היסטוריית תזמון תכנית אחזקה</t>
        </is>
      </c>
      <c r="C53" s="44" t="inlineStr">
        <is>
          <t>MHIS</t>
        </is>
      </c>
      <c r="D53" s="84" t="inlineStr">
        <is>
          <t>Not started</t>
        </is>
      </c>
      <c r="E53" s="46" t="inlineStr"/>
      <c r="F53" s="83" t="inlineStr"/>
      <c r="G53" s="83" t="inlineStr"/>
      <c r="H53" s="46" t="inlineStr"/>
      <c r="I53" s="85">
        <f>HYPERLINK("#'"&amp;"11. אחזקה מונעת ותוכניות"&amp;"'!A40","➜ פתח")</f>
        <v/>
      </c>
      <c r="J53" s="4" t="n"/>
      <c r="K53" s="4" t="n"/>
      <c r="L53" s="4" t="n"/>
    </row>
    <row r="54" ht="22" customHeight="1">
      <c r="A54" s="88" t="n">
        <v>52</v>
      </c>
      <c r="B54" s="54" t="inlineStr">
        <is>
          <t>12. היסטוריה וארכיון  -  הודעות (כולל היסטוריות) לניתוח אמינות</t>
        </is>
      </c>
      <c r="C54" s="52" t="inlineStr">
        <is>
          <t>QMEL</t>
        </is>
      </c>
      <c r="D54" s="84" t="inlineStr">
        <is>
          <t>Not started</t>
        </is>
      </c>
      <c r="E54" s="54" t="inlineStr"/>
      <c r="F54" s="88" t="inlineStr"/>
      <c r="G54" s="88" t="inlineStr"/>
      <c r="H54" s="54" t="inlineStr"/>
      <c r="I54" s="89">
        <f>HYPERLINK("#'"&amp;"12. היסטוריה וארכיון"&amp;"'!A3","➜ פתח")</f>
        <v/>
      </c>
      <c r="J54" s="4" t="n"/>
      <c r="K54" s="4" t="n"/>
      <c r="L54" s="4" t="n"/>
    </row>
    <row r="55" ht="22" customHeight="1">
      <c r="A55" s="83" t="n">
        <v>53</v>
      </c>
      <c r="B55" s="46" t="inlineStr">
        <is>
          <t>12. היסטוריה וארכיון  -  פקודות (כולל היסטוריות) לניתוח עלות</t>
        </is>
      </c>
      <c r="C55" s="44" t="inlineStr">
        <is>
          <t>AUFK</t>
        </is>
      </c>
      <c r="D55" s="84" t="inlineStr">
        <is>
          <t>Not started</t>
        </is>
      </c>
      <c r="E55" s="46" t="inlineStr"/>
      <c r="F55" s="83" t="inlineStr"/>
      <c r="G55" s="83" t="inlineStr"/>
      <c r="H55" s="46" t="inlineStr"/>
      <c r="I55" s="85">
        <f>HYPERLINK("#'"&amp;"12. היסטוריה וארכיון"&amp;"'!A10","➜ פתח")</f>
        <v/>
      </c>
      <c r="J55" s="4" t="n"/>
      <c r="K55" s="4" t="n"/>
      <c r="L55" s="4" t="n"/>
    </row>
    <row r="56" ht="22" customHeight="1">
      <c r="A56" s="88" t="n">
        <v>54</v>
      </c>
      <c r="B56" s="54" t="inlineStr">
        <is>
          <t>12. היסטוריה וארכיון  -  ריצות ארכוב נתונים</t>
        </is>
      </c>
      <c r="C56" s="52" t="inlineStr">
        <is>
          <t>ADMI_RUN</t>
        </is>
      </c>
      <c r="D56" s="84" t="inlineStr">
        <is>
          <t>Not started</t>
        </is>
      </c>
      <c r="E56" s="54" t="inlineStr"/>
      <c r="F56" s="88" t="inlineStr"/>
      <c r="G56" s="88" t="inlineStr"/>
      <c r="H56" s="54" t="inlineStr"/>
      <c r="I56" s="89">
        <f>HYPERLINK("#'"&amp;"12. היסטוריה וארכיון"&amp;"'!A17","➜ פתח")</f>
        <v/>
      </c>
      <c r="J56" s="4" t="n"/>
      <c r="K56" s="4" t="n"/>
      <c r="L56" s="4" t="n"/>
    </row>
  </sheetData>
  <mergeCells count="2">
    <mergeCell ref="C1:I1"/>
    <mergeCell ref="A1:B1"/>
  </mergeCells>
  <conditionalFormatting sqref="D3:D56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3:D56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סוג (Type)</t>
        </is>
      </c>
      <c r="D2" s="73" t="inlineStr">
        <is>
          <t>קוד / שם טכני</t>
        </is>
      </c>
      <c r="E2" s="73" t="inlineStr">
        <is>
          <t>תיאור (Hebrew)</t>
        </is>
      </c>
      <c r="F2" s="73" t="inlineStr">
        <is>
          <t>סטטוס בדיקה</t>
        </is>
      </c>
      <c r="G2" s="73" t="inlineStr">
        <is>
          <t>המלצת מעבר ל-S/4</t>
        </is>
      </c>
      <c r="H2" s="73" t="inlineStr">
        <is>
          <t>אחראי (Owner)</t>
        </is>
      </c>
      <c r="I2" s="73" t="inlineStr">
        <is>
          <t>הערות</t>
        </is>
      </c>
    </row>
    <row r="3" ht="26" customHeight="1">
      <c r="A3" s="83" t="n">
        <v>1</v>
      </c>
      <c r="B3" s="46" t="inlineStr">
        <is>
          <t>1. מבנה ארגוני ותשתית</t>
        </is>
      </c>
      <c r="C3" s="83" t="inlineStr">
        <is>
          <t>User Exit</t>
        </is>
      </c>
      <c r="D3" s="95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84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83" t="inlineStr"/>
      <c r="I3" s="46" t="inlineStr"/>
    </row>
    <row r="4" ht="26" customHeight="1">
      <c r="A4" s="88" t="n">
        <v>2</v>
      </c>
      <c r="B4" s="54" t="inlineStr">
        <is>
          <t>1. מבנה ארגוני ותשתית</t>
        </is>
      </c>
      <c r="C4" s="88" t="inlineStr">
        <is>
          <t>User Exit</t>
        </is>
      </c>
      <c r="D4" s="96" t="inlineStr">
        <is>
          <t>IBIP0001</t>
        </is>
      </c>
      <c r="E4" s="54" t="inlineStr">
        <is>
          <t>ממשק יצירה אצווה (Batch Input/Direct Input) לאובייקטים טכניים</t>
        </is>
      </c>
      <c r="F4" s="84" t="inlineStr">
        <is>
          <t>To review</t>
        </is>
      </c>
      <c r="G4" s="54" t="inlineStr">
        <is>
          <t>בדוק ב-Custom Code Migration (SCMON/ATC); שקול מעבר ל-BAdI/Enhancement Spot מודרני.</t>
        </is>
      </c>
      <c r="H4" s="88" t="inlineStr"/>
      <c r="I4" s="54" t="inlineStr"/>
    </row>
    <row r="5" ht="26" customHeight="1">
      <c r="A5" s="83" t="n">
        <v>3</v>
      </c>
      <c r="B5" s="46" t="inlineStr">
        <is>
          <t>1. מבנה ארגוני ותשתית</t>
        </is>
      </c>
      <c r="C5" s="83" t="inlineStr">
        <is>
          <t>BAdI</t>
        </is>
      </c>
      <c r="D5" s="95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84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83" t="inlineStr"/>
      <c r="I5" s="46" t="inlineStr"/>
    </row>
    <row r="6" ht="26" customHeight="1">
      <c r="A6" s="88" t="n">
        <v>4</v>
      </c>
      <c r="B6" s="54" t="inlineStr">
        <is>
          <t>1. מבנה ארגוני ותשתית</t>
        </is>
      </c>
      <c r="C6" s="88" t="inlineStr">
        <is>
          <t>BAdI</t>
        </is>
      </c>
      <c r="D6" s="96" t="inlineStr">
        <is>
          <t>BADI_EAM_SINGLE_LEVEL_LIST</t>
        </is>
      </c>
      <c r="E6" s="54" t="inlineStr">
        <is>
          <t>התאמת רשימות אובייקטים חד-רמתיות (IH06/IH08)</t>
        </is>
      </c>
      <c r="F6" s="84" t="inlineStr">
        <is>
          <t>To review</t>
        </is>
      </c>
      <c r="G6" s="54" t="inlineStr">
        <is>
          <t>אמת תאימות ה-BAdI ב-S/4 (SPAU_ENH); ודא חתימה ומימוש אקטיבי לאחר השדרוג.</t>
        </is>
      </c>
      <c r="H6" s="88" t="inlineStr"/>
      <c r="I6" s="54" t="inlineStr"/>
    </row>
    <row r="7" ht="26" customHeight="1">
      <c r="A7" s="83" t="n">
        <v>5</v>
      </c>
      <c r="B7" s="46" t="inlineStr">
        <is>
          <t>2. ציוד ונתוני מאסטר</t>
        </is>
      </c>
      <c r="C7" s="83" t="inlineStr">
        <is>
          <t>User Exit</t>
        </is>
      </c>
      <c r="D7" s="95" t="inlineStr">
        <is>
          <t>IEQM0001</t>
        </is>
      </c>
      <c r="E7" s="46" t="inlineStr">
        <is>
          <t>בדיקות והרחבת שדות בעת יצירת/שינוי ציוד</t>
        </is>
      </c>
      <c r="F7" s="84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83" t="inlineStr"/>
      <c r="I7" s="46" t="inlineStr"/>
    </row>
    <row r="8" ht="26" customHeight="1">
      <c r="A8" s="88" t="n">
        <v>6</v>
      </c>
      <c r="B8" s="54" t="inlineStr">
        <is>
          <t>2. ציוד ונתוני מאסטר</t>
        </is>
      </c>
      <c r="C8" s="88" t="inlineStr">
        <is>
          <t>User Exit</t>
        </is>
      </c>
      <c r="D8" s="96" t="inlineStr">
        <is>
          <t>IEQM0003</t>
        </is>
      </c>
      <c r="E8" s="54" t="inlineStr">
        <is>
          <t>ברירות מחדל וקביעת ערכים אוטומטית לציוד</t>
        </is>
      </c>
      <c r="F8" s="84" t="inlineStr">
        <is>
          <t>To review</t>
        </is>
      </c>
      <c r="G8" s="54" t="inlineStr">
        <is>
          <t>בדוק ב-Custom Code Migration (SCMON/ATC); שקול מעבר ל-BAdI/Enhancement Spot מודרני.</t>
        </is>
      </c>
      <c r="H8" s="88" t="inlineStr"/>
      <c r="I8" s="54" t="inlineStr"/>
    </row>
    <row r="9" ht="26" customHeight="1">
      <c r="A9" s="83" t="n">
        <v>7</v>
      </c>
      <c r="B9" s="46" t="inlineStr">
        <is>
          <t>2. ציוד ונתוני מאסטר</t>
        </is>
      </c>
      <c r="C9" s="83" t="inlineStr">
        <is>
          <t>User Exit</t>
        </is>
      </c>
      <c r="D9" s="95" t="inlineStr">
        <is>
          <t>ISER0001</t>
        </is>
      </c>
      <c r="E9" s="46" t="inlineStr">
        <is>
          <t>הרחבת לוגיקת מספרים סידוריים (Serialization)</t>
        </is>
      </c>
      <c r="F9" s="84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83" t="inlineStr"/>
      <c r="I9" s="46" t="inlineStr"/>
    </row>
    <row r="10" ht="26" customHeight="1">
      <c r="A10" s="88" t="n">
        <v>8</v>
      </c>
      <c r="B10" s="54" t="inlineStr">
        <is>
          <t>2. ציוד ונתוני מאסטר</t>
        </is>
      </c>
      <c r="C10" s="88" t="inlineStr">
        <is>
          <t>BAdI</t>
        </is>
      </c>
      <c r="D10" s="96" t="inlineStr">
        <is>
          <t>BADI_EAM_TECHNICAL_OBJECT</t>
        </is>
      </c>
      <c r="E10" s="54" t="inlineStr">
        <is>
          <t>הרחבת לוגיקת ציוד/אובייקט טכני ב-S/4HANA</t>
        </is>
      </c>
      <c r="F10" s="84" t="inlineStr">
        <is>
          <t>To review</t>
        </is>
      </c>
      <c r="G10" s="54" t="inlineStr">
        <is>
          <t>אמת תאימות ה-BAdI ב-S/4 (SPAU_ENH); ודא חתימה ומימוש אקטיבי לאחר השדרוג.</t>
        </is>
      </c>
      <c r="H10" s="88" t="inlineStr"/>
      <c r="I10" s="54" t="inlineStr"/>
    </row>
    <row r="11" ht="26" customHeight="1">
      <c r="A11" s="83" t="n">
        <v>9</v>
      </c>
      <c r="B11" s="46" t="inlineStr">
        <is>
          <t>2. ציוד ונתוני מאסטר</t>
        </is>
      </c>
      <c r="C11" s="83" t="inlineStr">
        <is>
          <t>BAdI</t>
        </is>
      </c>
      <c r="D11" s="95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84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83" t="inlineStr"/>
      <c r="I11" s="46" t="inlineStr"/>
    </row>
    <row r="12" ht="26" customHeight="1">
      <c r="A12" s="88" t="n">
        <v>10</v>
      </c>
      <c r="B12" s="54" t="inlineStr">
        <is>
          <t>3. עצי מוצר של אחזקה (BOM)</t>
        </is>
      </c>
      <c r="C12" s="88" t="inlineStr">
        <is>
          <t>User Exit</t>
        </is>
      </c>
      <c r="D12" s="96" t="inlineStr">
        <is>
          <t>PCSD0001</t>
        </is>
      </c>
      <c r="E12" s="54" t="inlineStr">
        <is>
          <t>הרחבת לקוח לעצי מוצר (BOM) - בדיקות פריטים</t>
        </is>
      </c>
      <c r="F12" s="84" t="inlineStr">
        <is>
          <t>To review</t>
        </is>
      </c>
      <c r="G12" s="54" t="inlineStr">
        <is>
          <t>בדוק ב-Custom Code Migration (SCMON/ATC); שקול מעבר ל-BAdI/Enhancement Spot מודרני.</t>
        </is>
      </c>
      <c r="H12" s="88" t="inlineStr"/>
      <c r="I12" s="54" t="inlineStr"/>
    </row>
    <row r="13" ht="26" customHeight="1">
      <c r="A13" s="83" t="n">
        <v>11</v>
      </c>
      <c r="B13" s="46" t="inlineStr">
        <is>
          <t>3. עצי מוצר של אחזקה (BOM)</t>
        </is>
      </c>
      <c r="C13" s="83" t="inlineStr">
        <is>
          <t>User Exit</t>
        </is>
      </c>
      <c r="D13" s="95" t="inlineStr">
        <is>
          <t>PCSD0002</t>
        </is>
      </c>
      <c r="E13" s="46" t="inlineStr">
        <is>
          <t>ברירות מחדל לפריטי עץ מוצר</t>
        </is>
      </c>
      <c r="F13" s="84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83" t="inlineStr"/>
      <c r="I13" s="46" t="inlineStr"/>
    </row>
    <row r="14" ht="26" customHeight="1">
      <c r="A14" s="88" t="n">
        <v>12</v>
      </c>
      <c r="B14" s="54" t="inlineStr">
        <is>
          <t>3. עצי מוצר של אחזקה (BOM)</t>
        </is>
      </c>
      <c r="C14" s="88" t="inlineStr">
        <is>
          <t>BAdI</t>
        </is>
      </c>
      <c r="D14" s="96" t="inlineStr">
        <is>
          <t>BOM_UPDATE</t>
        </is>
      </c>
      <c r="E14" s="54" t="inlineStr">
        <is>
          <t>BAdI לעדכון/בדיקת עצי מוצר (אמת ב-SE18)</t>
        </is>
      </c>
      <c r="F14" s="84" t="inlineStr">
        <is>
          <t>To review</t>
        </is>
      </c>
      <c r="G14" s="54" t="inlineStr">
        <is>
          <t>אמת תאימות ה-BAdI ב-S/4 (SPAU_ENH); ודא חתימה ומימוש אקטיבי לאחר השדרוג.</t>
        </is>
      </c>
      <c r="H14" s="88" t="inlineStr"/>
      <c r="I14" s="54" t="inlineStr"/>
    </row>
    <row r="15" ht="26" customHeight="1">
      <c r="A15" s="83" t="n">
        <v>13</v>
      </c>
      <c r="B15" s="46" t="inlineStr">
        <is>
          <t>3. עצי מוצר של אחזקה (BOM)</t>
        </is>
      </c>
      <c r="C15" s="83" t="inlineStr">
        <is>
          <t>BAdI</t>
        </is>
      </c>
      <c r="D15" s="95" t="inlineStr">
        <is>
          <t>BADI_EAM_TECHNICAL_OBJECT</t>
        </is>
      </c>
      <c r="E15" s="46" t="inlineStr">
        <is>
          <t>שיוך BOM לאובייקט טכני ב-S/4</t>
        </is>
      </c>
      <c r="F15" s="84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83" t="inlineStr"/>
      <c r="I15" s="46" t="inlineStr"/>
    </row>
    <row r="16" ht="26" customHeight="1">
      <c r="A16" s="88" t="n">
        <v>14</v>
      </c>
      <c r="B16" s="54" t="inlineStr">
        <is>
          <t>4. נקודות מדידה ומונים</t>
        </is>
      </c>
      <c r="C16" s="88" t="inlineStr">
        <is>
          <t>User Exit</t>
        </is>
      </c>
      <c r="D16" s="96" t="inlineStr">
        <is>
          <t>IMRC0001</t>
        </is>
      </c>
      <c r="E16" s="54" t="inlineStr">
        <is>
          <t>הרחבת בדיקות בעת קליטת מסמך מדידה</t>
        </is>
      </c>
      <c r="F16" s="84" t="inlineStr">
        <is>
          <t>To review</t>
        </is>
      </c>
      <c r="G16" s="54" t="inlineStr">
        <is>
          <t>בדוק ב-Custom Code Migration (SCMON/ATC); שקול מעבר ל-BAdI/Enhancement Spot מודרני.</t>
        </is>
      </c>
      <c r="H16" s="88" t="inlineStr"/>
      <c r="I16" s="54" t="inlineStr"/>
    </row>
    <row r="17" ht="26" customHeight="1">
      <c r="A17" s="83" t="n">
        <v>15</v>
      </c>
      <c r="B17" s="46" t="inlineStr">
        <is>
          <t>4. נקודות מדידה ומונים</t>
        </is>
      </c>
      <c r="C17" s="83" t="inlineStr">
        <is>
          <t>User Exit</t>
        </is>
      </c>
      <c r="D17" s="95" t="inlineStr">
        <is>
          <t>IMRC0002</t>
        </is>
      </c>
      <c r="E17" s="46" t="inlineStr">
        <is>
          <t>לוגיקת העברת קריאות ומונים</t>
        </is>
      </c>
      <c r="F17" s="84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83" t="inlineStr"/>
      <c r="I17" s="46" t="inlineStr"/>
    </row>
    <row r="18" ht="26" customHeight="1">
      <c r="A18" s="88" t="n">
        <v>16</v>
      </c>
      <c r="B18" s="54" t="inlineStr">
        <is>
          <t>4. נקודות מדידה ומונים</t>
        </is>
      </c>
      <c r="C18" s="88" t="inlineStr">
        <is>
          <t>BAdI</t>
        </is>
      </c>
      <c r="D18" s="96" t="inlineStr">
        <is>
          <t>BADI_EAM_MEASPOINT</t>
        </is>
      </c>
      <c r="E18" s="54" t="inlineStr">
        <is>
          <t>הרחבת נקודות מדידה/מסמכי מדידה (אמת שם ב-SE18)</t>
        </is>
      </c>
      <c r="F18" s="84" t="inlineStr">
        <is>
          <t>To review</t>
        </is>
      </c>
      <c r="G18" s="54" t="inlineStr">
        <is>
          <t>אמת תאימות ה-BAdI ב-S/4 (SPAU_ENH); ודא חתימה ומימוש אקטיבי לאחר השדרוג.</t>
        </is>
      </c>
      <c r="H18" s="88" t="inlineStr"/>
      <c r="I18" s="54" t="inlineStr"/>
    </row>
    <row r="19" ht="26" customHeight="1">
      <c r="A19" s="83" t="n">
        <v>17</v>
      </c>
      <c r="B19" s="46" t="inlineStr">
        <is>
          <t>5. קטלוגים, קודים ופרופילים</t>
        </is>
      </c>
      <c r="C19" s="83" t="inlineStr">
        <is>
          <t>User Exit</t>
        </is>
      </c>
      <c r="D19" s="95" t="inlineStr">
        <is>
          <t>QQMA0001</t>
        </is>
      </c>
      <c r="E19" s="46" t="inlineStr">
        <is>
          <t>בדיקות כלליות בקטלוגים/קודים (משותף QM-PM)</t>
        </is>
      </c>
      <c r="F19" s="84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83" t="inlineStr"/>
      <c r="I19" s="46" t="inlineStr"/>
    </row>
    <row r="20" ht="26" customHeight="1">
      <c r="A20" s="88" t="n">
        <v>18</v>
      </c>
      <c r="B20" s="54" t="inlineStr">
        <is>
          <t>5. קטלוגים, קודים ופרופילים</t>
        </is>
      </c>
      <c r="C20" s="88" t="inlineStr">
        <is>
          <t>BAdI</t>
        </is>
      </c>
      <c r="D20" s="96" t="inlineStr">
        <is>
          <t>BADI_CATALOG</t>
        </is>
      </c>
      <c r="E20" s="54" t="inlineStr">
        <is>
          <t>הרחבת לוגיקת קטלוגים (אמת שם ב-SE18)</t>
        </is>
      </c>
      <c r="F20" s="84" t="inlineStr">
        <is>
          <t>To review</t>
        </is>
      </c>
      <c r="G20" s="54" t="inlineStr">
        <is>
          <t>אמת תאימות ה-BAdI ב-S/4 (SPAU_ENH); ודא חתימה ומימוש אקטיבי לאחר השדרוג.</t>
        </is>
      </c>
      <c r="H20" s="88" t="inlineStr"/>
      <c r="I20" s="54" t="inlineStr"/>
    </row>
    <row r="21" ht="26" customHeight="1">
      <c r="A21" s="83" t="n">
        <v>19</v>
      </c>
      <c r="B21" s="46" t="inlineStr">
        <is>
          <t>6. הודעות אחזקה (Notifications)</t>
        </is>
      </c>
      <c r="C21" s="83" t="inlineStr">
        <is>
          <t>User Exit</t>
        </is>
      </c>
      <c r="D21" s="95" t="inlineStr">
        <is>
          <t>QQMA0014</t>
        </is>
      </c>
      <c r="E21" s="46" t="inlineStr">
        <is>
          <t>בדיקת לקוח לפני שמירת הודעה (Check before save)</t>
        </is>
      </c>
      <c r="F21" s="84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83" t="inlineStr"/>
      <c r="I21" s="46" t="inlineStr"/>
    </row>
    <row r="22" ht="26" customHeight="1">
      <c r="A22" s="88" t="n">
        <v>20</v>
      </c>
      <c r="B22" s="54" t="inlineStr">
        <is>
          <t>6. הודעות אחזקה (Notifications)</t>
        </is>
      </c>
      <c r="C22" s="88" t="inlineStr">
        <is>
          <t>User Exit</t>
        </is>
      </c>
      <c r="D22" s="96" t="inlineStr">
        <is>
          <t>QQMA0010</t>
        </is>
      </c>
      <c r="E22" s="54" t="inlineStr">
        <is>
          <t>הרחבת שדות וברירות מחדל בכותרת ההודעה</t>
        </is>
      </c>
      <c r="F22" s="84" t="inlineStr">
        <is>
          <t>To review</t>
        </is>
      </c>
      <c r="G22" s="54" t="inlineStr">
        <is>
          <t>בדוק ב-Custom Code Migration (SCMON/ATC); שקול מעבר ל-BAdI/Enhancement Spot מודרני.</t>
        </is>
      </c>
      <c r="H22" s="88" t="inlineStr"/>
      <c r="I22" s="54" t="inlineStr"/>
    </row>
    <row r="23" ht="26" customHeight="1">
      <c r="A23" s="83" t="n">
        <v>21</v>
      </c>
      <c r="B23" s="46" t="inlineStr">
        <is>
          <t>6. הודעות אחזקה (Notifications)</t>
        </is>
      </c>
      <c r="C23" s="83" t="inlineStr">
        <is>
          <t>User Exit</t>
        </is>
      </c>
      <c r="D23" s="95" t="inlineStr">
        <is>
          <t>QQMA0025</t>
        </is>
      </c>
      <c r="E23" s="46" t="inlineStr">
        <is>
          <t>הרחבה בעת השלמת/סגירת הודעה</t>
        </is>
      </c>
      <c r="F23" s="84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83" t="inlineStr"/>
      <c r="I23" s="46" t="inlineStr"/>
    </row>
    <row r="24" ht="26" customHeight="1">
      <c r="A24" s="88" t="n">
        <v>22</v>
      </c>
      <c r="B24" s="54" t="inlineStr">
        <is>
          <t>6. הודעות אחזקה (Notifications)</t>
        </is>
      </c>
      <c r="C24" s="88" t="inlineStr">
        <is>
          <t>BAdI</t>
        </is>
      </c>
      <c r="D24" s="96" t="inlineStr">
        <is>
          <t>NOTIF_EVENT_POST</t>
        </is>
      </c>
      <c r="E24" s="54" t="inlineStr">
        <is>
          <t>BAdI לאירוע רישום/שמירת הודעה (לוגיקה לאחר שמירה)</t>
        </is>
      </c>
      <c r="F24" s="84" t="inlineStr">
        <is>
          <t>To review</t>
        </is>
      </c>
      <c r="G24" s="54" t="inlineStr">
        <is>
          <t>אמת תאימות ה-BAdI ב-S/4 (SPAU_ENH); ודא חתימה ומימוש אקטיבי לאחר השדרוג.</t>
        </is>
      </c>
      <c r="H24" s="88" t="inlineStr"/>
      <c r="I24" s="54" t="inlineStr"/>
    </row>
    <row r="25" ht="26" customHeight="1">
      <c r="A25" s="83" t="n">
        <v>23</v>
      </c>
      <c r="B25" s="46" t="inlineStr">
        <is>
          <t>6. הודעות אחזקה (Notifications)</t>
        </is>
      </c>
      <c r="C25" s="83" t="inlineStr">
        <is>
          <t>BAdI</t>
        </is>
      </c>
      <c r="D25" s="95" t="inlineStr">
        <is>
          <t>NOTIF_EVENT_SAVE</t>
        </is>
      </c>
      <c r="E25" s="46" t="inlineStr">
        <is>
          <t>BAdI לאירוע שמירת הודעה (בדיקות לפני commit)</t>
        </is>
      </c>
      <c r="F25" s="84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83" t="inlineStr"/>
      <c r="I25" s="46" t="inlineStr"/>
    </row>
    <row r="26" ht="26" customHeight="1">
      <c r="A26" s="88" t="n">
        <v>24</v>
      </c>
      <c r="B26" s="54" t="inlineStr">
        <is>
          <t>7. פקודות עבודה (פק"ע)</t>
        </is>
      </c>
      <c r="C26" s="88" t="inlineStr">
        <is>
          <t>User Exit</t>
        </is>
      </c>
      <c r="D26" s="96" t="inlineStr">
        <is>
          <t>IWO10009</t>
        </is>
      </c>
      <c r="E26" s="54" t="inlineStr">
        <is>
          <t>הרחבת לקוח לפק"ע - בדיקות והשלמת שדות בכותרת</t>
        </is>
      </c>
      <c r="F26" s="84" t="inlineStr">
        <is>
          <t>To review</t>
        </is>
      </c>
      <c r="G26" s="54" t="inlineStr">
        <is>
          <t>בדוק ב-Custom Code Migration (SCMON/ATC); שקול מעבר ל-BAdI/Enhancement Spot מודרני.</t>
        </is>
      </c>
      <c r="H26" s="88" t="inlineStr"/>
      <c r="I26" s="54" t="inlineStr"/>
    </row>
    <row r="27" ht="26" customHeight="1">
      <c r="A27" s="83" t="n">
        <v>25</v>
      </c>
      <c r="B27" s="46" t="inlineStr">
        <is>
          <t>7. פקודות עבודה (פק"ע)</t>
        </is>
      </c>
      <c r="C27" s="83" t="inlineStr">
        <is>
          <t>User Exit</t>
        </is>
      </c>
      <c r="D27" s="95" t="inlineStr">
        <is>
          <t>IWO10002</t>
        </is>
      </c>
      <c r="E27" s="46" t="inlineStr">
        <is>
          <t>בדיקות בעת שמירת פקודת עבודה</t>
        </is>
      </c>
      <c r="F27" s="84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83" t="inlineStr"/>
      <c r="I27" s="46" t="inlineStr"/>
    </row>
    <row r="28" ht="26" customHeight="1">
      <c r="A28" s="88" t="n">
        <v>26</v>
      </c>
      <c r="B28" s="54" t="inlineStr">
        <is>
          <t>7. פקודות עבודה (פק"ע)</t>
        </is>
      </c>
      <c r="C28" s="88" t="inlineStr">
        <is>
          <t>User Exit</t>
        </is>
      </c>
      <c r="D28" s="96" t="inlineStr">
        <is>
          <t>IWO10012</t>
        </is>
      </c>
      <c r="E28" s="54" t="inlineStr">
        <is>
          <t>בדיקת אישורי עבודה (Permits) בפק"ע</t>
        </is>
      </c>
      <c r="F28" s="84" t="inlineStr">
        <is>
          <t>To review</t>
        </is>
      </c>
      <c r="G28" s="54" t="inlineStr">
        <is>
          <t>בדוק ב-Custom Code Migration (SCMON/ATC); שקול מעבר ל-BAdI/Enhancement Spot מודרני.</t>
        </is>
      </c>
      <c r="H28" s="88" t="inlineStr"/>
      <c r="I28" s="54" t="inlineStr"/>
    </row>
    <row r="29" ht="26" customHeight="1">
      <c r="A29" s="83" t="n">
        <v>27</v>
      </c>
      <c r="B29" s="46" t="inlineStr">
        <is>
          <t>7. פקודות עבודה (פק"ע)</t>
        </is>
      </c>
      <c r="C29" s="83" t="inlineStr">
        <is>
          <t>User Exit</t>
        </is>
      </c>
      <c r="D29" s="95" t="inlineStr">
        <is>
          <t>IWO10018</t>
        </is>
      </c>
      <c r="E29" s="46" t="inlineStr">
        <is>
          <t>בדיקת/הרחבת רכיבים בפק"ע</t>
        </is>
      </c>
      <c r="F29" s="84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83" t="inlineStr"/>
      <c r="I29" s="46" t="inlineStr"/>
    </row>
    <row r="30" ht="26" customHeight="1">
      <c r="A30" s="88" t="n">
        <v>28</v>
      </c>
      <c r="B30" s="54" t="inlineStr">
        <is>
          <t>7. פקודות עבודה (פק"ע)</t>
        </is>
      </c>
      <c r="C30" s="88" t="inlineStr">
        <is>
          <t>User Exit</t>
        </is>
      </c>
      <c r="D30" s="96" t="inlineStr">
        <is>
          <t>IWO10024</t>
        </is>
      </c>
      <c r="E30" s="54" t="inlineStr">
        <is>
          <t>הרחבת פעולות (Operations) בפק"ע</t>
        </is>
      </c>
      <c r="F30" s="84" t="inlineStr">
        <is>
          <t>To review</t>
        </is>
      </c>
      <c r="G30" s="54" t="inlineStr">
        <is>
          <t>בדוק ב-Custom Code Migration (SCMON/ATC); שקול מעבר ל-BAdI/Enhancement Spot מודרני.</t>
        </is>
      </c>
      <c r="H30" s="88" t="inlineStr"/>
      <c r="I30" s="54" t="inlineStr"/>
    </row>
    <row r="31" ht="26" customHeight="1">
      <c r="A31" s="83" t="n">
        <v>29</v>
      </c>
      <c r="B31" s="46" t="inlineStr">
        <is>
          <t>7. פקודות עבודה (פק"ע)</t>
        </is>
      </c>
      <c r="C31" s="83" t="inlineStr">
        <is>
          <t>BAdI</t>
        </is>
      </c>
      <c r="D31" s="95" t="inlineStr">
        <is>
          <t>WORKORDER_UPDATE</t>
        </is>
      </c>
      <c r="E31" s="46" t="inlineStr">
        <is>
          <t>BAdI לעדכון/בדיקת פקודת עבודה (לפני שמירה)</t>
        </is>
      </c>
      <c r="F31" s="84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83" t="inlineStr"/>
      <c r="I31" s="46" t="inlineStr"/>
    </row>
    <row r="32" ht="26" customHeight="1">
      <c r="A32" s="88" t="n">
        <v>30</v>
      </c>
      <c r="B32" s="54" t="inlineStr">
        <is>
          <t>7. פקודות עבודה (פק"ע)</t>
        </is>
      </c>
      <c r="C32" s="88" t="inlineStr">
        <is>
          <t>BAdI</t>
        </is>
      </c>
      <c r="D32" s="96" t="inlineStr">
        <is>
          <t>WORKORDER_GOODSMVT</t>
        </is>
      </c>
      <c r="E32" s="54" t="inlineStr">
        <is>
          <t>BAdI לתנועות מלאי בפק"ע</t>
        </is>
      </c>
      <c r="F32" s="84" t="inlineStr">
        <is>
          <t>To review</t>
        </is>
      </c>
      <c r="G32" s="54" t="inlineStr">
        <is>
          <t>אמת תאימות ה-BAdI ב-S/4 (SPAU_ENH); ודא חתימה ומימוש אקטיבי לאחר השדרוג.</t>
        </is>
      </c>
      <c r="H32" s="88" t="inlineStr"/>
      <c r="I32" s="54" t="inlineStr"/>
    </row>
    <row r="33" ht="26" customHeight="1">
      <c r="A33" s="83" t="n">
        <v>31</v>
      </c>
      <c r="B33" s="46" t="inlineStr">
        <is>
          <t>7. פקודות עבודה (פק"ע)</t>
        </is>
      </c>
      <c r="C33" s="83" t="inlineStr">
        <is>
          <t>BAdI</t>
        </is>
      </c>
      <c r="D33" s="95" t="inlineStr">
        <is>
          <t>WORKORDER_INFOSYSTEM</t>
        </is>
      </c>
      <c r="E33" s="46" t="inlineStr">
        <is>
          <t>BAdI לרשימות/דוחות פק"ע (IW38/39)</t>
        </is>
      </c>
      <c r="F33" s="84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83" t="inlineStr"/>
      <c r="I33" s="46" t="inlineStr"/>
    </row>
    <row r="34" ht="26" customHeight="1">
      <c r="A34" s="88" t="n">
        <v>32</v>
      </c>
      <c r="B34" s="54" t="inlineStr">
        <is>
          <t>8. ניהול סטטוסים (Status Mgmt)</t>
        </is>
      </c>
      <c r="C34" s="88" t="inlineStr">
        <is>
          <t>User Exit</t>
        </is>
      </c>
      <c r="D34" s="96" t="inlineStr">
        <is>
          <t>STATUS (BS02/BS22)</t>
        </is>
      </c>
      <c r="E34" s="54" t="inlineStr">
        <is>
          <t>סטטוס משתמש מוגדר בפרופיל ולא דרך user-exit ייעודי</t>
        </is>
      </c>
      <c r="F34" s="84" t="inlineStr">
        <is>
          <t>To review</t>
        </is>
      </c>
      <c r="G34" s="54" t="inlineStr">
        <is>
          <t>בדוק ב-Custom Code Migration (SCMON/ATC); שקול מעבר ל-BAdI/Enhancement Spot מודרני.</t>
        </is>
      </c>
      <c r="H34" s="88" t="inlineStr"/>
      <c r="I34" s="54" t="inlineStr"/>
    </row>
    <row r="35" ht="26" customHeight="1">
      <c r="A35" s="83" t="n">
        <v>33</v>
      </c>
      <c r="B35" s="46" t="inlineStr">
        <is>
          <t>8. ניהול סטטוסים (Status Mgmt)</t>
        </is>
      </c>
      <c r="C35" s="83" t="inlineStr">
        <is>
          <t>BAdI</t>
        </is>
      </c>
      <c r="D35" s="95" t="inlineStr">
        <is>
          <t>BADI_STATUS_MANAGEMENT</t>
        </is>
      </c>
      <c r="E35" s="46" t="inlineStr">
        <is>
          <t>הרחבת לוגיקת סטטוס (אמת שם ב-SE18)</t>
        </is>
      </c>
      <c r="F35" s="84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83" t="inlineStr"/>
      <c r="I35" s="46" t="inlineStr"/>
    </row>
    <row r="36" ht="26" customHeight="1">
      <c r="A36" s="88" t="n">
        <v>34</v>
      </c>
      <c r="B36" s="54" t="inlineStr">
        <is>
          <t>9. אינטגרציית מלאי ורכש (PM-MM)</t>
        </is>
      </c>
      <c r="C36" s="88" t="inlineStr">
        <is>
          <t>User Exit</t>
        </is>
      </c>
      <c r="D36" s="96" t="inlineStr">
        <is>
          <t>MB_CF001</t>
        </is>
      </c>
      <c r="E36" s="54" t="inlineStr">
        <is>
          <t>Customer Function לתנועות מלאי (Goods Movement)</t>
        </is>
      </c>
      <c r="F36" s="84" t="inlineStr">
        <is>
          <t>To review</t>
        </is>
      </c>
      <c r="G36" s="54" t="inlineStr">
        <is>
          <t>בדוק ב-Custom Code Migration (SCMON/ATC); שקול מעבר ל-BAdI/Enhancement Spot מודרני.</t>
        </is>
      </c>
      <c r="H36" s="88" t="inlineStr"/>
      <c r="I36" s="54" t="inlineStr"/>
    </row>
    <row r="37" ht="26" customHeight="1">
      <c r="A37" s="83" t="n">
        <v>35</v>
      </c>
      <c r="B37" s="46" t="inlineStr">
        <is>
          <t>9. אינטגרציית מלאי ורכש (PM-MM)</t>
        </is>
      </c>
      <c r="C37" s="83" t="inlineStr">
        <is>
          <t>User Exit</t>
        </is>
      </c>
      <c r="D37" s="95" t="inlineStr">
        <is>
          <t>M06B0001</t>
        </is>
      </c>
      <c r="E37" s="46" t="inlineStr">
        <is>
          <t>הרחבת בדיקות בדרישות רכש (PR)</t>
        </is>
      </c>
      <c r="F37" s="84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83" t="inlineStr"/>
      <c r="I37" s="46" t="inlineStr"/>
    </row>
    <row r="38" ht="26" customHeight="1">
      <c r="A38" s="88" t="n">
        <v>36</v>
      </c>
      <c r="B38" s="54" t="inlineStr">
        <is>
          <t>9. אינטגרציית מלאי ורכש (PM-MM)</t>
        </is>
      </c>
      <c r="C38" s="88" t="inlineStr">
        <is>
          <t>User Exit</t>
        </is>
      </c>
      <c r="D38" s="96" t="inlineStr">
        <is>
          <t>MEREQ001</t>
        </is>
      </c>
      <c r="E38" s="54" t="inlineStr">
        <is>
          <t>הרחבת לקוח לדרישות רכש (חיוב/שדות)</t>
        </is>
      </c>
      <c r="F38" s="84" t="inlineStr">
        <is>
          <t>To review</t>
        </is>
      </c>
      <c r="G38" s="54" t="inlineStr">
        <is>
          <t>בדוק ב-Custom Code Migration (SCMON/ATC); שקול מעבר ל-BAdI/Enhancement Spot מודרני.</t>
        </is>
      </c>
      <c r="H38" s="88" t="inlineStr"/>
      <c r="I38" s="54" t="inlineStr"/>
    </row>
    <row r="39" ht="26" customHeight="1">
      <c r="A39" s="83" t="n">
        <v>37</v>
      </c>
      <c r="B39" s="46" t="inlineStr">
        <is>
          <t>9. אינטגרציית מלאי ורכש (PM-MM)</t>
        </is>
      </c>
      <c r="C39" s="83" t="inlineStr">
        <is>
          <t>BAdI</t>
        </is>
      </c>
      <c r="D39" s="95" t="inlineStr">
        <is>
          <t>MB_DOCUMENT_BADI</t>
        </is>
      </c>
      <c r="E39" s="46" t="inlineStr">
        <is>
          <t>BAdI למסמך חומר (בדיקות/הרחבה בתנועת מלאי)</t>
        </is>
      </c>
      <c r="F39" s="84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83" t="inlineStr"/>
      <c r="I39" s="46" t="inlineStr"/>
    </row>
    <row r="40" ht="26" customHeight="1">
      <c r="A40" s="88" t="n">
        <v>38</v>
      </c>
      <c r="B40" s="54" t="inlineStr">
        <is>
          <t>9. אינטגרציית מלאי ורכש (PM-MM)</t>
        </is>
      </c>
      <c r="C40" s="88" t="inlineStr">
        <is>
          <t>BAdI</t>
        </is>
      </c>
      <c r="D40" s="96" t="inlineStr">
        <is>
          <t>ME_PROCESS_REQ_CUST</t>
        </is>
      </c>
      <c r="E40" s="54" t="inlineStr">
        <is>
          <t>BAdI לעיבוד דרישת רכש</t>
        </is>
      </c>
      <c r="F40" s="84" t="inlineStr">
        <is>
          <t>To review</t>
        </is>
      </c>
      <c r="G40" s="54" t="inlineStr">
        <is>
          <t>אמת תאימות ה-BAdI ב-S/4 (SPAU_ENH); ודא חתימה ומימוש אקטיבי לאחר השדרוג.</t>
        </is>
      </c>
      <c r="H40" s="88" t="inlineStr"/>
      <c r="I40" s="54" t="inlineStr"/>
    </row>
    <row r="41" ht="26" customHeight="1">
      <c r="A41" s="83" t="n">
        <v>39</v>
      </c>
      <c r="B41" s="46" t="inlineStr">
        <is>
          <t>10. עלויות והתחשבנות (PM-CO)</t>
        </is>
      </c>
      <c r="C41" s="83" t="inlineStr">
        <is>
          <t>User Exit</t>
        </is>
      </c>
      <c r="D41" s="95" t="inlineStr">
        <is>
          <t>COOMEP01</t>
        </is>
      </c>
      <c r="E41" s="46" t="inlineStr">
        <is>
          <t>הרחבת פריטי עלות/התחשבנות (אמת שם מדויק)</t>
        </is>
      </c>
      <c r="F41" s="84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83" t="inlineStr"/>
      <c r="I41" s="46" t="inlineStr"/>
    </row>
    <row r="42" ht="26" customHeight="1">
      <c r="A42" s="88" t="n">
        <v>40</v>
      </c>
      <c r="B42" s="54" t="inlineStr">
        <is>
          <t>10. עלויות והתחשבנות (PM-CO)</t>
        </is>
      </c>
      <c r="C42" s="88" t="inlineStr">
        <is>
          <t>User Exit</t>
        </is>
      </c>
      <c r="D42" s="96" t="inlineStr">
        <is>
          <t>KOAB0001</t>
        </is>
      </c>
      <c r="E42" s="54" t="inlineStr">
        <is>
          <t>הרחבת חוקי התחשבנות (Settlement)</t>
        </is>
      </c>
      <c r="F42" s="84" t="inlineStr">
        <is>
          <t>To review</t>
        </is>
      </c>
      <c r="G42" s="54" t="inlineStr">
        <is>
          <t>בדוק ב-Custom Code Migration (SCMON/ATC); שקול מעבר ל-BAdI/Enhancement Spot מודרני.</t>
        </is>
      </c>
      <c r="H42" s="88" t="inlineStr"/>
      <c r="I42" s="54" t="inlineStr"/>
    </row>
    <row r="43" ht="26" customHeight="1">
      <c r="A43" s="83" t="n">
        <v>41</v>
      </c>
      <c r="B43" s="46" t="inlineStr">
        <is>
          <t>10. עלויות והתחשבנות (PM-CO)</t>
        </is>
      </c>
      <c r="C43" s="83" t="inlineStr">
        <is>
          <t>BAdI</t>
        </is>
      </c>
      <c r="D43" s="95" t="inlineStr">
        <is>
          <t>BADI_SETTLEMENT</t>
        </is>
      </c>
      <c r="E43" s="46" t="inlineStr">
        <is>
          <t>הרחבת לוגיקת התחשבנות (אמת שם ב-SE18)</t>
        </is>
      </c>
      <c r="F43" s="84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83" t="inlineStr"/>
      <c r="I43" s="46" t="inlineStr"/>
    </row>
    <row r="44" ht="26" customHeight="1">
      <c r="A44" s="88" t="n">
        <v>42</v>
      </c>
      <c r="B44" s="54" t="inlineStr">
        <is>
          <t>11. אחזקה מונעת ותוכניות</t>
        </is>
      </c>
      <c r="C44" s="88" t="inlineStr">
        <is>
          <t>User Exit</t>
        </is>
      </c>
      <c r="D44" s="96" t="inlineStr">
        <is>
          <t>IPRM0001</t>
        </is>
      </c>
      <c r="E44" s="54" t="inlineStr">
        <is>
          <t>הרחבת לקוח לתכניות אחזקה (Maintenance Plans)</t>
        </is>
      </c>
      <c r="F44" s="84" t="inlineStr">
        <is>
          <t>To review</t>
        </is>
      </c>
      <c r="G44" s="54" t="inlineStr">
        <is>
          <t>בדוק ב-Custom Code Migration (SCMON/ATC); שקול מעבר ל-BAdI/Enhancement Spot מודרני.</t>
        </is>
      </c>
      <c r="H44" s="88" t="inlineStr"/>
      <c r="I44" s="54" t="inlineStr"/>
    </row>
    <row r="45" ht="26" customHeight="1">
      <c r="A45" s="83" t="n">
        <v>43</v>
      </c>
      <c r="B45" s="46" t="inlineStr">
        <is>
          <t>11. אחזקה מונעת ותוכניות</t>
        </is>
      </c>
      <c r="C45" s="83" t="inlineStr">
        <is>
          <t>User Exit</t>
        </is>
      </c>
      <c r="D45" s="95" t="inlineStr">
        <is>
          <t>IPRM0002</t>
        </is>
      </c>
      <c r="E45" s="46" t="inlineStr">
        <is>
          <t>הרחבת לוגיקת תזמון (Scheduling)</t>
        </is>
      </c>
      <c r="F45" s="84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83" t="inlineStr"/>
      <c r="I45" s="46" t="inlineStr"/>
    </row>
    <row r="46" ht="26" customHeight="1">
      <c r="A46" s="88" t="n">
        <v>44</v>
      </c>
      <c r="B46" s="54" t="inlineStr">
        <is>
          <t>11. אחזקה מונעת ותוכניות</t>
        </is>
      </c>
      <c r="C46" s="88" t="inlineStr">
        <is>
          <t>BAdI</t>
        </is>
      </c>
      <c r="D46" s="96" t="inlineStr">
        <is>
          <t>BADI_EAM_MAINT_PLAN</t>
        </is>
      </c>
      <c r="E46" s="54" t="inlineStr">
        <is>
          <t>הרחבת תכניות אחזקה ותזמון (אמת שם ב-SE18)</t>
        </is>
      </c>
      <c r="F46" s="84" t="inlineStr">
        <is>
          <t>To review</t>
        </is>
      </c>
      <c r="G46" s="54" t="inlineStr">
        <is>
          <t>אמת תאימות ה-BAdI ב-S/4 (SPAU_ENH); ודא חתימה ומימוש אקטיבי לאחר השדרוג.</t>
        </is>
      </c>
      <c r="H46" s="88" t="inlineStr"/>
      <c r="I46" s="54" t="inlineStr"/>
    </row>
    <row r="47" ht="26" customHeight="1">
      <c r="A47" s="83" t="n">
        <v>45</v>
      </c>
      <c r="B47" s="46" t="inlineStr">
        <is>
          <t>12. היסטוריה וארכיון</t>
        </is>
      </c>
      <c r="C47" s="83" t="inlineStr">
        <is>
          <t>User Exit</t>
        </is>
      </c>
      <c r="D47" s="95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84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83" t="inlineStr"/>
      <c r="I47" s="46" t="inlineStr"/>
    </row>
    <row r="48" ht="26" customHeight="1">
      <c r="A48" s="88" t="n">
        <v>46</v>
      </c>
      <c r="B48" s="54" t="inlineStr">
        <is>
          <t>12. היסטוריה וארכיון</t>
        </is>
      </c>
      <c r="C48" s="88" t="inlineStr">
        <is>
          <t>BAdI</t>
        </is>
      </c>
      <c r="D48" s="96" t="inlineStr">
        <is>
          <t>BADI_ARCHIVING</t>
        </is>
      </c>
      <c r="E48" s="54" t="inlineStr">
        <is>
          <t>הרחבת לוגיקת ארכוב/ILM (אמת שם ב-SE18)</t>
        </is>
      </c>
      <c r="F48" s="84" t="inlineStr">
        <is>
          <t>To review</t>
        </is>
      </c>
      <c r="G48" s="54" t="inlineStr">
        <is>
          <t>אמת תאימות ה-BAdI ב-S/4 (SPAU_ENH); ודא חתימה ומימוש אקטיבי לאחר השדרוג.</t>
        </is>
      </c>
      <c r="H48" s="88" t="inlineStr"/>
      <c r="I48" s="54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2026-06-08T06:06:36Z</dcterms:created>
  <dcterms:modified xsi:type="dcterms:W3CDTF">2026-06-08T06:06:38Z</dcterms:modified>
</cp:coreProperties>
</file>