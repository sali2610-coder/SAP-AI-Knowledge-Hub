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סך ניווט מרכזי" sheetId="1" state="visible" r:id="rId1"/>
    <sheet name="1. מבנה ארגוני ותשתית" sheetId="2" state="visible" r:id="rId2"/>
    <sheet name="2. ציוד ונתוני מאסטר" sheetId="3" state="visible" r:id="rId3"/>
    <sheet name="3. עצי מוצר של אחזקה (BOM)" sheetId="4" state="visible" r:id="rId4"/>
    <sheet name="4. נקודות מדידה ומונים" sheetId="5" state="visible" r:id="rId5"/>
    <sheet name="5. קטלוגים, קודים ופרופילים" sheetId="6" state="visible" r:id="rId6"/>
    <sheet name="6. הודעות אחזקה (Notifications)" sheetId="7" state="visible" r:id="rId7"/>
    <sheet name="7. פקודות עבודה (פק&quot;ע)" sheetId="8" state="visible" r:id="rId8"/>
    <sheet name="8. ניהול סטטוסים (Status Mgmt)" sheetId="9" state="visible" r:id="rId9"/>
    <sheet name="9. אינטגרציית מלאי ורכש (PM-MM)" sheetId="10" state="visible" r:id="rId10"/>
    <sheet name="10. עלויות והתחשבנות (PM-CO)" sheetId="11" state="visible" r:id="rId11"/>
    <sheet name="11. אחזקה מונעת ותוכניות" sheetId="12" state="visible" r:id="rId12"/>
    <sheet name="12. היסטוריה וארכיון" sheetId="13" state="visible" r:id="rId13"/>
    <sheet name="Simplification Item list" sheetId="14" state="visible" r:id="rId14"/>
    <sheet name="Cockpit מעקב מיגרציה" sheetId="15" state="visible" r:id="rId15"/>
    <sheet name="Custom Code Check" sheetId="16" state="visible" r:id="rId16"/>
    <sheet name="ER - Join Map" sheetId="17" state="visible" r:id="rId17"/>
  </sheets>
  <definedNames>
    <definedName name="_xlnm.Print_Area" localSheetId="0">'מסך ניווט מרכזי'!$A$1:$O$60</definedName>
    <definedName name="_xlnm.Print_Titles" localSheetId="1">'1. מבנה ארגוני ותשתית'!$1:$2</definedName>
    <definedName name="_xlnm.Print_Area" localSheetId="1">'1. מבנה ארגוני ותשתית'!$A$1:$P$53</definedName>
    <definedName name="_xlnm.Print_Titles" localSheetId="2">'2. ציוד ונתוני מאסטר'!$1:$2</definedName>
    <definedName name="_xlnm.Print_Area" localSheetId="2">'2. ציוד ונתוני מאסטר'!$A$1:$P$40</definedName>
    <definedName name="_xlnm.Print_Titles" localSheetId="3">'3. עצי מוצר של אחזקה (BOM)'!$1:$2</definedName>
    <definedName name="_xlnm.Print_Area" localSheetId="3">'3. עצי מוצר של אחזקה (BOM)'!$A$1:$P$44</definedName>
    <definedName name="_xlnm.Print_Titles" localSheetId="4">'4. נקודות מדידה ומונים'!$1:$2</definedName>
    <definedName name="_xlnm.Print_Area" localSheetId="4">'4. נקודות מדידה ומונים'!$A$1:$P$26</definedName>
    <definedName name="_xlnm.Print_Titles" localSheetId="5">'5. קטלוגים, קודים ופרופילים'!$1:$2</definedName>
    <definedName name="_xlnm.Print_Area" localSheetId="5">'5. קטלוגים, קודים ופרופילים'!$A$1:$P$32</definedName>
    <definedName name="_xlnm.Print_Titles" localSheetId="6">'6. הודעות אחזקה (Notifications)'!$1:$2</definedName>
    <definedName name="_xlnm.Print_Area" localSheetId="6">'6. הודעות אחזקה (Notifications)'!$A$1:$P$54</definedName>
    <definedName name="_xlnm.Print_Titles" localSheetId="7">'7. פקודות עבודה (פק"ע)'!$1:$2</definedName>
    <definedName name="_xlnm.Print_Area" localSheetId="7">'7. פקודות עבודה (פק"ע)'!$A$1:$P$64</definedName>
    <definedName name="_xlnm.Print_Titles" localSheetId="8">'8. ניהול סטטוסים (Status Mgmt)'!$1:$2</definedName>
    <definedName name="_xlnm.Print_Area" localSheetId="8">'8. ניהול סטטוסים (Status Mgmt)'!$A$1:$P$41</definedName>
    <definedName name="_xlnm.Print_Titles" localSheetId="9">'9. אינטגרציית מלאי ורכש (PM-MM)'!$1:$2</definedName>
    <definedName name="_xlnm.Print_Area" localSheetId="9">'9. אינטגרציית מלאי ורכש (PM-MM)'!$A$1:$P$57</definedName>
    <definedName name="_xlnm.Print_Titles" localSheetId="10">'10. עלויות והתחשבנות (PM-CO)'!$1:$2</definedName>
    <definedName name="_xlnm.Print_Area" localSheetId="10">'10. עלויות והתחשבנות (PM-CO)'!$A$1:$P$38</definedName>
    <definedName name="_xlnm.Print_Titles" localSheetId="11">'11. אחזקה מונעת ותוכניות'!$1:$2</definedName>
    <definedName name="_xlnm.Print_Area" localSheetId="11">'11. אחזקה מונעת ותוכניות'!$A$1:$P$53</definedName>
    <definedName name="_xlnm.Print_Titles" localSheetId="12">'12. היסטוריה וארכיון'!$1:$2</definedName>
    <definedName name="_xlnm.Print_Area" localSheetId="12">'12. היסטוריה וארכיון'!$A$1:$P$29</definedName>
    <definedName name="_xlnm.Print_Titles" localSheetId="13">'Simplification Item list'!$1:$2</definedName>
    <definedName name="_xlnm.Print_Area" localSheetId="13">'Simplification Item list'!$A$1:$F$12</definedName>
    <definedName name="_xlnm.Print_Titles" localSheetId="14">'Cockpit מעקב מיגרציה'!$1:$2</definedName>
    <definedName name="_xlnm.Print_Area" localSheetId="14">'Cockpit מעקב מיגרציה'!$A$1:$L$65</definedName>
    <definedName name="_xlnm.Print_Titles" localSheetId="15">'Custom Code Check'!$1:$2</definedName>
    <definedName name="_xlnm.Print_Area" localSheetId="15">'Custom Code Check'!$A$1:$I$48</definedName>
    <definedName name="_xlnm.Print_Titles" localSheetId="16">'ER - Join Map'!$1:$2</definedName>
    <definedName name="_xlnm.Print_Area" localSheetId="16">'ER - Join Map'!$A$1:$I$60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E1E24"/>
      <sz val="11"/>
    </font>
    <font>
      <name val="Segoe UI"/>
      <b val="1"/>
      <color rgb="006B7280"/>
      <sz val="10"/>
    </font>
    <font>
      <name val="Segoe UI"/>
      <color rgb="001F2937"/>
      <sz val="10"/>
    </font>
    <font>
      <name val="Segoe UI"/>
      <b val="1"/>
      <color rgb="00D62027"/>
      <sz val="10"/>
    </font>
    <font>
      <name val="Segoe UI"/>
      <color rgb="009AA3AF"/>
      <sz val="10"/>
    </font>
    <font>
      <name val="Segoe UI"/>
      <b val="1"/>
      <color rgb="001E1E24"/>
      <sz val="10"/>
    </font>
    <font>
      <name val="Segoe UI"/>
      <b val="1"/>
      <color rgb="001E1E24"/>
      <sz val="9"/>
    </font>
    <font>
      <name val="Segoe UI"/>
      <b val="1"/>
      <color rgb="00D62027"/>
      <sz val="9"/>
    </font>
    <font>
      <name val="Segoe UI"/>
      <color rgb="001F2937"/>
      <sz val="9"/>
    </font>
    <font>
      <name val="Segoe UI"/>
      <color rgb="0037474F"/>
      <sz val="9"/>
    </font>
    <font>
      <name val="Segoe UI"/>
      <b val="1"/>
      <color rgb="001F2937"/>
      <sz val="10"/>
    </font>
    <font>
      <name val="Segoe UI"/>
      <b val="1"/>
      <color rgb="00FFFFFF"/>
      <sz val="12"/>
    </font>
    <font>
      <name val="Segoe UI"/>
      <b val="1"/>
      <color rgb="001E1E24"/>
      <sz val="18"/>
    </font>
    <font>
      <name val="Segoe UI"/>
      <b val="1"/>
      <color rgb="001E5A44"/>
      <sz val="18"/>
    </font>
    <font>
      <name val="Segoe UI"/>
      <b val="1"/>
      <color rgb="001E5A44"/>
      <sz val="9"/>
    </font>
    <font>
      <name val="Segoe UI"/>
      <b val="1"/>
      <color rgb="002A4A57"/>
      <sz val="18"/>
    </font>
    <font>
      <name val="Segoe UI"/>
      <b val="1"/>
      <color rgb="002A4A57"/>
      <sz val="9"/>
    </font>
    <font>
      <name val="Segoe UI"/>
      <b val="1"/>
      <color rgb="0037474F"/>
      <sz val="18"/>
    </font>
    <font>
      <name val="Segoe UI"/>
      <b val="1"/>
      <color rgb="0037474F"/>
      <sz val="9"/>
    </font>
    <font>
      <name val="Segoe UI"/>
      <b val="1"/>
      <color rgb="00B01722"/>
      <sz val="18"/>
    </font>
    <font>
      <name val="Segoe UI"/>
      <b val="1"/>
      <color rgb="00B01722"/>
      <sz val="9"/>
    </font>
    <font>
      <name val="Segoe UI"/>
      <b val="1"/>
      <color rgb="00D62027"/>
      <sz val="18"/>
    </font>
    <font>
      <name val="Segoe UI"/>
      <b val="1"/>
      <color rgb="00B01722"/>
      <sz val="10"/>
    </font>
    <font>
      <name val="Segoe UI"/>
      <b val="1"/>
      <color rgb="001F2937"/>
      <sz val="11"/>
    </font>
    <font>
      <name val="Segoe UI"/>
      <b val="1"/>
      <color rgb="00475569"/>
      <sz val="10"/>
    </font>
    <font>
      <name val="Segoe UI"/>
      <b val="1"/>
      <color rgb="0037474F"/>
      <sz val="10"/>
    </font>
    <font>
      <name val="Segoe UI"/>
      <b val="1"/>
      <color rgb="002A4A57"/>
      <sz val="10"/>
    </font>
    <font>
      <name val="Segoe UI"/>
      <b val="1"/>
      <color rgb="001E5A44"/>
      <sz val="10"/>
    </font>
    <font>
      <name val="Segoe UI"/>
      <color rgb="000563C1"/>
      <sz val="9"/>
      <u val="single"/>
    </font>
    <font>
      <name val="Segoe UI"/>
      <b val="1"/>
      <color rgb="0064748B"/>
      <sz val="10"/>
    </font>
    <font>
      <name val="Segoe UI"/>
      <b val="1"/>
      <color rgb="001E1E24"/>
      <sz val="20"/>
    </font>
    <font>
      <name val="Segoe UI"/>
      <b val="1"/>
      <color rgb="001E5A44"/>
      <sz val="20"/>
    </font>
    <font>
      <name val="Segoe UI"/>
      <b val="1"/>
      <color rgb="002A4A57"/>
      <sz val="20"/>
    </font>
    <font>
      <name val="Segoe UI"/>
      <b val="1"/>
      <color rgb="0037474F"/>
      <sz val="20"/>
    </font>
    <font>
      <name val="Segoe UI"/>
      <b val="1"/>
      <color rgb="00B01722"/>
      <sz val="20"/>
    </font>
    <font>
      <name val="Segoe UI"/>
      <b val="1"/>
      <color rgb="00D62027"/>
      <sz val="20"/>
    </font>
    <font>
      <b val="1"/>
      <color rgb="00FFFFFF"/>
      <sz val="10"/>
    </font>
    <font>
      <b val="1"/>
      <color rgb="001E1E24"/>
      <sz val="10"/>
    </font>
    <font>
      <name val="Segoe UI"/>
      <i val="1"/>
      <color rgb="0064748B"/>
      <sz val="9"/>
    </font>
    <font>
      <b val="1"/>
      <color rgb="00FFFFFF"/>
      <sz val="12"/>
    </font>
    <font>
      <b val="1"/>
      <sz val="11"/>
    </font>
    <font>
      <b val="1"/>
      <color rgb="001E1E24"/>
      <sz val="12"/>
    </font>
    <font>
      <b val="1"/>
      <color rgb="00FFFFFF"/>
    </font>
    <font>
      <sz val="10"/>
    </font>
    <font>
      <b val="1"/>
      <color rgb="00FFFFFF"/>
      <sz val="8"/>
    </font>
    <font>
      <b val="1"/>
      <color rgb="001E1E24"/>
      <sz val="8"/>
    </font>
    <font>
      <color rgb="000563C1"/>
      <sz val="8"/>
      <u val="single"/>
    </font>
    <font>
      <color rgb="00333333"/>
      <sz val="8"/>
    </font>
    <font>
      <b val="1"/>
      <color rgb="00333333"/>
      <sz val="8"/>
    </font>
    <font>
      <name val="Segoe UI"/>
      <i val="1"/>
      <color rgb="00475569"/>
      <sz val="9"/>
    </font>
    <font>
      <name val="Segoe UI"/>
      <color theme="1"/>
      <sz val="11"/>
    </font>
    <font>
      <name val="Segoe UI"/>
      <b val="1"/>
      <color rgb="00FFFFFF"/>
      <sz val="8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color rgb="000563C1"/>
      <sz val="8"/>
      <u val="single"/>
    </font>
    <font>
      <name val="Segoe UI"/>
      <b val="1"/>
      <sz val="11"/>
    </font>
    <font>
      <name val="Segoe UI"/>
      <b val="1"/>
      <color rgb="001E1E24"/>
      <sz val="12"/>
    </font>
    <font>
      <name val="Segoe UI"/>
      <b val="1"/>
      <color rgb="00FFFFFF"/>
    </font>
    <font>
      <name val="Segoe UI"/>
      <sz val="10"/>
    </font>
  </fonts>
  <fills count="17">
    <fill>
      <patternFill/>
    </fill>
    <fill>
      <patternFill patternType="gray125"/>
    </fill>
    <fill>
      <patternFill patternType="solid">
        <fgColor rgb="001E1E24"/>
      </patternFill>
    </fill>
    <fill>
      <patternFill patternType="solid">
        <fgColor rgb="00D62027"/>
      </patternFill>
    </fill>
    <fill>
      <patternFill patternType="solid">
        <fgColor rgb="002B2B33"/>
      </patternFill>
    </fill>
    <fill>
      <patternFill patternType="solid">
        <fgColor rgb="008A9EA7"/>
      </patternFill>
    </fill>
    <fill>
      <patternFill patternType="solid">
        <fgColor rgb="00F9FAFB"/>
      </patternFill>
    </fill>
    <fill>
      <patternFill patternType="solid">
        <fgColor rgb="00EEF1F3"/>
      </patternFill>
    </fill>
    <fill>
      <patternFill patternType="solid">
        <fgColor rgb="00ECEFF1"/>
      </patternFill>
    </fill>
    <fill>
      <patternFill patternType="solid">
        <fgColor rgb="00DCEFE0"/>
      </patternFill>
    </fill>
    <fill>
      <patternFill patternType="solid">
        <fgColor rgb="00DCE6EC"/>
      </patternFill>
    </fill>
    <fill>
      <patternFill patternType="solid">
        <fgColor rgb="00E1E6EA"/>
      </patternFill>
    </fill>
    <fill>
      <patternFill patternType="solid">
        <fgColor rgb="00FCE4E6"/>
      </patternFill>
    </fill>
    <fill>
      <patternFill patternType="solid">
        <fgColor rgb="00FBE3E4"/>
      </patternFill>
    </fill>
    <fill>
      <patternFill patternType="solid">
        <fgColor rgb="0064748B"/>
      </patternFill>
    </fill>
    <fill>
      <patternFill patternType="solid">
        <fgColor rgb="00F7F8FA"/>
      </patternFill>
    </fill>
    <fill>
      <patternFill patternType="solid">
        <fgColor rgb="00F1F3F5"/>
      </patternFill>
    </fill>
  </fills>
  <borders count="8">
    <border>
      <left/>
      <right/>
      <top/>
      <bottom/>
      <diagonal/>
    </border>
    <border>
      <left style="thin">
        <color rgb="00F40009"/>
      </left>
      <right style="thin">
        <color rgb="00F40009"/>
      </right>
      <top style="thin">
        <color rgb="00F40009"/>
      </top>
      <bottom style="thin">
        <color rgb="00F40009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F40009"/>
      </left>
      <right style="medium">
        <color rgb="00F40009"/>
      </right>
      <top style="medium">
        <color rgb="00F40009"/>
      </top>
      <bottom style="medium">
        <color rgb="00F40009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54" fillId="15" borderId="0" pivotButton="0" quotePrefix="0" xfId="0"/>
    <xf numFmtId="0" fontId="55" fillId="2" borderId="0" applyAlignment="1" pivotButton="0" quotePrefix="0" xfId="0">
      <alignment horizontal="right"/>
    </xf>
    <xf numFmtId="0" fontId="25" fillId="15" borderId="0" applyAlignment="1" pivotButton="0" quotePrefix="0" xfId="0">
      <alignment horizontal="right"/>
    </xf>
    <xf numFmtId="0" fontId="54" fillId="0" borderId="0" pivotButton="0" quotePrefix="0" xfId="0"/>
    <xf numFmtId="0" fontId="15" fillId="3" borderId="6" applyAlignment="1" pivotButton="0" quotePrefix="0" xfId="0">
      <alignment horizontal="center" vertical="center" wrapText="1"/>
    </xf>
    <xf numFmtId="0" fontId="54" fillId="0" borderId="6" pivotButton="0" quotePrefix="0" xfId="0"/>
    <xf numFmtId="0" fontId="56" fillId="0" borderId="0" applyAlignment="1" pivotButton="0" quotePrefix="0" xfId="0">
      <alignment horizontal="right"/>
    </xf>
    <xf numFmtId="0" fontId="57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0" fontId="33" fillId="15" borderId="0" applyAlignment="1" pivotButton="0" quotePrefix="0" xfId="0">
      <alignment horizontal="right"/>
    </xf>
    <xf numFmtId="0" fontId="15" fillId="3" borderId="0" applyAlignment="1" pivotButton="0" quotePrefix="0" xfId="0">
      <alignment horizontal="right"/>
    </xf>
    <xf numFmtId="0" fontId="34" fillId="8" borderId="2" applyAlignment="1" pivotButton="0" quotePrefix="0" xfId="0">
      <alignment horizontal="center" vertical="center"/>
    </xf>
    <xf numFmtId="0" fontId="35" fillId="9" borderId="2" applyAlignment="1" pivotButton="0" quotePrefix="0" xfId="0">
      <alignment horizontal="center" vertical="center"/>
    </xf>
    <xf numFmtId="0" fontId="36" fillId="10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8" fillId="12" borderId="2" applyAlignment="1" pivotButton="0" quotePrefix="0" xfId="0">
      <alignment horizontal="center" vertical="center"/>
    </xf>
    <xf numFmtId="9" fontId="39" fillId="13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right"/>
    </xf>
    <xf numFmtId="0" fontId="1" fillId="2" borderId="2" applyAlignment="1" pivotButton="0" quotePrefix="0" xfId="0">
      <alignment horizontal="center" vertical="center" wrapText="1"/>
    </xf>
    <xf numFmtId="0" fontId="54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42" fillId="15" borderId="0" applyAlignment="1" pivotButton="0" quotePrefix="0" xfId="0">
      <alignment horizontal="right"/>
    </xf>
    <xf numFmtId="0" fontId="59" fillId="15" borderId="0" applyAlignment="1" pivotButton="0" quotePrefix="0" xfId="0">
      <alignment horizontal="right"/>
    </xf>
    <xf numFmtId="0" fontId="60" fillId="12" borderId="7" pivotButton="0" quotePrefix="0" xfId="0"/>
    <xf numFmtId="0" fontId="61" fillId="2" borderId="2" applyAlignment="1" pivotButton="0" quotePrefix="0" xfId="0">
      <alignment horizontal="center"/>
    </xf>
    <xf numFmtId="0" fontId="62" fillId="15" borderId="0" applyAlignment="1" pivotButton="0" quotePrefix="0" xfId="0">
      <alignment horizontal="right"/>
    </xf>
    <xf numFmtId="0" fontId="53" fillId="16" borderId="2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center"/>
    </xf>
    <xf numFmtId="0" fontId="54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right" vertical="top" wrapText="1"/>
    </xf>
    <xf numFmtId="0" fontId="13" fillId="0" borderId="2" applyAlignment="1" pivotButton="0" quotePrefix="0" xfId="0">
      <alignment horizontal="right" vertical="top" wrapText="1"/>
    </xf>
    <xf numFmtId="0" fontId="5" fillId="6" borderId="2" applyAlignment="1" pivotButton="0" quotePrefix="0" xfId="0">
      <alignment horizontal="center" vertical="center" wrapText="1"/>
    </xf>
    <xf numFmtId="0" fontId="54" fillId="0" borderId="4" pivotButton="0" quotePrefix="0" xfId="0"/>
    <xf numFmtId="0" fontId="7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4" fillId="0" borderId="5" pivotButton="0" quotePrefix="0" xfId="0"/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right" vertical="top" wrapText="1"/>
    </xf>
    <xf numFmtId="0" fontId="13" fillId="7" borderId="2" applyAlignment="1" pivotButton="0" quotePrefix="0" xfId="0">
      <alignment horizontal="right" vertical="top" wrapText="1"/>
    </xf>
    <xf numFmtId="0" fontId="11" fillId="7" borderId="2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right"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right" vertical="top" wrapText="1"/>
    </xf>
    <xf numFmtId="0" fontId="14" fillId="6" borderId="2" applyAlignment="1" pivotButton="0" quotePrefix="0" xfId="0">
      <alignment horizontal="right" vertical="top" wrapText="1"/>
    </xf>
    <xf numFmtId="0" fontId="7" fillId="6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/>
    </xf>
    <xf numFmtId="0" fontId="16" fillId="8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21" fillId="11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9" fontId="25" fillId="13" borderId="2" applyAlignment="1" pivotButton="0" quotePrefix="0" xfId="0">
      <alignment horizontal="center" vertical="center"/>
    </xf>
    <xf numFmtId="0" fontId="26" fillId="12" borderId="2" applyAlignment="1" pivotButton="0" quotePrefix="0" xfId="0">
      <alignment horizontal="right"/>
    </xf>
    <xf numFmtId="0" fontId="27" fillId="0" borderId="2" applyAlignment="1" pivotButton="0" quotePrefix="0" xfId="0">
      <alignment horizontal="center"/>
    </xf>
    <xf numFmtId="0" fontId="28" fillId="8" borderId="2" applyAlignment="1" pivotButton="0" quotePrefix="0" xfId="0">
      <alignment horizontal="right"/>
    </xf>
    <xf numFmtId="0" fontId="29" fillId="11" borderId="2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30" fillId="10" borderId="2" applyAlignment="1" pivotButton="0" quotePrefix="0" xfId="0">
      <alignment horizontal="right"/>
    </xf>
    <xf numFmtId="0" fontId="31" fillId="9" borderId="2" applyAlignment="1" pivotButton="0" quotePrefix="0" xfId="0">
      <alignment horizontal="right"/>
    </xf>
    <xf numFmtId="0" fontId="6" fillId="0" borderId="2" applyAlignment="1" pivotButton="0" quotePrefix="0" xfId="0">
      <alignment horizontal="center" vertical="center" wrapText="1"/>
    </xf>
    <xf numFmtId="0" fontId="26" fillId="12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horizontal="right"/>
    </xf>
    <xf numFmtId="0" fontId="6" fillId="6" borderId="2" applyAlignment="1" pivotButton="0" quotePrefix="0" xfId="0">
      <alignment horizontal="center" vertical="center" wrapText="1"/>
    </xf>
    <xf numFmtId="0" fontId="32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32" fillId="0" borderId="2" applyAlignment="1" pivotButton="0" quotePrefix="0" xfId="0">
      <alignment horizontal="center"/>
    </xf>
    <xf numFmtId="0" fontId="32" fillId="6" borderId="2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name val="Segoe UI"/>
        <b val="1"/>
        <color rgb="00B01722"/>
      </font>
      <fill>
        <patternFill patternType="solid">
          <fgColor rgb="00FCE4E6"/>
        </patternFill>
      </fill>
    </dxf>
    <dxf>
      <font>
        <name val="Segoe UI"/>
        <b val="1"/>
        <color rgb="00475569"/>
      </font>
      <fill>
        <patternFill patternType="solid">
          <fgColor rgb="00ECEFF1"/>
        </patternFill>
      </fill>
    </dxf>
    <dxf>
      <font>
        <name val="Segoe UI"/>
        <b val="1"/>
        <color rgb="0037474F"/>
      </font>
      <fill>
        <patternFill patternType="solid">
          <fgColor rgb="00E1E6EA"/>
        </patternFill>
      </fill>
    </dxf>
    <dxf>
      <font>
        <name val="Segoe UI"/>
        <b val="1"/>
        <color rgb="002A4A57"/>
      </font>
      <fill>
        <patternFill patternType="solid">
          <fgColor rgb="00DCE6EC"/>
        </patternFill>
      </fill>
    </dxf>
    <dxf>
      <font>
        <name val="Segoe UI"/>
        <b val="1"/>
        <color rgb="001E5A44"/>
      </font>
      <fill>
        <patternFill patternType="solid">
          <fgColor rgb="00DCEFE0"/>
        </patternFill>
      </fill>
    </dxf>
    <dxf>
      <font>
        <name val="Segoe UI"/>
        <b val="1"/>
        <color rgb="006B7280"/>
      </font>
      <fill>
        <patternFill patternType="solid">
          <fgColor rgb="00EEF1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&#1502;&#1489;&#1504;&#1492; &#1488;&#1512;&#1490;&#1493;&#1504;&#1497; &#1493;&#1514;&#1513;&#1514;&#1497;&#1514;'!A1" TargetMode="External" Id="rId1" /><Relationship Type="http://schemas.openxmlformats.org/officeDocument/2006/relationships/hyperlink" Target="#'2. &#1510;&#1497;&#1493;&#1491; &#1493;&#1504;&#1514;&#1493;&#1504;&#1497; &#1502;&#1488;&#1505;&#1496;&#1512;'!A1" TargetMode="External" Id="rId2" /><Relationship Type="http://schemas.openxmlformats.org/officeDocument/2006/relationships/hyperlink" Target="#'3. &#1506;&#1510;&#1497; &#1502;&#1493;&#1510;&#1512; &#1513;&#1500; &#1488;&#1495;&#1494;&#1511;&#1492; (BOM)'!A1" TargetMode="External" Id="rId3" /><Relationship Type="http://schemas.openxmlformats.org/officeDocument/2006/relationships/hyperlink" Target="#'4. &#1504;&#1511;&#1493;&#1491;&#1493;&#1514; &#1502;&#1491;&#1497;&#1491;&#1492; &#1493;&#1502;&#1493;&#1504;&#1497;&#1501;'!A1" TargetMode="External" Id="rId4" /><Relationship Type="http://schemas.openxmlformats.org/officeDocument/2006/relationships/hyperlink" Target="#'5. &#1511;&#1496;&#1500;&#1493;&#1490;&#1497;&#1501;, &#1511;&#1493;&#1491;&#1497;&#1501; &#1493;&#1508;&#1512;&#1493;&#1508;&#1497;&#1500;&#1497;&#1501;'!A1" TargetMode="External" Id="rId5" /><Relationship Type="http://schemas.openxmlformats.org/officeDocument/2006/relationships/hyperlink" Target="#'6. &#1492;&#1493;&#1491;&#1506;&#1493;&#1514; &#1488;&#1495;&#1494;&#1511;&#1492; (Notifications)'!A1" TargetMode="External" Id="rId6" /><Relationship Type="http://schemas.openxmlformats.org/officeDocument/2006/relationships/hyperlink" Target="#'7. &#1508;&#1511;&#1493;&#1491;&#1493;&#1514; &#1506;&#1489;&#1493;&#1491;&#1492; (&#1508;&#1511;&quot;&#1506;)'!A1" TargetMode="External" Id="rId7" /><Relationship Type="http://schemas.openxmlformats.org/officeDocument/2006/relationships/hyperlink" Target="#'8. &#1504;&#1497;&#1492;&#1493;&#1500; &#1505;&#1496;&#1496;&#1493;&#1505;&#1497;&#1501; (Status Mgmt)'!A1" TargetMode="External" Id="rId8" /><Relationship Type="http://schemas.openxmlformats.org/officeDocument/2006/relationships/hyperlink" Target="#'9. &#1488;&#1497;&#1504;&#1496;&#1490;&#1512;&#1510;&#1497;&#1497;&#1514; &#1502;&#1500;&#1488;&#1497; &#1493;&#1512;&#1499;&#1513; (PM-MM)'!A1" TargetMode="External" Id="rId9" /><Relationship Type="http://schemas.openxmlformats.org/officeDocument/2006/relationships/hyperlink" Target="#'10. &#1506;&#1500;&#1493;&#1497;&#1493;&#1514; &#1493;&#1492;&#1514;&#1495;&#1513;&#1489;&#1504;&#1493;&#1514; (PM-CO)'!A1" TargetMode="External" Id="rId10" /><Relationship Type="http://schemas.openxmlformats.org/officeDocument/2006/relationships/hyperlink" Target="#'11. &#1488;&#1495;&#1494;&#1511;&#1492; &#1502;&#1493;&#1504;&#1506;&#1514; &#1493;&#1514;&#1493;&#1499;&#1504;&#1497;&#1493;&#1514;'!A1" TargetMode="External" Id="rId11" /><Relationship Type="http://schemas.openxmlformats.org/officeDocument/2006/relationships/hyperlink" Target="#'12. &#1492;&#1497;&#1505;&#1496;&#1493;&#1512;&#1497;&#1492; &#1493;&#1488;&#1512;&#1499;&#1497;&#1493;&#1503;'!A1" TargetMode="External" Id="rId12" /><Relationship Type="http://schemas.openxmlformats.org/officeDocument/2006/relationships/hyperlink" Target="#'Simplification Item list'!A1" TargetMode="External" Id="rId13" /><Relationship Type="http://schemas.openxmlformats.org/officeDocument/2006/relationships/hyperlink" Target="#'Cockpit &#1502;&#1506;&#1511;&#1489; &#1502;&#1497;&#1490;&#1512;&#1510;&#1497;&#1492;'!A1" TargetMode="External" Id="rId14" /><Relationship Type="http://schemas.openxmlformats.org/officeDocument/2006/relationships/hyperlink" Target="#'Custom Code Check'!A1" TargetMode="External" Id="rId15" /><Relationship Type="http://schemas.openxmlformats.org/officeDocument/2006/relationships/hyperlink" Target="#'ER - Join Map'!A1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&#1502;&#1505;&#1498; &#1504;&#1497;&#1493;&#1493;&#1496; &#1502;&#1512;&#1499;&#1494;&#1497;'!A1" TargetMode="External" Id="rId1" /></Relationships>
</file>

<file path=xl/worksheets/sheet1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V90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" t="inlineStr">
        <is>
          <t>סוג (Type)</t>
        </is>
      </c>
      <c r="Q1" s="2" t="inlineStr">
        <is>
          <t>קוד (Code)</t>
        </is>
      </c>
      <c r="R1" s="2" t="inlineStr">
        <is>
          <t>עברית</t>
        </is>
      </c>
      <c r="S1" s="2" t="inlineStr">
        <is>
          <t>English</t>
        </is>
      </c>
      <c r="T1" s="2" t="inlineStr">
        <is>
          <t>גיליון (Sheet)</t>
        </is>
      </c>
      <c r="U1" s="2" t="inlineStr">
        <is>
          <t>תא (Cell)</t>
        </is>
      </c>
      <c r="V1" s="2" t="inlineStr">
        <is>
          <t>קישור (Link)</t>
        </is>
      </c>
    </row>
    <row r="2">
      <c r="A2" s="1" t="n"/>
      <c r="B2" s="3" t="inlineStr">
        <is>
          <t>CBC ISRAEL  |  SAP PM  -  מסך ניווט מרכזי</t>
        </is>
      </c>
      <c r="C2" s="4" t="n"/>
      <c r="D2" s="4" t="n"/>
      <c r="E2" s="4" t="n"/>
      <c r="F2" s="4" t="n"/>
      <c r="G2" s="4" t="n"/>
      <c r="H2" s="4" t="n"/>
      <c r="I2" s="1" t="n"/>
      <c r="J2" s="5" t="inlineStr">
        <is>
          <t>★ CBC ISRAEL
Project NEO</t>
        </is>
      </c>
      <c r="K2" s="6" t="n"/>
      <c r="L2" s="6" t="n"/>
      <c r="M2" s="6" t="n"/>
      <c r="N2" s="6" t="n"/>
      <c r="O2" s="6" t="n"/>
      <c r="P2" s="7" t="inlineStr">
        <is>
          <t>טבלה</t>
        </is>
      </c>
      <c r="Q2" s="8" t="inlineStr">
        <is>
          <t>IFLOT</t>
        </is>
      </c>
      <c r="R2" s="7" t="inlineStr">
        <is>
          <t>רשומת אב של מיקום פונקציונלי</t>
        </is>
      </c>
      <c r="S2" s="7" t="inlineStr">
        <is>
          <t>Functional location master record</t>
        </is>
      </c>
      <c r="T2" s="7" t="inlineStr">
        <is>
          <t>1. מבנה ארגוני ותשתית</t>
        </is>
      </c>
      <c r="U2" s="7" t="inlineStr">
        <is>
          <t>A3</t>
        </is>
      </c>
      <c r="V2" s="9">
        <f>HYPERLINK("#'"&amp;T2&amp;"'!"&amp;U2,"➜ פתח")</f>
        <v/>
      </c>
    </row>
    <row r="3">
      <c r="A3" s="1" t="n"/>
      <c r="B3" s="10" t="inlineStr">
        <is>
          <t>Project NEO  -  ECC 6.0 ➜ S/4HANA Migration  |  Plant Maintenance / EAM</t>
        </is>
      </c>
      <c r="C3" s="4" t="n"/>
      <c r="D3" s="4" t="n"/>
      <c r="E3" s="4" t="n"/>
      <c r="F3" s="4" t="n"/>
      <c r="G3" s="4" t="n"/>
      <c r="H3" s="4" t="n"/>
      <c r="I3" s="1" t="n"/>
      <c r="J3" s="6" t="n"/>
      <c r="K3" s="6" t="n"/>
      <c r="L3" s="6" t="n"/>
      <c r="M3" s="6" t="n"/>
      <c r="N3" s="6" t="n"/>
      <c r="O3" s="6" t="n"/>
      <c r="P3" s="7" t="inlineStr">
        <is>
          <t>שדה</t>
        </is>
      </c>
      <c r="Q3" s="8" t="inlineStr">
        <is>
          <t>TPLNR</t>
        </is>
      </c>
      <c r="R3" s="7" t="inlineStr">
        <is>
          <t>מספר מיקום פונקציונלי</t>
        </is>
      </c>
      <c r="S3" s="7" t="inlineStr">
        <is>
          <t>Functional location number</t>
        </is>
      </c>
      <c r="T3" s="7" t="inlineStr">
        <is>
          <t>1. מבנה ארגוני ותשתית</t>
        </is>
      </c>
      <c r="U3" s="7" t="inlineStr">
        <is>
          <t>D4</t>
        </is>
      </c>
      <c r="V3" s="9">
        <f>HYPERLINK("#'"&amp;T3&amp;"'!"&amp;U3,"➜ פתח")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7" t="inlineStr">
        <is>
          <t>שדה</t>
        </is>
      </c>
      <c r="Q4" s="8" t="inlineStr">
        <is>
          <t>STRNO</t>
        </is>
      </c>
      <c r="R4" s="7" t="inlineStr">
        <is>
          <t>מספר מבנה מעוצב</t>
        </is>
      </c>
      <c r="S4" s="7" t="inlineStr">
        <is>
          <t>Formatted / structured number</t>
        </is>
      </c>
      <c r="T4" s="7" t="inlineStr">
        <is>
          <t>1. מבנה ארגוני ותשתית</t>
        </is>
      </c>
      <c r="U4" s="7" t="inlineStr">
        <is>
          <t>D5</t>
        </is>
      </c>
      <c r="V4" s="9">
        <f>HYPERLINK("#'"&amp;T4&amp;"'!"&amp;U4,"➜ פתח")</f>
        <v/>
      </c>
    </row>
    <row r="5">
      <c r="A5" s="1" t="n"/>
      <c r="B5" s="11" t="inlineStr">
        <is>
          <t>סיכום התקדמות מיגרציה  (KPI - מתעדכן אוטומטית מ-Cockpit)</t>
        </is>
      </c>
      <c r="C5" s="4" t="n"/>
      <c r="D5" s="4" t="n"/>
      <c r="E5" s="4" t="n"/>
      <c r="F5" s="4" t="n"/>
      <c r="G5" s="4" t="n"/>
      <c r="H5" s="4" t="n"/>
      <c r="I5" s="1" t="n"/>
      <c r="J5" s="1" t="n"/>
      <c r="K5" s="1" t="n"/>
      <c r="L5" s="1" t="n"/>
      <c r="M5" s="1" t="n"/>
      <c r="N5" s="1" t="n"/>
      <c r="O5" s="1" t="n"/>
      <c r="P5" s="7" t="inlineStr">
        <is>
          <t>שדה</t>
        </is>
      </c>
      <c r="Q5" s="8" t="inlineStr">
        <is>
          <t>FLTYP</t>
        </is>
      </c>
      <c r="R5" s="7" t="inlineStr">
        <is>
          <t>קטגוריית מיקום</t>
        </is>
      </c>
      <c r="S5" s="7" t="inlineStr">
        <is>
          <t>Functional location category</t>
        </is>
      </c>
      <c r="T5" s="7" t="inlineStr">
        <is>
          <t>1. מבנה ארגוני ותשתית</t>
        </is>
      </c>
      <c r="U5" s="7" t="inlineStr">
        <is>
          <t>D6</t>
        </is>
      </c>
      <c r="V5" s="9">
        <f>HYPERLINK("#'"&amp;T5&amp;"'!"&amp;U5,"➜ פתח")</f>
        <v/>
      </c>
    </row>
    <row r="6" ht="30" customHeight="1">
      <c r="A6" s="1" t="n"/>
      <c r="B6" s="12">
        <f>COUNTA('Cockpit מעקב מיגרציה'!$C$8:$C$65)</f>
        <v/>
      </c>
      <c r="C6" s="13">
        <f>COUNTIF('Cockpit מעקב מיגרציה'!$D$8:$D$65,"Done")</f>
        <v/>
      </c>
      <c r="D6" s="14">
        <f>COUNTIF('Cockpit מעקב מיגרציה'!$D$8:$D$65,"Tested")</f>
        <v/>
      </c>
      <c r="E6" s="15">
        <f>(COUNTIF('Cockpit מעקב מיגרציה'!$D$8:$D$65,"In analysis")+COUNTIF('Cockpit מעקב מיגרציה'!$D$8:$D$65,"In conversion"))</f>
        <v/>
      </c>
      <c r="F6" s="16">
        <f>COUNTIF('Cockpit מעקב מיגרציה'!$D$8:$D$65,"Not started")</f>
        <v/>
      </c>
      <c r="G6" s="17">
        <f>IFERROR((COUNTIF('Cockpit מעקב מיגרציה'!$D$8:$D$65,"Done"))/(COUNTA('Cockpit מעקב מיגרציה'!$C$8:$C$65)),0)</f>
        <v/>
      </c>
      <c r="H6" s="1" t="n"/>
      <c r="I6" s="1" t="n"/>
      <c r="J6" s="1" t="n"/>
      <c r="K6" s="1" t="n"/>
      <c r="L6" s="1" t="n"/>
      <c r="M6" s="1" t="n"/>
      <c r="N6" s="1" t="n"/>
      <c r="O6" s="1" t="n"/>
      <c r="P6" s="7" t="inlineStr">
        <is>
          <t>שדה</t>
        </is>
      </c>
      <c r="Q6" s="8" t="inlineStr">
        <is>
          <t>TPLKZ</t>
        </is>
      </c>
      <c r="R6" s="7" t="inlineStr">
        <is>
          <t>מחוון מבנה / מסיכת קידוד</t>
        </is>
      </c>
      <c r="S6" s="7" t="inlineStr">
        <is>
          <t>Structure indicator (edit mask)</t>
        </is>
      </c>
      <c r="T6" s="7" t="inlineStr">
        <is>
          <t>1. מבנה ארגוני ותשתית</t>
        </is>
      </c>
      <c r="U6" s="7" t="inlineStr">
        <is>
          <t>D7</t>
        </is>
      </c>
      <c r="V6" s="9">
        <f>HYPERLINK("#'"&amp;T6&amp;"'!"&amp;U6,"➜ פתח")</f>
        <v/>
      </c>
    </row>
    <row r="7" ht="22" customHeight="1">
      <c r="A7" s="1" t="n"/>
      <c r="B7" s="18" t="inlineStr">
        <is>
          <t>סה"כ אובייקטים</t>
        </is>
      </c>
      <c r="C7" s="19" t="inlineStr">
        <is>
          <t>הושלם (Done)</t>
        </is>
      </c>
      <c r="D7" s="20" t="inlineStr">
        <is>
          <t>נבדק (Tested)</t>
        </is>
      </c>
      <c r="E7" s="21" t="inlineStr">
        <is>
          <t>בתהליך (In Progress)</t>
        </is>
      </c>
      <c r="F7" s="22" t="inlineStr">
        <is>
          <t>פתוח (Open)</t>
        </is>
      </c>
      <c r="G7" s="23" t="inlineStr">
        <is>
          <t>% השלמה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7" t="inlineStr">
        <is>
          <t>שדה</t>
        </is>
      </c>
      <c r="Q7" s="8" t="inlineStr">
        <is>
          <t>TPLMA</t>
        </is>
      </c>
      <c r="R7" s="7" t="inlineStr">
        <is>
          <t>מיקום אב בהיררכיה</t>
        </is>
      </c>
      <c r="S7" s="7" t="inlineStr">
        <is>
          <t>Superior functional location</t>
        </is>
      </c>
      <c r="T7" s="7" t="inlineStr">
        <is>
          <t>1. מבנה ארגוני ותשתית</t>
        </is>
      </c>
      <c r="U7" s="7" t="inlineStr">
        <is>
          <t>D8</t>
        </is>
      </c>
      <c r="V7" s="9">
        <f>HYPERLINK("#'"&amp;T7&amp;"'!"&amp;U7,"➜ פתח")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7" t="inlineStr">
        <is>
          <t>שדה</t>
        </is>
      </c>
      <c r="Q8" s="8" t="inlineStr">
        <is>
          <t>OBJNR</t>
        </is>
      </c>
      <c r="R8" s="7" t="inlineStr">
        <is>
          <t>מפתח אובייקט לסטטוס</t>
        </is>
      </c>
      <c r="S8" s="7" t="inlineStr">
        <is>
          <t>Object number (status)</t>
        </is>
      </c>
      <c r="T8" s="7" t="inlineStr">
        <is>
          <t>1. מבנה ארגוני ותשתית</t>
        </is>
      </c>
      <c r="U8" s="7" t="inlineStr">
        <is>
          <t>D9</t>
        </is>
      </c>
      <c r="V8" s="9">
        <f>HYPERLINK("#'"&amp;T8&amp;"'!"&amp;U8,"➜ פתח")</f>
        <v/>
      </c>
    </row>
    <row r="9">
      <c r="A9" s="1" t="n"/>
      <c r="B9" s="24" t="inlineStr">
        <is>
          <t>ניווט מהיר לגיליונות  (לחץ על כרטיס כדי לעבור)</t>
        </is>
      </c>
      <c r="C9" s="4" t="n"/>
      <c r="D9" s="4" t="n"/>
      <c r="E9" s="4" t="n"/>
      <c r="F9" s="4" t="n"/>
      <c r="G9" s="4" t="n"/>
      <c r="H9" s="4" t="n"/>
      <c r="I9" s="1" t="n"/>
      <c r="J9" s="1" t="n"/>
      <c r="K9" s="1" t="n"/>
      <c r="L9" s="1" t="n"/>
      <c r="M9" s="1" t="n"/>
      <c r="N9" s="1" t="n"/>
      <c r="O9" s="1" t="n"/>
      <c r="P9" s="7" t="inlineStr">
        <is>
          <t>טרנזקציה</t>
        </is>
      </c>
      <c r="Q9" s="8" t="inlineStr">
        <is>
          <t>IL01</t>
        </is>
      </c>
      <c r="R9" s="7" t="inlineStr">
        <is>
          <t>רשומת אב של מיקום פונקציונלי</t>
        </is>
      </c>
      <c r="S9" s="7" t="inlineStr">
        <is>
          <t>Functional location master record</t>
        </is>
      </c>
      <c r="T9" s="7" t="inlineStr">
        <is>
          <t>1. מבנה ארגוני ותשתית</t>
        </is>
      </c>
      <c r="U9" s="7" t="inlineStr">
        <is>
          <t>A4</t>
        </is>
      </c>
      <c r="V9" s="9">
        <f>HYPERLINK("#'"&amp;T9&amp;"'!"&amp;U9,"➜ פתח")</f>
        <v/>
      </c>
    </row>
    <row r="10">
      <c r="A10" s="1" t="n"/>
      <c r="B10" s="25" t="inlineStr">
        <is>
          <t>1. מבנה ארגוני ותשתית</t>
        </is>
      </c>
      <c r="C10" s="1" t="n"/>
      <c r="D10" s="25" t="inlineStr">
        <is>
          <t>2. ציוד ונתוני מאסטר</t>
        </is>
      </c>
      <c r="E10" s="1" t="n"/>
      <c r="F10" s="25" t="inlineStr">
        <is>
          <t>3. עצי מוצר של אחזקה (BOM)</t>
        </is>
      </c>
      <c r="G10" s="1" t="n"/>
      <c r="H10" s="25" t="inlineStr">
        <is>
          <t>4. נקודות מדידה ומונים</t>
        </is>
      </c>
      <c r="I10" s="1" t="n"/>
      <c r="J10" s="1" t="n"/>
      <c r="K10" s="1" t="n"/>
      <c r="L10" s="1" t="n"/>
      <c r="M10" s="1" t="n"/>
      <c r="N10" s="1" t="n"/>
      <c r="O10" s="1" t="n"/>
      <c r="P10" s="7" t="inlineStr">
        <is>
          <t>טרנזקציה</t>
        </is>
      </c>
      <c r="Q10" s="8" t="inlineStr">
        <is>
          <t>IL02</t>
        </is>
      </c>
      <c r="R10" s="7" t="inlineStr">
        <is>
          <t>רשומת אב של מיקום פונקציונלי</t>
        </is>
      </c>
      <c r="S10" s="7" t="inlineStr">
        <is>
          <t>Functional location master record</t>
        </is>
      </c>
      <c r="T10" s="7" t="inlineStr">
        <is>
          <t>1. מבנה ארגוני ותשתית</t>
        </is>
      </c>
      <c r="U10" s="7" t="inlineStr">
        <is>
          <t>A4</t>
        </is>
      </c>
      <c r="V10" s="9">
        <f>HYPERLINK("#'"&amp;T10&amp;"'!"&amp;U10,"➜ פתח")</f>
        <v/>
      </c>
    </row>
    <row r="11">
      <c r="A11" s="1" t="n"/>
      <c r="B11" s="26" t="n"/>
      <c r="C11" s="1" t="n"/>
      <c r="D11" s="26" t="n"/>
      <c r="E11" s="1" t="n"/>
      <c r="F11" s="26" t="n"/>
      <c r="G11" s="1" t="n"/>
      <c r="H11" s="26" t="n"/>
      <c r="I11" s="1" t="n"/>
      <c r="J11" s="1" t="n"/>
      <c r="K11" s="1" t="n"/>
      <c r="L11" s="1" t="n"/>
      <c r="M11" s="1" t="n"/>
      <c r="N11" s="1" t="n"/>
      <c r="O11" s="1" t="n"/>
      <c r="P11" s="7" t="inlineStr">
        <is>
          <t>טרנזקציה</t>
        </is>
      </c>
      <c r="Q11" s="8" t="inlineStr">
        <is>
          <t>IL03</t>
        </is>
      </c>
      <c r="R11" s="7" t="inlineStr">
        <is>
          <t>רשומת אב של מיקום פונקציונלי</t>
        </is>
      </c>
      <c r="S11" s="7" t="inlineStr">
        <is>
          <t>Functional location master record</t>
        </is>
      </c>
      <c r="T11" s="7" t="inlineStr">
        <is>
          <t>1. מבנה ארגוני ותשתית</t>
        </is>
      </c>
      <c r="U11" s="7" t="inlineStr">
        <is>
          <t>A4</t>
        </is>
      </c>
      <c r="V11" s="9">
        <f>HYPERLINK("#'"&amp;T11&amp;"'!"&amp;U11,"➜ פתח")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7" t="inlineStr">
        <is>
          <t>טרנזקציה</t>
        </is>
      </c>
      <c r="Q12" s="8" t="inlineStr">
        <is>
          <t>IH01</t>
        </is>
      </c>
      <c r="R12" s="7" t="inlineStr">
        <is>
          <t>רשומת אב של מיקום פונקציונלי</t>
        </is>
      </c>
      <c r="S12" s="7" t="inlineStr">
        <is>
          <t>Functional location master record</t>
        </is>
      </c>
      <c r="T12" s="7" t="inlineStr">
        <is>
          <t>1. מבנה ארגוני ותשתית</t>
        </is>
      </c>
      <c r="U12" s="7" t="inlineStr">
        <is>
          <t>A4</t>
        </is>
      </c>
      <c r="V12" s="9">
        <f>HYPERLINK("#'"&amp;T12&amp;"'!"&amp;U12,"➜ פתח")</f>
        <v/>
      </c>
    </row>
    <row r="13">
      <c r="A13" s="1" t="n"/>
      <c r="B13" s="25" t="inlineStr">
        <is>
          <t>5. קטלוגים, קודים ופרופילים</t>
        </is>
      </c>
      <c r="C13" s="1" t="n"/>
      <c r="D13" s="27" t="inlineStr">
        <is>
          <t>6. הודעות אחזקה (Notifications)</t>
        </is>
      </c>
      <c r="E13" s="1" t="n"/>
      <c r="F13" s="27" t="inlineStr">
        <is>
          <t>7. פקודות עבודה (פק"ע)</t>
        </is>
      </c>
      <c r="G13" s="1" t="n"/>
      <c r="H13" s="25" t="inlineStr">
        <is>
          <t>8. ניהול סטטוסים (Status Mgmt)</t>
        </is>
      </c>
      <c r="I13" s="1" t="n"/>
      <c r="J13" s="1" t="n"/>
      <c r="K13" s="1" t="n"/>
      <c r="L13" s="1" t="n"/>
      <c r="M13" s="1" t="n"/>
      <c r="N13" s="1" t="n"/>
      <c r="O13" s="1" t="n"/>
      <c r="P13" s="7" t="inlineStr">
        <is>
          <t>טרנזקציה</t>
        </is>
      </c>
      <c r="Q13" s="8" t="inlineStr">
        <is>
          <t>IH06</t>
        </is>
      </c>
      <c r="R13" s="7" t="inlineStr">
        <is>
          <t>רשומת אב של מיקום פונקציונלי</t>
        </is>
      </c>
      <c r="S13" s="7" t="inlineStr">
        <is>
          <t>Functional location master record</t>
        </is>
      </c>
      <c r="T13" s="7" t="inlineStr">
        <is>
          <t>1. מבנה ארגוני ותשתית</t>
        </is>
      </c>
      <c r="U13" s="7" t="inlineStr">
        <is>
          <t>A4</t>
        </is>
      </c>
      <c r="V13" s="9">
        <f>HYPERLINK("#'"&amp;T13&amp;"'!"&amp;U13,"➜ פתח")</f>
        <v/>
      </c>
    </row>
    <row r="14">
      <c r="A14" s="1" t="n"/>
      <c r="B14" s="26" t="n"/>
      <c r="C14" s="1" t="n"/>
      <c r="D14" s="26" t="n"/>
      <c r="E14" s="1" t="n"/>
      <c r="F14" s="26" t="n"/>
      <c r="G14" s="1" t="n"/>
      <c r="H14" s="26" t="n"/>
      <c r="I14" s="1" t="n"/>
      <c r="J14" s="1" t="n"/>
      <c r="K14" s="1" t="n"/>
      <c r="L14" s="1" t="n"/>
      <c r="M14" s="1" t="n"/>
      <c r="N14" s="1" t="n"/>
      <c r="O14" s="1" t="n"/>
      <c r="P14" s="7" t="inlineStr">
        <is>
          <t>פונקציה</t>
        </is>
      </c>
      <c r="Q14" s="8" t="inlineStr">
        <is>
          <t>BAPI_FUNCLOC_CREATE</t>
        </is>
      </c>
      <c r="R14" s="7" t="inlineStr">
        <is>
          <t>יצירת מיקום פונקציונלי דרך ממשק תקני</t>
        </is>
      </c>
      <c r="S14" s="7" t="inlineStr">
        <is>
          <t>Functional location master record</t>
        </is>
      </c>
      <c r="T14" s="7" t="inlineStr">
        <is>
          <t>1. מבנה ארגוני ותשתית</t>
        </is>
      </c>
      <c r="U14" s="7" t="inlineStr">
        <is>
          <t>G4</t>
        </is>
      </c>
      <c r="V14" s="9">
        <f>HYPERLINK("#'"&amp;T14&amp;"'!"&amp;U14,"➜ פתח")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7" t="inlineStr">
        <is>
          <t>פונקציה</t>
        </is>
      </c>
      <c r="Q15" s="8" t="inlineStr">
        <is>
          <t>BAPI_FUNCLOC_CHANGE</t>
        </is>
      </c>
      <c r="R15" s="7" t="inlineStr">
        <is>
          <t>שינוי מיקום פונקציונלי</t>
        </is>
      </c>
      <c r="S15" s="7" t="inlineStr">
        <is>
          <t>Functional location master record</t>
        </is>
      </c>
      <c r="T15" s="7" t="inlineStr">
        <is>
          <t>1. מבנה ארגוני ותשתית</t>
        </is>
      </c>
      <c r="U15" s="7" t="inlineStr">
        <is>
          <t>G4</t>
        </is>
      </c>
      <c r="V15" s="9">
        <f>HYPERLINK("#'"&amp;T15&amp;"'!"&amp;U15,"➜ פתח")</f>
        <v/>
      </c>
    </row>
    <row r="16">
      <c r="A16" s="1" t="n"/>
      <c r="B16" s="28" t="inlineStr">
        <is>
          <t>9. אינטגרציית מלאי ורכש (PM-MM)</t>
        </is>
      </c>
      <c r="C16" s="1" t="n"/>
      <c r="D16" s="28" t="inlineStr">
        <is>
          <t>10. עלויות והתחשבנות (PM-CO)</t>
        </is>
      </c>
      <c r="E16" s="1" t="n"/>
      <c r="F16" s="25" t="inlineStr">
        <is>
          <t>11. אחזקה מונעת ותוכניות</t>
        </is>
      </c>
      <c r="G16" s="1" t="n"/>
      <c r="H16" s="27" t="inlineStr">
        <is>
          <t>12. היסטוריה וארכיון</t>
        </is>
      </c>
      <c r="I16" s="1" t="n"/>
      <c r="J16" s="1" t="n"/>
      <c r="K16" s="1" t="n"/>
      <c r="L16" s="1" t="n"/>
      <c r="M16" s="1" t="n"/>
      <c r="N16" s="1" t="n"/>
      <c r="O16" s="1" t="n"/>
      <c r="P16" s="7" t="inlineStr">
        <is>
          <t>פונקציה</t>
        </is>
      </c>
      <c r="Q16" s="8" t="inlineStr">
        <is>
          <t>BAPI_FUNCLOC_GETDETAIL</t>
        </is>
      </c>
      <c r="R16" s="7" t="inlineStr">
        <is>
          <t>שליפת פרטי מיקום</t>
        </is>
      </c>
      <c r="S16" s="7" t="inlineStr">
        <is>
          <t>Functional location master record</t>
        </is>
      </c>
      <c r="T16" s="7" t="inlineStr">
        <is>
          <t>1. מבנה ארגוני ותשתית</t>
        </is>
      </c>
      <c r="U16" s="7" t="inlineStr">
        <is>
          <t>G4</t>
        </is>
      </c>
      <c r="V16" s="9">
        <f>HYPERLINK("#'"&amp;T16&amp;"'!"&amp;U16,"➜ פתח")</f>
        <v/>
      </c>
    </row>
    <row r="17">
      <c r="A17" s="1" t="n"/>
      <c r="B17" s="26" t="n"/>
      <c r="C17" s="1" t="n"/>
      <c r="D17" s="26" t="n"/>
      <c r="E17" s="1" t="n"/>
      <c r="F17" s="26" t="n"/>
      <c r="G17" s="1" t="n"/>
      <c r="H17" s="26" t="n"/>
      <c r="I17" s="1" t="n"/>
      <c r="J17" s="1" t="n"/>
      <c r="K17" s="1" t="n"/>
      <c r="L17" s="1" t="n"/>
      <c r="M17" s="1" t="n"/>
      <c r="N17" s="1" t="n"/>
      <c r="O17" s="1" t="n"/>
      <c r="P17" s="7" t="inlineStr">
        <is>
          <t>פונקציה</t>
        </is>
      </c>
      <c r="Q17" s="8" t="inlineStr">
        <is>
          <t>ISU_FUNCLOC_GETLIST</t>
        </is>
      </c>
      <c r="R17" s="7" t="inlineStr">
        <is>
          <t>שליפת רשימת מיקומים לפי בחירה</t>
        </is>
      </c>
      <c r="S17" s="7" t="inlineStr">
        <is>
          <t>Functional location master record</t>
        </is>
      </c>
      <c r="T17" s="7" t="inlineStr">
        <is>
          <t>1. מבנה ארגוני ותשתית</t>
        </is>
      </c>
      <c r="U17" s="7" t="inlineStr">
        <is>
          <t>G4</t>
        </is>
      </c>
      <c r="V17" s="9">
        <f>HYPERLINK("#'"&amp;T17&amp;"'!"&amp;U17,"➜ פתח")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7" t="inlineStr">
        <is>
          <t>תוכנית</t>
        </is>
      </c>
      <c r="Q18" s="8" t="inlineStr">
        <is>
          <t>RIIFLO20</t>
        </is>
      </c>
      <c r="R18" s="7" t="inlineStr">
        <is>
          <t>רשימת מיקומים פונקציונליים (IH06)</t>
        </is>
      </c>
      <c r="S18" s="7" t="inlineStr">
        <is>
          <t>Functional location master record</t>
        </is>
      </c>
      <c r="T18" s="7" t="inlineStr">
        <is>
          <t>1. מבנה ארגוני ותשתית</t>
        </is>
      </c>
      <c r="U18" s="7" t="inlineStr">
        <is>
          <t>I4</t>
        </is>
      </c>
      <c r="V18" s="9">
        <f>HYPERLINK("#'"&amp;T18&amp;"'!"&amp;U18,"➜ פתח")</f>
        <v/>
      </c>
    </row>
    <row r="19">
      <c r="A19" s="1" t="n"/>
      <c r="B19" s="28" t="inlineStr">
        <is>
          <t>★ Simplification Item list</t>
        </is>
      </c>
      <c r="C19" s="1" t="n"/>
      <c r="D19" s="27" t="inlineStr">
        <is>
          <t>◆ Cockpit מעקב מיגרציה</t>
        </is>
      </c>
      <c r="E19" s="1" t="n"/>
      <c r="F19" s="25" t="inlineStr">
        <is>
          <t>⚙ Custom Code Check</t>
        </is>
      </c>
      <c r="G19" s="1" t="n"/>
      <c r="H19" s="27" t="inlineStr">
        <is>
          <t>⇄ ER - Join Map</t>
        </is>
      </c>
      <c r="I19" s="1" t="n"/>
      <c r="J19" s="1" t="n"/>
      <c r="K19" s="1" t="n"/>
      <c r="L19" s="1" t="n"/>
      <c r="M19" s="1" t="n"/>
      <c r="N19" s="1" t="n"/>
      <c r="O19" s="1" t="n"/>
      <c r="P19" s="7" t="inlineStr">
        <is>
          <t>תוכנית</t>
        </is>
      </c>
      <c r="Q19" s="8" t="inlineStr">
        <is>
          <t>RIFLET00</t>
        </is>
      </c>
      <c r="R19" s="7" t="inlineStr">
        <is>
          <t>תחזוקת קטגוריות ומסיכות עריכה</t>
        </is>
      </c>
      <c r="S19" s="7" t="inlineStr">
        <is>
          <t>Functional location master record</t>
        </is>
      </c>
      <c r="T19" s="7" t="inlineStr">
        <is>
          <t>1. מבנה ארגוני ותשתית</t>
        </is>
      </c>
      <c r="U19" s="7" t="inlineStr">
        <is>
          <t>I4</t>
        </is>
      </c>
      <c r="V19" s="9">
        <f>HYPERLINK("#'"&amp;T19&amp;"'!"&amp;U19,"➜ פתח")</f>
        <v/>
      </c>
    </row>
    <row r="20">
      <c r="A20" s="1" t="n"/>
      <c r="B20" s="26" t="n"/>
      <c r="C20" s="1" t="n"/>
      <c r="D20" s="26" t="n"/>
      <c r="E20" s="1" t="n"/>
      <c r="F20" s="26" t="n"/>
      <c r="G20" s="1" t="n"/>
      <c r="H20" s="26" t="n"/>
      <c r="I20" s="1" t="n"/>
      <c r="J20" s="1" t="n"/>
      <c r="K20" s="1" t="n"/>
      <c r="L20" s="1" t="n"/>
      <c r="M20" s="1" t="n"/>
      <c r="N20" s="1" t="n"/>
      <c r="O20" s="1" t="n"/>
      <c r="P20" s="7" t="inlineStr">
        <is>
          <t>Fiori</t>
        </is>
      </c>
      <c r="Q20" s="8" t="inlineStr">
        <is>
          <t>Manage Technical Objects (F2079)</t>
        </is>
      </c>
      <c r="R20" s="7" t="inlineStr">
        <is>
          <t>רשומת אב של מיקום פונקציונלי</t>
        </is>
      </c>
      <c r="S20" s="7" t="inlineStr">
        <is>
          <t>Functional location master record</t>
        </is>
      </c>
      <c r="T20" s="7" t="inlineStr">
        <is>
          <t>1. מבנה ארגוני ותשתית</t>
        </is>
      </c>
      <c r="U20" s="7" t="inlineStr">
        <is>
          <t>N4</t>
        </is>
      </c>
      <c r="V20" s="9">
        <f>HYPERLINK("#'"&amp;T20&amp;"'!"&amp;U20,"➜ פתח")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7" t="inlineStr">
        <is>
          <t>טבלה</t>
        </is>
      </c>
      <c r="Q21" s="8" t="inlineStr">
        <is>
          <t>IFLOS</t>
        </is>
      </c>
      <c r="R21" s="7" t="inlineStr">
        <is>
          <t>תוויות מיקום פונקציונלי (Labels - טבלת ילד של IFLOT)</t>
        </is>
      </c>
      <c r="S21" s="7" t="inlineStr">
        <is>
          <t>Functional location labels (child of IFLOT)</t>
        </is>
      </c>
      <c r="T21" s="7" t="inlineStr">
        <is>
          <t>1. מבנה ארגוני ותשתית</t>
        </is>
      </c>
      <c r="U21" s="7" t="inlineStr">
        <is>
          <t>A11</t>
        </is>
      </c>
      <c r="V21" s="9">
        <f>HYPERLINK("#'"&amp;T21&amp;"'!"&amp;U21,"➜ פתח")</f>
        <v/>
      </c>
    </row>
    <row r="22">
      <c r="A22" s="1" t="n"/>
      <c r="B22" s="29" t="inlineStr">
        <is>
          <t>מקרא מותג CBC:  אדום=תנועתי/עוגני-על | צפחה=נתוני אב וכותרות | כסף=אינטגרציה ועמודות S/4HANA</t>
        </is>
      </c>
      <c r="C22" s="4" t="n"/>
      <c r="D22" s="4" t="n"/>
      <c r="E22" s="4" t="n"/>
      <c r="F22" s="4" t="n"/>
      <c r="G22" s="4" t="n"/>
      <c r="H22" s="4" t="n"/>
      <c r="I22" s="1" t="n"/>
      <c r="J22" s="1" t="n"/>
      <c r="K22" s="1" t="n"/>
      <c r="L22" s="1" t="n"/>
      <c r="M22" s="1" t="n"/>
      <c r="N22" s="1" t="n"/>
      <c r="O22" s="1" t="n"/>
      <c r="P22" s="7" t="inlineStr">
        <is>
          <t>שדה</t>
        </is>
      </c>
      <c r="Q22" s="8" t="inlineStr">
        <is>
          <t>TPLNR</t>
        </is>
      </c>
      <c r="R22" s="7" t="inlineStr">
        <is>
          <t>מיקום פונקציונלי (פנימי) - מצטרף ל-IFLOT</t>
        </is>
      </c>
      <c r="S22" s="7" t="inlineStr">
        <is>
          <t>Functional location (internal) - joins IFLOT</t>
        </is>
      </c>
      <c r="T22" s="7" t="inlineStr">
        <is>
          <t>1. מבנה ארגוני ותשתית</t>
        </is>
      </c>
      <c r="U22" s="7" t="inlineStr">
        <is>
          <t>D12</t>
        </is>
      </c>
      <c r="V22" s="9">
        <f>HYPERLINK("#'"&amp;T22&amp;"'!"&amp;U22,"➜ פתח")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7" t="inlineStr">
        <is>
          <t>שדה</t>
        </is>
      </c>
      <c r="Q23" s="8" t="inlineStr">
        <is>
          <t>STRNO</t>
        </is>
      </c>
      <c r="R23" s="7" t="inlineStr">
        <is>
          <t>מספר תווית חיצוני / מובנה</t>
        </is>
      </c>
      <c r="S23" s="7" t="inlineStr">
        <is>
          <t>External / structured label number</t>
        </is>
      </c>
      <c r="T23" s="7" t="inlineStr">
        <is>
          <t>1. מבנה ארגוני ותשתית</t>
        </is>
      </c>
      <c r="U23" s="7" t="inlineStr">
        <is>
          <t>D13</t>
        </is>
      </c>
      <c r="V23" s="9">
        <f>HYPERLINK("#'"&amp;T23&amp;"'!"&amp;U23,"➜ פתח")</f>
        <v/>
      </c>
    </row>
    <row r="24">
      <c r="A24" s="1" t="n"/>
      <c r="B24" s="24" t="inlineStr">
        <is>
          <t>🔍 חיפוש גלובלי  (טבלה / טרנזקציה / שדה / פונקציה - עברית או אנגלית)</t>
        </is>
      </c>
      <c r="C24" s="4" t="n"/>
      <c r="D24" s="4" t="n"/>
      <c r="E24" s="4" t="n"/>
      <c r="F24" s="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7" t="inlineStr">
        <is>
          <t>שדה</t>
        </is>
      </c>
      <c r="Q24" s="8" t="inlineStr">
        <is>
          <t>TPLKZ</t>
        </is>
      </c>
      <c r="R24" s="7" t="inlineStr">
        <is>
          <t>מחוון מבנה</t>
        </is>
      </c>
      <c r="S24" s="7" t="inlineStr">
        <is>
          <t>Structure indicator</t>
        </is>
      </c>
      <c r="T24" s="7" t="inlineStr">
        <is>
          <t>1. מבנה ארגוני ותשתית</t>
        </is>
      </c>
      <c r="U24" s="7" t="inlineStr">
        <is>
          <t>D14</t>
        </is>
      </c>
      <c r="V24" s="9">
        <f>HYPERLINK("#'"&amp;T24&amp;"'!"&amp;U24,"➜ פתח")</f>
        <v/>
      </c>
    </row>
    <row r="25" ht="26" customHeight="1">
      <c r="A25" s="1" t="n"/>
      <c r="B25" s="30" t="inlineStr">
        <is>
          <t>הקלד כאן:</t>
        </is>
      </c>
      <c r="C25" s="31" t="inlineStr"/>
      <c r="D25" s="4" t="n"/>
      <c r="E25" s="4" t="n"/>
      <c r="F25" s="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7" t="inlineStr">
        <is>
          <t>שדה</t>
        </is>
      </c>
      <c r="Q25" s="8" t="inlineStr">
        <is>
          <t>TPLVL</t>
        </is>
      </c>
      <c r="R25" s="7" t="inlineStr">
        <is>
          <t>רמת היררכיה של התווית</t>
        </is>
      </c>
      <c r="S25" s="7" t="inlineStr">
        <is>
          <t>Hierarchy level of label</t>
        </is>
      </c>
      <c r="T25" s="7" t="inlineStr">
        <is>
          <t>1. מבנה ארגוני ותשתית</t>
        </is>
      </c>
      <c r="U25" s="7" t="inlineStr">
        <is>
          <t>D15</t>
        </is>
      </c>
      <c r="V25" s="9">
        <f>HYPERLINK("#'"&amp;T25&amp;"'!"&amp;U25,"➜ פתח")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7" t="inlineStr">
        <is>
          <t>שדה</t>
        </is>
      </c>
      <c r="Q26" s="8" t="inlineStr">
        <is>
          <t>BEGRU</t>
        </is>
      </c>
      <c r="R26" s="7" t="inlineStr">
        <is>
          <t>קבוצת הרשאה</t>
        </is>
      </c>
      <c r="S26" s="7" t="inlineStr">
        <is>
          <t>Authorization group</t>
        </is>
      </c>
      <c r="T26" s="7" t="inlineStr">
        <is>
          <t>1. מבנה ארגוני ותשתית</t>
        </is>
      </c>
      <c r="U26" s="7" t="inlineStr">
        <is>
          <t>D16</t>
        </is>
      </c>
      <c r="V26" s="9">
        <f>HYPERLINK("#'"&amp;T26&amp;"'!"&amp;U26,"➜ פתח")</f>
        <v/>
      </c>
    </row>
    <row r="27">
      <c r="A27" s="1" t="n"/>
      <c r="B27" s="32" t="inlineStr">
        <is>
          <t>קישור</t>
        </is>
      </c>
      <c r="C27" s="32" t="inlineStr">
        <is>
          <t>קוד / שם טכני</t>
        </is>
      </c>
      <c r="D27" s="32" t="inlineStr">
        <is>
          <t>פירוש בעברית</t>
        </is>
      </c>
      <c r="E27" s="32" t="inlineStr">
        <is>
          <t>English</t>
        </is>
      </c>
      <c r="F27" s="32" t="inlineStr">
        <is>
          <t>גיליון</t>
        </is>
      </c>
      <c r="G27" s="32" t="inlineStr">
        <is>
          <t>תא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7" t="inlineStr">
        <is>
          <t>טרנזקציה</t>
        </is>
      </c>
      <c r="Q27" s="8" t="inlineStr">
        <is>
          <t>IL01</t>
        </is>
      </c>
      <c r="R27" s="7" t="inlineStr">
        <is>
          <t>תוויות מיקום פונקציונלי (Labels - טבלת ילד של IFLOT)</t>
        </is>
      </c>
      <c r="S27" s="7" t="inlineStr">
        <is>
          <t>Functional location labels (child of IFLOT)</t>
        </is>
      </c>
      <c r="T27" s="7" t="inlineStr">
        <is>
          <t>1. מבנה ארגוני ותשתית</t>
        </is>
      </c>
      <c r="U27" s="7" t="inlineStr">
        <is>
          <t>A12</t>
        </is>
      </c>
      <c r="V27" s="9">
        <f>HYPERLINK("#'"&amp;T27&amp;"'!"&amp;U27,"➜ פתח")</f>
        <v/>
      </c>
    </row>
    <row r="28">
      <c r="A28" s="1" t="n"/>
      <c r="B28" s="33">
        <f>IF(C25="","הקלד מונח בתא הצהוב למעלה - והתוצאות יופיעו כאן מיד (כולל קישור לחיץ)...",IFERROR(_xlfn._xlws.FILTER(CHOOSE({1,2,3,4,5,6},$V$2:$V$906,$Q$2:$Q$906,$R$2:$R$906,$S$2:$S$906,$T$2:$T$906,$U$2:$U$906),(ISNUMBER(SEARCH(C25,$Q$2:$Q$906)))+(ISNUMBER(SEARCH(C25,$R$2:$R$906)))+(ISNUMBER(SEARCH(C25,$S$2:$S$906)))+(ISNUMBER(SEARCH(C25,$P$2:$P$906)))&gt;0),"לא נמצאו תוצאות - נסה מונח אחר"))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7" t="inlineStr">
        <is>
          <t>טרנזקציה</t>
        </is>
      </c>
      <c r="Q28" s="8" t="inlineStr">
        <is>
          <t>IL02</t>
        </is>
      </c>
      <c r="R28" s="7" t="inlineStr">
        <is>
          <t>תוויות מיקום פונקציונלי (Labels - טבלת ילד של IFLOT)</t>
        </is>
      </c>
      <c r="S28" s="7" t="inlineStr">
        <is>
          <t>Functional location labels (child of IFLOT)</t>
        </is>
      </c>
      <c r="T28" s="7" t="inlineStr">
        <is>
          <t>1. מבנה ארגוני ותשתית</t>
        </is>
      </c>
      <c r="U28" s="7" t="inlineStr">
        <is>
          <t>A12</t>
        </is>
      </c>
      <c r="V28" s="9">
        <f>HYPERLINK("#'"&amp;T28&amp;"'!"&amp;U28,"➜ פתח")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7" t="inlineStr">
        <is>
          <t>טרנזקציה</t>
        </is>
      </c>
      <c r="Q29" s="8" t="inlineStr">
        <is>
          <t>IL03</t>
        </is>
      </c>
      <c r="R29" s="7" t="inlineStr">
        <is>
          <t>תוויות מיקום פונקציונלי (Labels - טבלת ילד של IFLOT)</t>
        </is>
      </c>
      <c r="S29" s="7" t="inlineStr">
        <is>
          <t>Functional location labels (child of IFLOT)</t>
        </is>
      </c>
      <c r="T29" s="7" t="inlineStr">
        <is>
          <t>1. מבנה ארגוני ותשתית</t>
        </is>
      </c>
      <c r="U29" s="7" t="inlineStr">
        <is>
          <t>A12</t>
        </is>
      </c>
      <c r="V29" s="9">
        <f>HYPERLINK("#'"&amp;T29&amp;"'!"&amp;U29,"➜ פתח")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7" t="inlineStr">
        <is>
          <t>טרנזקציה</t>
        </is>
      </c>
      <c r="Q30" s="8" t="inlineStr">
        <is>
          <t>IH06</t>
        </is>
      </c>
      <c r="R30" s="7" t="inlineStr">
        <is>
          <t>תוויות מיקום פונקציונלי (Labels - טבלת ילד של IFLOT)</t>
        </is>
      </c>
      <c r="S30" s="7" t="inlineStr">
        <is>
          <t>Functional location labels (child of IFLOT)</t>
        </is>
      </c>
      <c r="T30" s="7" t="inlineStr">
        <is>
          <t>1. מבנה ארגוני ותשתית</t>
        </is>
      </c>
      <c r="U30" s="7" t="inlineStr">
        <is>
          <t>A12</t>
        </is>
      </c>
      <c r="V30" s="9">
        <f>HYPERLINK("#'"&amp;T30&amp;"'!"&amp;U30,"➜ פתח")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7" t="inlineStr">
        <is>
          <t>פונקציה</t>
        </is>
      </c>
      <c r="Q31" s="8" t="inlineStr">
        <is>
          <t>BAPI_FUNCLOC_GETDETAIL</t>
        </is>
      </c>
      <c r="R31" s="7" t="inlineStr">
        <is>
          <t>שליפת פרטי מיקום כולל תוויות</t>
        </is>
      </c>
      <c r="S31" s="7" t="inlineStr">
        <is>
          <t>Functional location labels (child of IFLOT)</t>
        </is>
      </c>
      <c r="T31" s="7" t="inlineStr">
        <is>
          <t>1. מבנה ארגוני ותשתית</t>
        </is>
      </c>
      <c r="U31" s="7" t="inlineStr">
        <is>
          <t>G12</t>
        </is>
      </c>
      <c r="V31" s="9">
        <f>HYPERLINK("#'"&amp;T31&amp;"'!"&amp;U31,"➜ פתח")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inlineStr">
        <is>
          <t>פונקציה</t>
        </is>
      </c>
      <c r="Q32" s="8" t="inlineStr">
        <is>
          <t>FUNC_LOCATION_LABEL_READ</t>
        </is>
      </c>
      <c r="R32" s="7" t="inlineStr">
        <is>
          <t>קריאת תווית מיקום פונקציונלי</t>
        </is>
      </c>
      <c r="S32" s="7" t="inlineStr">
        <is>
          <t>Functional location labels (child of IFLOT)</t>
        </is>
      </c>
      <c r="T32" s="7" t="inlineStr">
        <is>
          <t>1. מבנה ארגוני ותשתית</t>
        </is>
      </c>
      <c r="U32" s="7" t="inlineStr">
        <is>
          <t>G12</t>
        </is>
      </c>
      <c r="V32" s="9">
        <f>HYPERLINK("#'"&amp;T32&amp;"'!"&amp;U32,"➜ פתח")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inlineStr">
        <is>
          <t>תוכנית</t>
        </is>
      </c>
      <c r="Q33" s="8" t="inlineStr">
        <is>
          <t>RIIFLO20</t>
        </is>
      </c>
      <c r="R33" s="7" t="inlineStr">
        <is>
          <t>רשימת מיקומים ותוויות (IH06)</t>
        </is>
      </c>
      <c r="S33" s="7" t="inlineStr">
        <is>
          <t>Functional location labels (child of IFLOT)</t>
        </is>
      </c>
      <c r="T33" s="7" t="inlineStr">
        <is>
          <t>1. מבנה ארגוני ותשתית</t>
        </is>
      </c>
      <c r="U33" s="7" t="inlineStr">
        <is>
          <t>I12</t>
        </is>
      </c>
      <c r="V33" s="9">
        <f>HYPERLINK("#'"&amp;T33&amp;"'!"&amp;U33,"➜ פתח")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inlineStr">
        <is>
          <t>Fiori</t>
        </is>
      </c>
      <c r="Q34" s="8" t="inlineStr">
        <is>
          <t>Manage Technical Objects (F2079)</t>
        </is>
      </c>
      <c r="R34" s="7" t="inlineStr">
        <is>
          <t>תוויות מיקום פונקציונלי (Labels - טבלת ילד של IFLOT)</t>
        </is>
      </c>
      <c r="S34" s="7" t="inlineStr">
        <is>
          <t>Functional location labels (child of IFLOT)</t>
        </is>
      </c>
      <c r="T34" s="7" t="inlineStr">
        <is>
          <t>1. מבנה ארגוני ותשתית</t>
        </is>
      </c>
      <c r="U34" s="7" t="inlineStr">
        <is>
          <t>N12</t>
        </is>
      </c>
      <c r="V34" s="9">
        <f>HYPERLINK("#'"&amp;T34&amp;"'!"&amp;U34,"➜ פתח")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inlineStr">
        <is>
          <t>טבלה</t>
        </is>
      </c>
      <c r="Q35" s="8" t="inlineStr">
        <is>
          <t>ILOA</t>
        </is>
      </c>
      <c r="R35" s="7" t="inlineStr">
        <is>
          <t>נתוני מיקום וחיוב משותפים</t>
        </is>
      </c>
      <c r="S35" s="7" t="inlineStr">
        <is>
          <t>PM object location &amp; account assignment</t>
        </is>
      </c>
      <c r="T35" s="7" t="inlineStr">
        <is>
          <t>1. מבנה ארגוני ותשתית</t>
        </is>
      </c>
      <c r="U35" s="7" t="inlineStr">
        <is>
          <t>A18</t>
        </is>
      </c>
      <c r="V35" s="9">
        <f>HYPERLINK("#'"&amp;T35&amp;"'!"&amp;U35,"➜ פתח")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inlineStr">
        <is>
          <t>שדה</t>
        </is>
      </c>
      <c r="Q36" s="8" t="inlineStr">
        <is>
          <t>ILOAN</t>
        </is>
      </c>
      <c r="R36" s="7" t="inlineStr">
        <is>
          <t>מפתח נתוני מיקום/חיוב</t>
        </is>
      </c>
      <c r="S36" s="7" t="inlineStr">
        <is>
          <t>Location &amp; account assignment key</t>
        </is>
      </c>
      <c r="T36" s="7" t="inlineStr">
        <is>
          <t>1. מבנה ארגוני ותשתית</t>
        </is>
      </c>
      <c r="U36" s="7" t="inlineStr">
        <is>
          <t>D19</t>
        </is>
      </c>
      <c r="V36" s="9">
        <f>HYPERLINK("#'"&amp;T36&amp;"'!"&amp;U36,"➜ פתח")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inlineStr">
        <is>
          <t>שדה</t>
        </is>
      </c>
      <c r="Q37" s="8" t="inlineStr">
        <is>
          <t>KOSTL</t>
        </is>
      </c>
      <c r="R37" s="7" t="inlineStr">
        <is>
          <t>מרכז עלות</t>
        </is>
      </c>
      <c r="S37" s="7" t="inlineStr">
        <is>
          <t>Cost center</t>
        </is>
      </c>
      <c r="T37" s="7" t="inlineStr">
        <is>
          <t>1. מבנה ארגוני ותשתית</t>
        </is>
      </c>
      <c r="U37" s="7" t="inlineStr">
        <is>
          <t>D20</t>
        </is>
      </c>
      <c r="V37" s="9">
        <f>HYPERLINK("#'"&amp;T37&amp;"'!"&amp;U37,"➜ פתח")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inlineStr">
        <is>
          <t>שדה</t>
        </is>
      </c>
      <c r="Q38" s="8" t="inlineStr">
        <is>
          <t>SWERK</t>
        </is>
      </c>
      <c r="R38" s="7" t="inlineStr">
        <is>
          <t>מפעל אחזקה</t>
        </is>
      </c>
      <c r="S38" s="7" t="inlineStr">
        <is>
          <t>Maintenance plant</t>
        </is>
      </c>
      <c r="T38" s="7" t="inlineStr">
        <is>
          <t>1. מבנה ארגוני ותשתית</t>
        </is>
      </c>
      <c r="U38" s="7" t="inlineStr">
        <is>
          <t>D21</t>
        </is>
      </c>
      <c r="V38" s="9">
        <f>HYPERLINK("#'"&amp;T38&amp;"'!"&amp;U38,"➜ פתח")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inlineStr">
        <is>
          <t>שדה</t>
        </is>
      </c>
      <c r="Q39" s="8" t="inlineStr">
        <is>
          <t>INGRP</t>
        </is>
      </c>
      <c r="R39" s="7" t="inlineStr">
        <is>
          <t>קבוצת תכנון</t>
        </is>
      </c>
      <c r="S39" s="7" t="inlineStr">
        <is>
          <t>Planner group</t>
        </is>
      </c>
      <c r="T39" s="7" t="inlineStr">
        <is>
          <t>1. מבנה ארגוני ותשתית</t>
        </is>
      </c>
      <c r="U39" s="7" t="inlineStr">
        <is>
          <t>D22</t>
        </is>
      </c>
      <c r="V39" s="9">
        <f>HYPERLINK("#'"&amp;T39&amp;"'!"&amp;U39,"➜ פתח")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inlineStr">
        <is>
          <t>שדה</t>
        </is>
      </c>
      <c r="Q40" s="8" t="inlineStr">
        <is>
          <t>GEWRK</t>
        </is>
      </c>
      <c r="R40" s="7" t="inlineStr">
        <is>
          <t>מרכז עבודה ראשי</t>
        </is>
      </c>
      <c r="S40" s="7" t="inlineStr">
        <is>
          <t>Main work center</t>
        </is>
      </c>
      <c r="T40" s="7" t="inlineStr">
        <is>
          <t>1. מבנה ארגוני ותשתית</t>
        </is>
      </c>
      <c r="U40" s="7" t="inlineStr">
        <is>
          <t>D23</t>
        </is>
      </c>
      <c r="V40" s="9">
        <f>HYPERLINK("#'"&amp;T40&amp;"'!"&amp;U40,"➜ פתח")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inlineStr">
        <is>
          <t>שדה</t>
        </is>
      </c>
      <c r="Q41" s="8" t="inlineStr">
        <is>
          <t>TPLNR</t>
        </is>
      </c>
      <c r="R41" s="7" t="inlineStr">
        <is>
          <t>מיקום פונקציונלי</t>
        </is>
      </c>
      <c r="S41" s="7" t="inlineStr">
        <is>
          <t>Functional location</t>
        </is>
      </c>
      <c r="T41" s="7" t="inlineStr">
        <is>
          <t>1. מבנה ארגוני ותשתית</t>
        </is>
      </c>
      <c r="U41" s="7" t="inlineStr">
        <is>
          <t>D24</t>
        </is>
      </c>
      <c r="V41" s="9">
        <f>HYPERLINK("#'"&amp;T41&amp;"'!"&amp;U41,"➜ פתח")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inlineStr">
        <is>
          <t>טרנזקציה</t>
        </is>
      </c>
      <c r="Q42" s="8" t="inlineStr">
        <is>
          <t>IL02</t>
        </is>
      </c>
      <c r="R42" s="7" t="inlineStr">
        <is>
          <t>נתוני מיקום וחיוב משותפים</t>
        </is>
      </c>
      <c r="S42" s="7" t="inlineStr">
        <is>
          <t>PM object location &amp; account assignment</t>
        </is>
      </c>
      <c r="T42" s="7" t="inlineStr">
        <is>
          <t>1. מבנה ארגוני ותשתית</t>
        </is>
      </c>
      <c r="U42" s="7" t="inlineStr">
        <is>
          <t>A19</t>
        </is>
      </c>
      <c r="V42" s="9">
        <f>HYPERLINK("#'"&amp;T42&amp;"'!"&amp;U42,"➜ פתח")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inlineStr">
        <is>
          <t>טרנזקציה</t>
        </is>
      </c>
      <c r="Q43" s="8" t="inlineStr">
        <is>
          <t>IE02 (ירושה)</t>
        </is>
      </c>
      <c r="R43" s="7" t="inlineStr">
        <is>
          <t>נתוני מיקום וחיוב משותפים</t>
        </is>
      </c>
      <c r="S43" s="7" t="inlineStr">
        <is>
          <t>PM object location &amp; account assignment</t>
        </is>
      </c>
      <c r="T43" s="7" t="inlineStr">
        <is>
          <t>1. מבנה ארגוני ותשתית</t>
        </is>
      </c>
      <c r="U43" s="7" t="inlineStr">
        <is>
          <t>A19</t>
        </is>
      </c>
      <c r="V43" s="9">
        <f>HYPERLINK("#'"&amp;T43&amp;"'!"&amp;U43,"➜ פתח")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inlineStr">
        <is>
          <t>פונקציה</t>
        </is>
      </c>
      <c r="Q44" s="8" t="inlineStr">
        <is>
          <t>ILOA_READ</t>
        </is>
      </c>
      <c r="R44" s="7" t="inlineStr">
        <is>
          <t>קריאת נתוני מיקום/חיוב</t>
        </is>
      </c>
      <c r="S44" s="7" t="inlineStr">
        <is>
          <t>PM object location &amp; account assignment</t>
        </is>
      </c>
      <c r="T44" s="7" t="inlineStr">
        <is>
          <t>1. מבנה ארגוני ותשתית</t>
        </is>
      </c>
      <c r="U44" s="7" t="inlineStr">
        <is>
          <t>G19</t>
        </is>
      </c>
      <c r="V44" s="9">
        <f>HYPERLINK("#'"&amp;T44&amp;"'!"&amp;U44,"➜ פתח")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inlineStr">
        <is>
          <t>פונקציה</t>
        </is>
      </c>
      <c r="Q45" s="8" t="inlineStr">
        <is>
          <t>ILOA_UPDATE</t>
        </is>
      </c>
      <c r="R45" s="7" t="inlineStr">
        <is>
          <t>עדכון נתוני מיקום/חיוב</t>
        </is>
      </c>
      <c r="S45" s="7" t="inlineStr">
        <is>
          <t>PM object location &amp; account assignment</t>
        </is>
      </c>
      <c r="T45" s="7" t="inlineStr">
        <is>
          <t>1. מבנה ארגוני ותשתית</t>
        </is>
      </c>
      <c r="U45" s="7" t="inlineStr">
        <is>
          <t>G19</t>
        </is>
      </c>
      <c r="V45" s="9">
        <f>HYPERLINK("#'"&amp;T45&amp;"'!"&amp;U45,"➜ פתח")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inlineStr">
        <is>
          <t>פונקציה</t>
        </is>
      </c>
      <c r="Q46" s="8" t="inlineStr">
        <is>
          <t>ILOA_INHERIT_FROM_FUNCLOC</t>
        </is>
      </c>
      <c r="R46" s="7" t="inlineStr">
        <is>
          <t>ירושת נתונים מהמיקום לציוד</t>
        </is>
      </c>
      <c r="S46" s="7" t="inlineStr">
        <is>
          <t>PM object location &amp; account assignment</t>
        </is>
      </c>
      <c r="T46" s="7" t="inlineStr">
        <is>
          <t>1. מבנה ארגוני ותשתית</t>
        </is>
      </c>
      <c r="U46" s="7" t="inlineStr">
        <is>
          <t>G19</t>
        </is>
      </c>
      <c r="V46" s="9">
        <f>HYPERLINK("#'"&amp;T46&amp;"'!"&amp;U46,"➜ פתח")</f>
        <v/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inlineStr">
        <is>
          <t>תוכנית</t>
        </is>
      </c>
      <c r="Q47" s="8" t="inlineStr">
        <is>
          <t>RILOAA00</t>
        </is>
      </c>
      <c r="R47" s="7" t="inlineStr">
        <is>
          <t>התאמת נתוני מיקום/חיוב באובייקטים</t>
        </is>
      </c>
      <c r="S47" s="7" t="inlineStr">
        <is>
          <t>PM object location &amp; account assignment</t>
        </is>
      </c>
      <c r="T47" s="7" t="inlineStr">
        <is>
          <t>1. מבנה ארגוני ותשתית</t>
        </is>
      </c>
      <c r="U47" s="7" t="inlineStr">
        <is>
          <t>I19</t>
        </is>
      </c>
      <c r="V47" s="9">
        <f>HYPERLINK("#'"&amp;T47&amp;"'!"&amp;U47,"➜ פתח")</f>
        <v/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inlineStr">
        <is>
          <t>Fiori</t>
        </is>
      </c>
      <c r="Q48" s="8" t="inlineStr">
        <is>
          <t>Manage Technical Objects (F2079)</t>
        </is>
      </c>
      <c r="R48" s="7" t="inlineStr">
        <is>
          <t>נתוני מיקום וחיוב משותפים</t>
        </is>
      </c>
      <c r="S48" s="7" t="inlineStr">
        <is>
          <t>PM object location &amp; account assignment</t>
        </is>
      </c>
      <c r="T48" s="7" t="inlineStr">
        <is>
          <t>1. מבנה ארגוני ותשתית</t>
        </is>
      </c>
      <c r="U48" s="7" t="inlineStr">
        <is>
          <t>N19</t>
        </is>
      </c>
      <c r="V48" s="9">
        <f>HYPERLINK("#'"&amp;T48&amp;"'!"&amp;U48,"➜ פתח")</f>
        <v/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inlineStr">
        <is>
          <t>טבלה</t>
        </is>
      </c>
      <c r="Q49" s="8" t="inlineStr">
        <is>
          <t>CRHD</t>
        </is>
      </c>
      <c r="R49" s="7" t="inlineStr">
        <is>
          <t>כותרת מרכז עבודה</t>
        </is>
      </c>
      <c r="S49" s="7" t="inlineStr">
        <is>
          <t>Work center header</t>
        </is>
      </c>
      <c r="T49" s="7" t="inlineStr">
        <is>
          <t>1. מבנה ארגוני ותשתית</t>
        </is>
      </c>
      <c r="U49" s="7" t="inlineStr">
        <is>
          <t>A26</t>
        </is>
      </c>
      <c r="V49" s="9">
        <f>HYPERLINK("#'"&amp;T49&amp;"'!"&amp;U49,"➜ פתח")</f>
        <v/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inlineStr">
        <is>
          <t>שדה</t>
        </is>
      </c>
      <c r="Q50" s="8" t="inlineStr">
        <is>
          <t>OBJID</t>
        </is>
      </c>
      <c r="R50" s="7" t="inlineStr">
        <is>
          <t>מזהה אובייקט פנימי</t>
        </is>
      </c>
      <c r="S50" s="7" t="inlineStr">
        <is>
          <t>Internal work center object ID</t>
        </is>
      </c>
      <c r="T50" s="7" t="inlineStr">
        <is>
          <t>1. מבנה ארגוני ותשתית</t>
        </is>
      </c>
      <c r="U50" s="7" t="inlineStr">
        <is>
          <t>D27</t>
        </is>
      </c>
      <c r="V50" s="9">
        <f>HYPERLINK("#'"&amp;T50&amp;"'!"&amp;U50,"➜ פתח")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inlineStr">
        <is>
          <t>שדה</t>
        </is>
      </c>
      <c r="Q51" s="8" t="inlineStr">
        <is>
          <t>ARBPL</t>
        </is>
      </c>
      <c r="R51" s="7" t="inlineStr">
        <is>
          <t>קוד מרכז עבודה</t>
        </is>
      </c>
      <c r="S51" s="7" t="inlineStr">
        <is>
          <t>Work center code</t>
        </is>
      </c>
      <c r="T51" s="7" t="inlineStr">
        <is>
          <t>1. מבנה ארגוני ותשתית</t>
        </is>
      </c>
      <c r="U51" s="7" t="inlineStr">
        <is>
          <t>D28</t>
        </is>
      </c>
      <c r="V51" s="9">
        <f>HYPERLINK("#'"&amp;T51&amp;"'!"&amp;U51,"➜ פתח")</f>
        <v/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inlineStr">
        <is>
          <t>שדה</t>
        </is>
      </c>
      <c r="Q52" s="8" t="inlineStr">
        <is>
          <t>OBJTY</t>
        </is>
      </c>
      <c r="R52" s="7" t="inlineStr">
        <is>
          <t>סוג אובייקט</t>
        </is>
      </c>
      <c r="S52" s="7" t="inlineStr">
        <is>
          <t>Object type ('A'=work center)</t>
        </is>
      </c>
      <c r="T52" s="7" t="inlineStr">
        <is>
          <t>1. מבנה ארגוני ותשתית</t>
        </is>
      </c>
      <c r="U52" s="7" t="inlineStr">
        <is>
          <t>D29</t>
        </is>
      </c>
      <c r="V52" s="9">
        <f>HYPERLINK("#'"&amp;T52&amp;"'!"&amp;U52,"➜ פתח")</f>
        <v/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inlineStr">
        <is>
          <t>שדה</t>
        </is>
      </c>
      <c r="Q53" s="8" t="inlineStr">
        <is>
          <t>WERKS</t>
        </is>
      </c>
      <c r="R53" s="7" t="inlineStr">
        <is>
          <t>מפעל</t>
        </is>
      </c>
      <c r="S53" s="7" t="inlineStr">
        <is>
          <t>Plant</t>
        </is>
      </c>
      <c r="T53" s="7" t="inlineStr">
        <is>
          <t>1. מבנה ארגוני ותשתית</t>
        </is>
      </c>
      <c r="U53" s="7" t="inlineStr">
        <is>
          <t>D30</t>
        </is>
      </c>
      <c r="V53" s="9">
        <f>HYPERLINK("#'"&amp;T53&amp;"'!"&amp;U53,"➜ פתח")</f>
        <v/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inlineStr">
        <is>
          <t>שדה</t>
        </is>
      </c>
      <c r="Q54" s="8" t="inlineStr">
        <is>
          <t>VERWE</t>
        </is>
      </c>
      <c r="R54" s="7" t="inlineStr">
        <is>
          <t>שימוש מרכז עבודה</t>
        </is>
      </c>
      <c r="S54" s="7" t="inlineStr">
        <is>
          <t>Work center usage</t>
        </is>
      </c>
      <c r="T54" s="7" t="inlineStr">
        <is>
          <t>1. מבנה ארגוני ותשתית</t>
        </is>
      </c>
      <c r="U54" s="7" t="inlineStr">
        <is>
          <t>D31</t>
        </is>
      </c>
      <c r="V54" s="9">
        <f>HYPERLINK("#'"&amp;T54&amp;"'!"&amp;U54,"➜ פתח")</f>
        <v/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inlineStr">
        <is>
          <t>שדה</t>
        </is>
      </c>
      <c r="Q55" s="8" t="inlineStr">
        <is>
          <t>VERAN</t>
        </is>
      </c>
      <c r="R55" s="7" t="inlineStr">
        <is>
          <t>אחראי</t>
        </is>
      </c>
      <c r="S55" s="7" t="inlineStr">
        <is>
          <t>Person responsible</t>
        </is>
      </c>
      <c r="T55" s="7" t="inlineStr">
        <is>
          <t>1. מבנה ארגוני ותשתית</t>
        </is>
      </c>
      <c r="U55" s="7" t="inlineStr">
        <is>
          <t>D32</t>
        </is>
      </c>
      <c r="V55" s="9">
        <f>HYPERLINK("#'"&amp;T55&amp;"'!"&amp;U55,"➜ פתח")</f>
        <v/>
      </c>
    </row>
    <row r="56">
      <c r="A56" s="1" t="n"/>
      <c r="B56" s="34" t="inlineStr">
        <is>
          <t>איך עובדים:  1) לחץ כרטיס למעבר לגיליון (כולל Cockpit מעקב מיגרציה ו-Custom Code Check).  2) הקלד מונח בתא הצהוב - התוצאות הדינמיות (FILTER) יופיעו מיד עם קישור לחיץ לשורה.  3) בכל גיליון יש כפתור 'חזרה למסך הראשי' בפינה הימנית-עליונה (קישור Hyperlink).  ב-Cockpit וב-Custom Code Check יש עמודות סטטוס עם רשימה נפתחת וצביעה אוטומטית.  קובץ זה הוא .xlsx נקי (ללא מאקרו) - בטוח למייל ארגוני. להוספת כפתור חיפוש-מאקרו: הדבק את modPM.bas דרך Alt+F11 ושמור כ-.xlsm (הוראות מצורפות).</t>
        </is>
      </c>
      <c r="C56" s="4" t="n"/>
      <c r="D56" s="4" t="n"/>
      <c r="E56" s="4" t="n"/>
      <c r="F56" s="4" t="n"/>
      <c r="G56" s="4" t="n"/>
      <c r="H56" s="4" t="n"/>
      <c r="I56" s="1" t="n"/>
      <c r="J56" s="1" t="n"/>
      <c r="K56" s="1" t="n"/>
      <c r="L56" s="1" t="n"/>
      <c r="M56" s="1" t="n"/>
      <c r="N56" s="1" t="n"/>
      <c r="O56" s="1" t="n"/>
      <c r="P56" s="7" t="inlineStr">
        <is>
          <t>טרנזקציה</t>
        </is>
      </c>
      <c r="Q56" s="8" t="inlineStr">
        <is>
          <t>IR01</t>
        </is>
      </c>
      <c r="R56" s="7" t="inlineStr">
        <is>
          <t>כותרת מרכז עבודה</t>
        </is>
      </c>
      <c r="S56" s="7" t="inlineStr">
        <is>
          <t>Work center header</t>
        </is>
      </c>
      <c r="T56" s="7" t="inlineStr">
        <is>
          <t>1. מבנה ארגוני ותשתית</t>
        </is>
      </c>
      <c r="U56" s="7" t="inlineStr">
        <is>
          <t>A27</t>
        </is>
      </c>
      <c r="V56" s="9">
        <f>HYPERLINK("#'"&amp;T56&amp;"'!"&amp;U56,"➜ פתח")</f>
        <v/>
      </c>
    </row>
    <row r="57">
      <c r="A57" s="1" t="n"/>
      <c r="B57" s="4" t="n"/>
      <c r="C57" s="4" t="n"/>
      <c r="D57" s="4" t="n"/>
      <c r="E57" s="4" t="n"/>
      <c r="F57" s="4" t="n"/>
      <c r="G57" s="4" t="n"/>
      <c r="H57" s="4" t="n"/>
      <c r="I57" s="1" t="n"/>
      <c r="J57" s="1" t="n"/>
      <c r="K57" s="1" t="n"/>
      <c r="L57" s="1" t="n"/>
      <c r="M57" s="1" t="n"/>
      <c r="N57" s="1" t="n"/>
      <c r="O57" s="1" t="n"/>
      <c r="P57" s="7" t="inlineStr">
        <is>
          <t>טרנזקציה</t>
        </is>
      </c>
      <c r="Q57" s="8" t="inlineStr">
        <is>
          <t>IR02</t>
        </is>
      </c>
      <c r="R57" s="7" t="inlineStr">
        <is>
          <t>כותרת מרכז עבודה</t>
        </is>
      </c>
      <c r="S57" s="7" t="inlineStr">
        <is>
          <t>Work center header</t>
        </is>
      </c>
      <c r="T57" s="7" t="inlineStr">
        <is>
          <t>1. מבנה ארגוני ותשתית</t>
        </is>
      </c>
      <c r="U57" s="7" t="inlineStr">
        <is>
          <t>A27</t>
        </is>
      </c>
      <c r="V57" s="9">
        <f>HYPERLINK("#'"&amp;T57&amp;"'!"&amp;U57,"➜ פתח")</f>
        <v/>
      </c>
    </row>
    <row r="58">
      <c r="A58" s="1" t="n"/>
      <c r="B58" s="4" t="n"/>
      <c r="C58" s="4" t="n"/>
      <c r="D58" s="4" t="n"/>
      <c r="E58" s="4" t="n"/>
      <c r="F58" s="4" t="n"/>
      <c r="G58" s="4" t="n"/>
      <c r="H58" s="4" t="n"/>
      <c r="I58" s="1" t="n"/>
      <c r="J58" s="1" t="n"/>
      <c r="K58" s="1" t="n"/>
      <c r="L58" s="1" t="n"/>
      <c r="M58" s="1" t="n"/>
      <c r="N58" s="1" t="n"/>
      <c r="O58" s="1" t="n"/>
      <c r="P58" s="7" t="inlineStr">
        <is>
          <t>טרנזקציה</t>
        </is>
      </c>
      <c r="Q58" s="8" t="inlineStr">
        <is>
          <t>IR03</t>
        </is>
      </c>
      <c r="R58" s="7" t="inlineStr">
        <is>
          <t>כותרת מרכז עבודה</t>
        </is>
      </c>
      <c r="S58" s="7" t="inlineStr">
        <is>
          <t>Work center header</t>
        </is>
      </c>
      <c r="T58" s="7" t="inlineStr">
        <is>
          <t>1. מבנה ארגוני ותשתית</t>
        </is>
      </c>
      <c r="U58" s="7" t="inlineStr">
        <is>
          <t>A27</t>
        </is>
      </c>
      <c r="V58" s="9">
        <f>HYPERLINK("#'"&amp;T58&amp;"'!"&amp;U58,"➜ פתח")</f>
        <v/>
      </c>
    </row>
    <row r="59">
      <c r="A59" s="1" t="n"/>
      <c r="B59" s="4" t="n"/>
      <c r="C59" s="4" t="n"/>
      <c r="D59" s="4" t="n"/>
      <c r="E59" s="4" t="n"/>
      <c r="F59" s="4" t="n"/>
      <c r="G59" s="4" t="n"/>
      <c r="H59" s="4" t="n"/>
      <c r="I59" s="1" t="n"/>
      <c r="J59" s="1" t="n"/>
      <c r="K59" s="1" t="n"/>
      <c r="L59" s="1" t="n"/>
      <c r="M59" s="1" t="n"/>
      <c r="N59" s="1" t="n"/>
      <c r="O59" s="1" t="n"/>
      <c r="P59" s="7" t="inlineStr">
        <is>
          <t>טרנזקציה</t>
        </is>
      </c>
      <c r="Q59" s="8" t="inlineStr">
        <is>
          <t>CR05</t>
        </is>
      </c>
      <c r="R59" s="7" t="inlineStr">
        <is>
          <t>כותרת מרכז עבודה</t>
        </is>
      </c>
      <c r="S59" s="7" t="inlineStr">
        <is>
          <t>Work center header</t>
        </is>
      </c>
      <c r="T59" s="7" t="inlineStr">
        <is>
          <t>1. מבנה ארגוני ותשתית</t>
        </is>
      </c>
      <c r="U59" s="7" t="inlineStr">
        <is>
          <t>A27</t>
        </is>
      </c>
      <c r="V59" s="9">
        <f>HYPERLINK("#'"&amp;T59&amp;"'!"&amp;U59,"➜ פתח")</f>
        <v/>
      </c>
    </row>
    <row r="60">
      <c r="A60" s="1" t="n"/>
      <c r="B60" s="4" t="n"/>
      <c r="C60" s="4" t="n"/>
      <c r="D60" s="4" t="n"/>
      <c r="E60" s="4" t="n"/>
      <c r="F60" s="4" t="n"/>
      <c r="G60" s="4" t="n"/>
      <c r="H60" s="4" t="n"/>
      <c r="I60" s="1" t="n"/>
      <c r="J60" s="1" t="n"/>
      <c r="K60" s="1" t="n"/>
      <c r="L60" s="1" t="n"/>
      <c r="M60" s="1" t="n"/>
      <c r="N60" s="1" t="n"/>
      <c r="O60" s="1" t="n"/>
      <c r="P60" s="7" t="inlineStr">
        <is>
          <t>טרנזקציה</t>
        </is>
      </c>
      <c r="Q60" s="8" t="inlineStr">
        <is>
          <t>CR06</t>
        </is>
      </c>
      <c r="R60" s="7" t="inlineStr">
        <is>
          <t>כותרת מרכז עבודה</t>
        </is>
      </c>
      <c r="S60" s="7" t="inlineStr">
        <is>
          <t>Work center header</t>
        </is>
      </c>
      <c r="T60" s="7" t="inlineStr">
        <is>
          <t>1. מבנה ארגוני ותשתית</t>
        </is>
      </c>
      <c r="U60" s="7" t="inlineStr">
        <is>
          <t>A27</t>
        </is>
      </c>
      <c r="V60" s="9">
        <f>HYPERLINK("#'"&amp;T60&amp;"'!"&amp;U60,"➜ פתח")</f>
        <v/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inlineStr">
        <is>
          <t>פונקציה</t>
        </is>
      </c>
      <c r="Q61" s="8" t="inlineStr">
        <is>
          <t>CR_WORKCENTER_READ</t>
        </is>
      </c>
      <c r="R61" s="7" t="inlineStr">
        <is>
          <t>קריאת נתוני מרכז עבודה</t>
        </is>
      </c>
      <c r="S61" s="7" t="inlineStr">
        <is>
          <t>Work center header</t>
        </is>
      </c>
      <c r="T61" s="7" t="inlineStr">
        <is>
          <t>1. מבנה ארגוני ותשתית</t>
        </is>
      </c>
      <c r="U61" s="7" t="inlineStr">
        <is>
          <t>G27</t>
        </is>
      </c>
      <c r="V61" s="9">
        <f>HYPERLINK("#'"&amp;T61&amp;"'!"&amp;U61,"➜ פתח")</f>
        <v/>
      </c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inlineStr">
        <is>
          <t>פונקציה</t>
        </is>
      </c>
      <c r="Q62" s="8" t="inlineStr">
        <is>
          <t>CRAP_WORKCENTER_GET_DETAIL</t>
        </is>
      </c>
      <c r="R62" s="7" t="inlineStr">
        <is>
          <t>שליפת פרטי מרכז עבודה</t>
        </is>
      </c>
      <c r="S62" s="7" t="inlineStr">
        <is>
          <t>Work center header</t>
        </is>
      </c>
      <c r="T62" s="7" t="inlineStr">
        <is>
          <t>1. מבנה ארגוני ותשתית</t>
        </is>
      </c>
      <c r="U62" s="7" t="inlineStr">
        <is>
          <t>G27</t>
        </is>
      </c>
      <c r="V62" s="9">
        <f>HYPERLINK("#'"&amp;T62&amp;"'!"&amp;U62,"➜ פתח")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7" t="inlineStr">
        <is>
          <t>תוכנית</t>
        </is>
      </c>
      <c r="Q63" s="8" t="inlineStr">
        <is>
          <t>RCRACO00</t>
        </is>
      </c>
      <c r="R63" s="7" t="inlineStr">
        <is>
          <t>דוח מרכזי עבודה וקיבולות</t>
        </is>
      </c>
      <c r="S63" s="7" t="inlineStr">
        <is>
          <t>Work center header</t>
        </is>
      </c>
      <c r="T63" s="7" t="inlineStr">
        <is>
          <t>1. מבנה ארגוני ותשתית</t>
        </is>
      </c>
      <c r="U63" s="7" t="inlineStr">
        <is>
          <t>I27</t>
        </is>
      </c>
      <c r="V63" s="9">
        <f>HYPERLINK("#'"&amp;T63&amp;"'!"&amp;U63,"➜ פתח")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7" t="inlineStr">
        <is>
          <t>Fiori</t>
        </is>
      </c>
      <c r="Q64" s="8" t="inlineStr">
        <is>
          <t>Manage Work Centers (אמת ID)</t>
        </is>
      </c>
      <c r="R64" s="7" t="inlineStr">
        <is>
          <t>כותרת מרכז עבודה</t>
        </is>
      </c>
      <c r="S64" s="7" t="inlineStr">
        <is>
          <t>Work center header</t>
        </is>
      </c>
      <c r="T64" s="7" t="inlineStr">
        <is>
          <t>1. מבנה ארגוני ותשתית</t>
        </is>
      </c>
      <c r="U64" s="7" t="inlineStr">
        <is>
          <t>N27</t>
        </is>
      </c>
      <c r="V64" s="9">
        <f>HYPERLINK("#'"&amp;T64&amp;"'!"&amp;U64,"➜ פתח")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7" t="inlineStr">
        <is>
          <t>טבלה</t>
        </is>
      </c>
      <c r="Q65" s="8" t="inlineStr">
        <is>
          <t>CRTX</t>
        </is>
      </c>
      <c r="R65" s="7" t="inlineStr">
        <is>
          <t>טקסטים של מרכז עבודה</t>
        </is>
      </c>
      <c r="S65" s="7" t="inlineStr">
        <is>
          <t>Work center texts</t>
        </is>
      </c>
      <c r="T65" s="7" t="inlineStr">
        <is>
          <t>1. מבנה ארגוני ותשתית</t>
        </is>
      </c>
      <c r="U65" s="7" t="inlineStr">
        <is>
          <t>A34</t>
        </is>
      </c>
      <c r="V65" s="9">
        <f>HYPERLINK("#'"&amp;T65&amp;"'!"&amp;U65,"➜ פתח")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7" t="inlineStr">
        <is>
          <t>שדה</t>
        </is>
      </c>
      <c r="Q66" s="8" t="inlineStr">
        <is>
          <t>OBJID</t>
        </is>
      </c>
      <c r="R66" s="7" t="inlineStr">
        <is>
          <t>מזהה אובייקט</t>
        </is>
      </c>
      <c r="S66" s="7" t="inlineStr">
        <is>
          <t>Work center object ID</t>
        </is>
      </c>
      <c r="T66" s="7" t="inlineStr">
        <is>
          <t>1. מבנה ארגוני ותשתית</t>
        </is>
      </c>
      <c r="U66" s="7" t="inlineStr">
        <is>
          <t>D35</t>
        </is>
      </c>
      <c r="V66" s="9">
        <f>HYPERLINK("#'"&amp;T66&amp;"'!"&amp;U66,"➜ פתח")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7" t="inlineStr">
        <is>
          <t>שדה</t>
        </is>
      </c>
      <c r="Q67" s="8" t="inlineStr">
        <is>
          <t>SPRAS</t>
        </is>
      </c>
      <c r="R67" s="7" t="inlineStr">
        <is>
          <t>שפה</t>
        </is>
      </c>
      <c r="S67" s="7" t="inlineStr">
        <is>
          <t>Language key</t>
        </is>
      </c>
      <c r="T67" s="7" t="inlineStr">
        <is>
          <t>1. מבנה ארגוני ותשתית</t>
        </is>
      </c>
      <c r="U67" s="7" t="inlineStr">
        <is>
          <t>D36</t>
        </is>
      </c>
      <c r="V67" s="9">
        <f>HYPERLINK("#'"&amp;T67&amp;"'!"&amp;U67,"➜ פתח")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7" t="inlineStr">
        <is>
          <t>שדה</t>
        </is>
      </c>
      <c r="Q68" s="8" t="inlineStr">
        <is>
          <t>KTEXT</t>
        </is>
      </c>
      <c r="R68" s="7" t="inlineStr">
        <is>
          <t>תיאור מרכז עבודה</t>
        </is>
      </c>
      <c r="S68" s="7" t="inlineStr">
        <is>
          <t>Work center description</t>
        </is>
      </c>
      <c r="T68" s="7" t="inlineStr">
        <is>
          <t>1. מבנה ארגוני ותשתית</t>
        </is>
      </c>
      <c r="U68" s="7" t="inlineStr">
        <is>
          <t>D37</t>
        </is>
      </c>
      <c r="V68" s="9">
        <f>HYPERLINK("#'"&amp;T68&amp;"'!"&amp;U68,"➜ פתח")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7" t="inlineStr">
        <is>
          <t>טרנזקציה</t>
        </is>
      </c>
      <c r="Q69" s="8" t="inlineStr">
        <is>
          <t>IR02</t>
        </is>
      </c>
      <c r="R69" s="7" t="inlineStr">
        <is>
          <t>טקסטים של מרכז עבודה</t>
        </is>
      </c>
      <c r="S69" s="7" t="inlineStr">
        <is>
          <t>Work center texts</t>
        </is>
      </c>
      <c r="T69" s="7" t="inlineStr">
        <is>
          <t>1. מבנה ארגוני ותשתית</t>
        </is>
      </c>
      <c r="U69" s="7" t="inlineStr">
        <is>
          <t>A35</t>
        </is>
      </c>
      <c r="V69" s="9">
        <f>HYPERLINK("#'"&amp;T69&amp;"'!"&amp;U69,"➜ פתח")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7" t="inlineStr">
        <is>
          <t>טרנזקציה</t>
        </is>
      </c>
      <c r="Q70" s="8" t="inlineStr">
        <is>
          <t>IR03</t>
        </is>
      </c>
      <c r="R70" s="7" t="inlineStr">
        <is>
          <t>טקסטים של מרכז עבודה</t>
        </is>
      </c>
      <c r="S70" s="7" t="inlineStr">
        <is>
          <t>Work center texts</t>
        </is>
      </c>
      <c r="T70" s="7" t="inlineStr">
        <is>
          <t>1. מבנה ארגוני ותשתית</t>
        </is>
      </c>
      <c r="U70" s="7" t="inlineStr">
        <is>
          <t>A35</t>
        </is>
      </c>
      <c r="V70" s="9">
        <f>HYPERLINK("#'"&amp;T70&amp;"'!"&amp;U70,"➜ פתח")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7" t="inlineStr">
        <is>
          <t>פונקציה</t>
        </is>
      </c>
      <c r="Q71" s="8" t="inlineStr">
        <is>
          <t>CR_TEXT_READ</t>
        </is>
      </c>
      <c r="R71" s="7" t="inlineStr">
        <is>
          <t>קריאת טקסט מרכז עבודה</t>
        </is>
      </c>
      <c r="S71" s="7" t="inlineStr">
        <is>
          <t>Work center texts</t>
        </is>
      </c>
      <c r="T71" s="7" t="inlineStr">
        <is>
          <t>1. מבנה ארגוני ותשתית</t>
        </is>
      </c>
      <c r="U71" s="7" t="inlineStr">
        <is>
          <t>G35</t>
        </is>
      </c>
      <c r="V71" s="9">
        <f>HYPERLINK("#'"&amp;T71&amp;"'!"&amp;U71,"➜ פתח")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7" t="inlineStr">
        <is>
          <t>תוכנית</t>
        </is>
      </c>
      <c r="Q72" s="8" t="inlineStr">
        <is>
          <t>RCRACO00</t>
        </is>
      </c>
      <c r="R72" s="7" t="inlineStr">
        <is>
          <t>דוח מרכזי עבודה</t>
        </is>
      </c>
      <c r="S72" s="7" t="inlineStr">
        <is>
          <t>Work center texts</t>
        </is>
      </c>
      <c r="T72" s="7" t="inlineStr">
        <is>
          <t>1. מבנה ארגוני ותשתית</t>
        </is>
      </c>
      <c r="U72" s="7" t="inlineStr">
        <is>
          <t>I35</t>
        </is>
      </c>
      <c r="V72" s="9">
        <f>HYPERLINK("#'"&amp;T72&amp;"'!"&amp;U72,"➜ פתח")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7" t="inlineStr">
        <is>
          <t>Fiori</t>
        </is>
      </c>
      <c r="Q73" s="8" t="inlineStr">
        <is>
          <t>Manage Work Centers (אמת ID)</t>
        </is>
      </c>
      <c r="R73" s="7" t="inlineStr">
        <is>
          <t>טקסטים של מרכז עבודה</t>
        </is>
      </c>
      <c r="S73" s="7" t="inlineStr">
        <is>
          <t>Work center texts</t>
        </is>
      </c>
      <c r="T73" s="7" t="inlineStr">
        <is>
          <t>1. מבנה ארגוני ותשתית</t>
        </is>
      </c>
      <c r="U73" s="7" t="inlineStr">
        <is>
          <t>N35</t>
        </is>
      </c>
      <c r="V73" s="9">
        <f>HYPERLINK("#'"&amp;T73&amp;"'!"&amp;U73,"➜ פתח")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7" t="inlineStr">
        <is>
          <t>טבלה</t>
        </is>
      </c>
      <c r="Q74" s="8" t="inlineStr">
        <is>
          <t>T370T</t>
        </is>
      </c>
      <c r="R74" s="7" t="inlineStr">
        <is>
          <t>טבלת טקסט להגדרות מבנה/קטגוריות PM (Customizing)</t>
        </is>
      </c>
      <c r="S74" s="7" t="inlineStr">
        <is>
          <t>PM structure/category customizing text table</t>
        </is>
      </c>
      <c r="T74" s="7" t="inlineStr">
        <is>
          <t>1. מבנה ארגוני ותשתית</t>
        </is>
      </c>
      <c r="U74" s="7" t="inlineStr">
        <is>
          <t>A39</t>
        </is>
      </c>
      <c r="V74" s="9">
        <f>HYPERLINK("#'"&amp;T74&amp;"'!"&amp;U74,"➜ פתח")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7" t="inlineStr">
        <is>
          <t>שדה</t>
        </is>
      </c>
      <c r="Q75" s="8" t="inlineStr">
        <is>
          <t>SPRAS</t>
        </is>
      </c>
      <c r="R75" s="7" t="inlineStr">
        <is>
          <t>שפה</t>
        </is>
      </c>
      <c r="S75" s="7" t="inlineStr">
        <is>
          <t>Language key</t>
        </is>
      </c>
      <c r="T75" s="7" t="inlineStr">
        <is>
          <t>1. מבנה ארגוני ותשתית</t>
        </is>
      </c>
      <c r="U75" s="7" t="inlineStr">
        <is>
          <t>D40</t>
        </is>
      </c>
      <c r="V75" s="9">
        <f>HYPERLINK("#'"&amp;T75&amp;"'!"&amp;U75,"➜ פתח")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7" t="inlineStr">
        <is>
          <t>שדה</t>
        </is>
      </c>
      <c r="Q76" s="8" t="inlineStr">
        <is>
          <t>FLTYP</t>
        </is>
      </c>
      <c r="R76" s="7" t="inlineStr">
        <is>
          <t>קטגוריית מיקום</t>
        </is>
      </c>
      <c r="S76" s="7" t="inlineStr">
        <is>
          <t>Functional location category</t>
        </is>
      </c>
      <c r="T76" s="7" t="inlineStr">
        <is>
          <t>1. מבנה ארגוני ותשתית</t>
        </is>
      </c>
      <c r="U76" s="7" t="inlineStr">
        <is>
          <t>D41</t>
        </is>
      </c>
      <c r="V76" s="9">
        <f>HYPERLINK("#'"&amp;T76&amp;"'!"&amp;U76,"➜ פתח")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7" t="inlineStr">
        <is>
          <t>שדה</t>
        </is>
      </c>
      <c r="Q77" s="8" t="inlineStr">
        <is>
          <t>FLTYPT</t>
        </is>
      </c>
      <c r="R77" s="7" t="inlineStr">
        <is>
          <t>תיאור קטגוריה</t>
        </is>
      </c>
      <c r="S77" s="7" t="inlineStr">
        <is>
          <t>Category description</t>
        </is>
      </c>
      <c r="T77" s="7" t="inlineStr">
        <is>
          <t>1. מבנה ארגוני ותשתית</t>
        </is>
      </c>
      <c r="U77" s="7" t="inlineStr">
        <is>
          <t>D42</t>
        </is>
      </c>
      <c r="V77" s="9">
        <f>HYPERLINK("#'"&amp;T77&amp;"'!"&amp;U77,"➜ פתח")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7" t="inlineStr">
        <is>
          <t>טרנזקציה</t>
        </is>
      </c>
      <c r="Q78" s="8" t="inlineStr">
        <is>
          <t>SPRO</t>
        </is>
      </c>
      <c r="R78" s="7" t="inlineStr">
        <is>
          <t>טבלת טקסט להגדרות מבנה/קטגוריות PM (Customizing)</t>
        </is>
      </c>
      <c r="S78" s="7" t="inlineStr">
        <is>
          <t>PM structure/category customizing text table</t>
        </is>
      </c>
      <c r="T78" s="7" t="inlineStr">
        <is>
          <t>1. מבנה ארגוני ותשתית</t>
        </is>
      </c>
      <c r="U78" s="7" t="inlineStr">
        <is>
          <t>A40</t>
        </is>
      </c>
      <c r="V78" s="9">
        <f>HYPERLINK("#'"&amp;T78&amp;"'!"&amp;U78,"➜ פתח")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7" t="inlineStr">
        <is>
          <t>טרנזקציה</t>
        </is>
      </c>
      <c r="Q79" s="8" t="inlineStr">
        <is>
          <t>OIA1</t>
        </is>
      </c>
      <c r="R79" s="7" t="inlineStr">
        <is>
          <t>טבלת טקסט להגדרות מבנה/קטגוריות PM (Customizing)</t>
        </is>
      </c>
      <c r="S79" s="7" t="inlineStr">
        <is>
          <t>PM structure/category customizing text table</t>
        </is>
      </c>
      <c r="T79" s="7" t="inlineStr">
        <is>
          <t>1. מבנה ארגוני ותשתית</t>
        </is>
      </c>
      <c r="U79" s="7" t="inlineStr">
        <is>
          <t>A40</t>
        </is>
      </c>
      <c r="V79" s="9">
        <f>HYPERLINK("#'"&amp;T79&amp;"'!"&amp;U79,"➜ פתח")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7" t="inlineStr">
        <is>
          <t>טרנזקציה</t>
        </is>
      </c>
      <c r="Q80" s="8" t="inlineStr">
        <is>
          <t>OIMR</t>
        </is>
      </c>
      <c r="R80" s="7" t="inlineStr">
        <is>
          <t>טבלת טקסט להגדרות מבנה/קטגוריות PM (Customizing)</t>
        </is>
      </c>
      <c r="S80" s="7" t="inlineStr">
        <is>
          <t>PM structure/category customizing text table</t>
        </is>
      </c>
      <c r="T80" s="7" t="inlineStr">
        <is>
          <t>1. מבנה ארגוני ותשתית</t>
        </is>
      </c>
      <c r="U80" s="7" t="inlineStr">
        <is>
          <t>A40</t>
        </is>
      </c>
      <c r="V80" s="9">
        <f>HYPERLINK("#'"&amp;T80&amp;"'!"&amp;U80,"➜ פתח")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7" t="inlineStr">
        <is>
          <t>פונקציה</t>
        </is>
      </c>
      <c r="Q81" s="8" t="inlineStr">
        <is>
          <t>STRUCTURE_INDICATOR_READ</t>
        </is>
      </c>
      <c r="R81" s="7" t="inlineStr">
        <is>
          <t>קריאת מחוון מבנה והגדרותיו</t>
        </is>
      </c>
      <c r="S81" s="7" t="inlineStr">
        <is>
          <t>PM structure/category customizing text table</t>
        </is>
      </c>
      <c r="T81" s="7" t="inlineStr">
        <is>
          <t>1. מבנה ארגוני ותשתית</t>
        </is>
      </c>
      <c r="U81" s="7" t="inlineStr">
        <is>
          <t>G40</t>
        </is>
      </c>
      <c r="V81" s="9">
        <f>HYPERLINK("#'"&amp;T81&amp;"'!"&amp;U81,"➜ פתח")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7" t="inlineStr">
        <is>
          <t>תוכנית</t>
        </is>
      </c>
      <c r="Q82" s="8" t="inlineStr">
        <is>
          <t>RIFLET00</t>
        </is>
      </c>
      <c r="R82" s="7" t="inlineStr">
        <is>
          <t>תחזוקת קטגוריות ומסיכות עריכה</t>
        </is>
      </c>
      <c r="S82" s="7" t="inlineStr">
        <is>
          <t>PM structure/category customizing text table</t>
        </is>
      </c>
      <c r="T82" s="7" t="inlineStr">
        <is>
          <t>1. מבנה ארגוני ותשתית</t>
        </is>
      </c>
      <c r="U82" s="7" t="inlineStr">
        <is>
          <t>I40</t>
        </is>
      </c>
      <c r="V82" s="9">
        <f>HYPERLINK("#'"&amp;T82&amp;"'!"&amp;U82,"➜ פתח")</f>
        <v/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7" t="inlineStr">
        <is>
          <t>Fiori</t>
        </is>
      </c>
      <c r="Q83" s="8" t="inlineStr">
        <is>
          <t>אין Fiori ייעודי (Customizing)</t>
        </is>
      </c>
      <c r="R83" s="7" t="inlineStr">
        <is>
          <t>טבלת טקסט להגדרות מבנה/קטגוריות PM (Customizing)</t>
        </is>
      </c>
      <c r="S83" s="7" t="inlineStr">
        <is>
          <t>PM structure/category customizing text table</t>
        </is>
      </c>
      <c r="T83" s="7" t="inlineStr">
        <is>
          <t>1. מבנה ארגוני ותשתית</t>
        </is>
      </c>
      <c r="U83" s="7" t="inlineStr">
        <is>
          <t>N40</t>
        </is>
      </c>
      <c r="V83" s="9">
        <f>HYPERLINK("#'"&amp;T83&amp;"'!"&amp;U83,"➜ פתח")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7" t="inlineStr">
        <is>
          <t>User Exit</t>
        </is>
      </c>
      <c r="Q84" s="8" t="inlineStr">
        <is>
          <t>ITOB0001</t>
        </is>
      </c>
      <c r="R84" s="7" t="inlineStr">
        <is>
          <t>הרחבת לקוח לאובייקטים טכניים (מיקום/ציוד) - שדות נוספים ובדיקות</t>
        </is>
      </c>
      <c r="S84" s="7" t="inlineStr"/>
      <c r="T84" s="7" t="inlineStr">
        <is>
          <t>1. מבנה ארגוני ותשתית</t>
        </is>
      </c>
      <c r="U84" s="7" t="inlineStr">
        <is>
          <t>A47</t>
        </is>
      </c>
      <c r="V84" s="9">
        <f>HYPERLINK("#'"&amp;T84&amp;"'!"&amp;U84,"➜ פתח")</f>
        <v/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7" t="inlineStr">
        <is>
          <t>User Exit</t>
        </is>
      </c>
      <c r="Q85" s="8" t="inlineStr">
        <is>
          <t>IBIP0001</t>
        </is>
      </c>
      <c r="R85" s="7" t="inlineStr">
        <is>
          <t>ממשק יצירה אצווה (Batch Input/Direct Input) לאובייקטים טכניים</t>
        </is>
      </c>
      <c r="S85" s="7" t="inlineStr"/>
      <c r="T85" s="7" t="inlineStr">
        <is>
          <t>1. מבנה ארגוני ותשתית</t>
        </is>
      </c>
      <c r="U85" s="7" t="inlineStr">
        <is>
          <t>A48</t>
        </is>
      </c>
      <c r="V85" s="9">
        <f>HYPERLINK("#'"&amp;T85&amp;"'!"&amp;U85,"➜ פתח")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7" t="inlineStr">
        <is>
          <t>BAdI</t>
        </is>
      </c>
      <c r="Q86" s="8" t="inlineStr">
        <is>
          <t>BADI_EAM_TECHNICAL_OBJECT</t>
        </is>
      </c>
      <c r="R86" s="7" t="inlineStr">
        <is>
          <t>BAdI מרכזי להרחבת לוגיקת אובייקטים טכניים ב-S/4HANA</t>
        </is>
      </c>
      <c r="S86" s="7" t="inlineStr"/>
      <c r="T86" s="7" t="inlineStr">
        <is>
          <t>1. מבנה ארגוני ותשתית</t>
        </is>
      </c>
      <c r="U86" s="7" t="inlineStr">
        <is>
          <t>A49</t>
        </is>
      </c>
      <c r="V86" s="9">
        <f>HYPERLINK("#'"&amp;T86&amp;"'!"&amp;U86,"➜ פתח")</f>
        <v/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7" t="inlineStr">
        <is>
          <t>BAdI</t>
        </is>
      </c>
      <c r="Q87" s="8" t="inlineStr">
        <is>
          <t>BADI_EAM_SINGLE_LEVEL_LIST</t>
        </is>
      </c>
      <c r="R87" s="7" t="inlineStr">
        <is>
          <t>התאמת רשימות אובייקטים חד-רמתיות (IH06/IH08)</t>
        </is>
      </c>
      <c r="S87" s="7" t="inlineStr"/>
      <c r="T87" s="7" t="inlineStr">
        <is>
          <t>1. מבנה ארגוני ותשתית</t>
        </is>
      </c>
      <c r="U87" s="7" t="inlineStr">
        <is>
          <t>A50</t>
        </is>
      </c>
      <c r="V87" s="9">
        <f>HYPERLINK("#'"&amp;T87&amp;"'!"&amp;U87,"➜ פתח")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7" t="inlineStr">
        <is>
          <t>טבלה</t>
        </is>
      </c>
      <c r="Q88" s="8" t="inlineStr">
        <is>
          <t>EQUI</t>
        </is>
      </c>
      <c r="R88" s="7" t="inlineStr">
        <is>
          <t>רשומת אב של ציוד</t>
        </is>
      </c>
      <c r="S88" s="7" t="inlineStr">
        <is>
          <t>Equipment master record</t>
        </is>
      </c>
      <c r="T88" s="7" t="inlineStr">
        <is>
          <t>2. ציוד ונתוני מאסטר</t>
        </is>
      </c>
      <c r="U88" s="7" t="inlineStr">
        <is>
          <t>A3</t>
        </is>
      </c>
      <c r="V88" s="9">
        <f>HYPERLINK("#'"&amp;T88&amp;"'!"&amp;U88,"➜ פתח")</f>
        <v/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7" t="inlineStr">
        <is>
          <t>שדה</t>
        </is>
      </c>
      <c r="Q89" s="8" t="inlineStr">
        <is>
          <t>EQUNR</t>
        </is>
      </c>
      <c r="R89" s="7" t="inlineStr">
        <is>
          <t>מספר ציוד</t>
        </is>
      </c>
      <c r="S89" s="7" t="inlineStr">
        <is>
          <t>Equipment number</t>
        </is>
      </c>
      <c r="T89" s="7" t="inlineStr">
        <is>
          <t>2. ציוד ונתוני מאסטר</t>
        </is>
      </c>
      <c r="U89" s="7" t="inlineStr">
        <is>
          <t>D4</t>
        </is>
      </c>
      <c r="V89" s="9">
        <f>HYPERLINK("#'"&amp;T89&amp;"'!"&amp;U89,"➜ פתח")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7" t="inlineStr">
        <is>
          <t>שדה</t>
        </is>
      </c>
      <c r="Q90" s="8" t="inlineStr">
        <is>
          <t>EQTYP</t>
        </is>
      </c>
      <c r="R90" s="7" t="inlineStr">
        <is>
          <t>קטגוריית ציוד</t>
        </is>
      </c>
      <c r="S90" s="7" t="inlineStr">
        <is>
          <t>Equipment category</t>
        </is>
      </c>
      <c r="T90" s="7" t="inlineStr">
        <is>
          <t>2. ציוד ונתוני מאסטר</t>
        </is>
      </c>
      <c r="U90" s="7" t="inlineStr">
        <is>
          <t>D5</t>
        </is>
      </c>
      <c r="V90" s="9">
        <f>HYPERLINK("#'"&amp;T90&amp;"'!"&amp;U90,"➜ פתח")</f>
        <v/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7" t="inlineStr">
        <is>
          <t>שדה</t>
        </is>
      </c>
      <c r="Q91" s="8" t="inlineStr">
        <is>
          <t>EQART</t>
        </is>
      </c>
      <c r="R91" s="7" t="inlineStr">
        <is>
          <t>סוג טכני</t>
        </is>
      </c>
      <c r="S91" s="7" t="inlineStr">
        <is>
          <t>Technical object type</t>
        </is>
      </c>
      <c r="T91" s="7" t="inlineStr">
        <is>
          <t>2. ציוד ונתוני מאסטר</t>
        </is>
      </c>
      <c r="U91" s="7" t="inlineStr">
        <is>
          <t>D6</t>
        </is>
      </c>
      <c r="V91" s="9">
        <f>HYPERLINK("#'"&amp;T91&amp;"'!"&amp;U91,"➜ פתח")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7" t="inlineStr">
        <is>
          <t>שדה</t>
        </is>
      </c>
      <c r="Q92" s="8" t="inlineStr">
        <is>
          <t>HERST</t>
        </is>
      </c>
      <c r="R92" s="7" t="inlineStr">
        <is>
          <t>יצרן</t>
        </is>
      </c>
      <c r="S92" s="7" t="inlineStr">
        <is>
          <t>Manufacturer</t>
        </is>
      </c>
      <c r="T92" s="7" t="inlineStr">
        <is>
          <t>2. ציוד ונתוני מאסטר</t>
        </is>
      </c>
      <c r="U92" s="7" t="inlineStr">
        <is>
          <t>D7</t>
        </is>
      </c>
      <c r="V92" s="9">
        <f>HYPERLINK("#'"&amp;T92&amp;"'!"&amp;U92,"➜ פתח")</f>
        <v/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7" t="inlineStr">
        <is>
          <t>שדה</t>
        </is>
      </c>
      <c r="Q93" s="8" t="inlineStr">
        <is>
          <t>TYPBZ</t>
        </is>
      </c>
      <c r="R93" s="7" t="inlineStr">
        <is>
          <t>דגם היצרן</t>
        </is>
      </c>
      <c r="S93" s="7" t="inlineStr">
        <is>
          <t>Manufacturer model number</t>
        </is>
      </c>
      <c r="T93" s="7" t="inlineStr">
        <is>
          <t>2. ציוד ונתוני מאסטר</t>
        </is>
      </c>
      <c r="U93" s="7" t="inlineStr">
        <is>
          <t>D8</t>
        </is>
      </c>
      <c r="V93" s="9">
        <f>HYPERLINK("#'"&amp;T93&amp;"'!"&amp;U93,"➜ פתח")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7" t="inlineStr">
        <is>
          <t>שדה</t>
        </is>
      </c>
      <c r="Q94" s="8" t="inlineStr">
        <is>
          <t>OBJNR</t>
        </is>
      </c>
      <c r="R94" s="7" t="inlineStr">
        <is>
          <t>מפתח אובייקט לסטטוס</t>
        </is>
      </c>
      <c r="S94" s="7" t="inlineStr">
        <is>
          <t>Object number (status)</t>
        </is>
      </c>
      <c r="T94" s="7" t="inlineStr">
        <is>
          <t>2. ציוד ונתוני מאסטר</t>
        </is>
      </c>
      <c r="U94" s="7" t="inlineStr">
        <is>
          <t>D9</t>
        </is>
      </c>
      <c r="V94" s="9">
        <f>HYPERLINK("#'"&amp;T94&amp;"'!"&amp;U94,"➜ פתח")</f>
        <v/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7" t="inlineStr">
        <is>
          <t>טרנזקציה</t>
        </is>
      </c>
      <c r="Q95" s="8" t="inlineStr">
        <is>
          <t>IE01</t>
        </is>
      </c>
      <c r="R95" s="7" t="inlineStr">
        <is>
          <t>רשומת אב של ציוד</t>
        </is>
      </c>
      <c r="S95" s="7" t="inlineStr">
        <is>
          <t>Equipment master record</t>
        </is>
      </c>
      <c r="T95" s="7" t="inlineStr">
        <is>
          <t>2. ציוד ונתוני מאסטר</t>
        </is>
      </c>
      <c r="U95" s="7" t="inlineStr">
        <is>
          <t>A4</t>
        </is>
      </c>
      <c r="V95" s="9">
        <f>HYPERLINK("#'"&amp;T95&amp;"'!"&amp;U95,"➜ פתח")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7" t="inlineStr">
        <is>
          <t>טרנזקציה</t>
        </is>
      </c>
      <c r="Q96" s="8" t="inlineStr">
        <is>
          <t>IE02</t>
        </is>
      </c>
      <c r="R96" s="7" t="inlineStr">
        <is>
          <t>רשומת אב של ציוד</t>
        </is>
      </c>
      <c r="S96" s="7" t="inlineStr">
        <is>
          <t>Equipment master record</t>
        </is>
      </c>
      <c r="T96" s="7" t="inlineStr">
        <is>
          <t>2. ציוד ונתוני מאסטר</t>
        </is>
      </c>
      <c r="U96" s="7" t="inlineStr">
        <is>
          <t>A4</t>
        </is>
      </c>
      <c r="V96" s="9">
        <f>HYPERLINK("#'"&amp;T96&amp;"'!"&amp;U96,"➜ פתח")</f>
        <v/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7" t="inlineStr">
        <is>
          <t>טרנזקציה</t>
        </is>
      </c>
      <c r="Q97" s="8" t="inlineStr">
        <is>
          <t>IE03</t>
        </is>
      </c>
      <c r="R97" s="7" t="inlineStr">
        <is>
          <t>רשומת אב של ציוד</t>
        </is>
      </c>
      <c r="S97" s="7" t="inlineStr">
        <is>
          <t>Equipment master record</t>
        </is>
      </c>
      <c r="T97" s="7" t="inlineStr">
        <is>
          <t>2. ציוד ונתוני מאסטר</t>
        </is>
      </c>
      <c r="U97" s="7" t="inlineStr">
        <is>
          <t>A4</t>
        </is>
      </c>
      <c r="V97" s="9">
        <f>HYPERLINK("#'"&amp;T97&amp;"'!"&amp;U97,"➜ פתח")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7" t="inlineStr">
        <is>
          <t>טרנזקציה</t>
        </is>
      </c>
      <c r="Q98" s="8" t="inlineStr">
        <is>
          <t>IH08</t>
        </is>
      </c>
      <c r="R98" s="7" t="inlineStr">
        <is>
          <t>רשומת אב של ציוד</t>
        </is>
      </c>
      <c r="S98" s="7" t="inlineStr">
        <is>
          <t>Equipment master record</t>
        </is>
      </c>
      <c r="T98" s="7" t="inlineStr">
        <is>
          <t>2. ציוד ונתוני מאסטר</t>
        </is>
      </c>
      <c r="U98" s="7" t="inlineStr">
        <is>
          <t>A4</t>
        </is>
      </c>
      <c r="V98" s="9">
        <f>HYPERLINK("#'"&amp;T98&amp;"'!"&amp;U98,"➜ פתח")</f>
        <v/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7" t="inlineStr">
        <is>
          <t>טרנזקציה</t>
        </is>
      </c>
      <c r="Q99" s="8" t="inlineStr">
        <is>
          <t>IE05</t>
        </is>
      </c>
      <c r="R99" s="7" t="inlineStr">
        <is>
          <t>רשומת אב של ציוד</t>
        </is>
      </c>
      <c r="S99" s="7" t="inlineStr">
        <is>
          <t>Equipment master record</t>
        </is>
      </c>
      <c r="T99" s="7" t="inlineStr">
        <is>
          <t>2. ציוד ונתוני מאסטר</t>
        </is>
      </c>
      <c r="U99" s="7" t="inlineStr">
        <is>
          <t>A4</t>
        </is>
      </c>
      <c r="V99" s="9">
        <f>HYPERLINK("#'"&amp;T99&amp;"'!"&amp;U99,"➜ פתח")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7" t="inlineStr">
        <is>
          <t>פונקציה</t>
        </is>
      </c>
      <c r="Q100" s="8" t="inlineStr">
        <is>
          <t>BAPI_EQUI_CREATE</t>
        </is>
      </c>
      <c r="R100" s="7" t="inlineStr">
        <is>
          <t>יצירת ציוד דרך ממשק תקני</t>
        </is>
      </c>
      <c r="S100" s="7" t="inlineStr">
        <is>
          <t>Equipment master record</t>
        </is>
      </c>
      <c r="T100" s="7" t="inlineStr">
        <is>
          <t>2. ציוד ונתוני מאסטר</t>
        </is>
      </c>
      <c r="U100" s="7" t="inlineStr">
        <is>
          <t>G4</t>
        </is>
      </c>
      <c r="V100" s="9">
        <f>HYPERLINK("#'"&amp;T100&amp;"'!"&amp;U100,"➜ פתח")</f>
        <v/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7" t="inlineStr">
        <is>
          <t>פונקציה</t>
        </is>
      </c>
      <c r="Q101" s="8" t="inlineStr">
        <is>
          <t>BAPI_EQUI_CHANGE</t>
        </is>
      </c>
      <c r="R101" s="7" t="inlineStr">
        <is>
          <t>שינוי ציוד</t>
        </is>
      </c>
      <c r="S101" s="7" t="inlineStr">
        <is>
          <t>Equipment master record</t>
        </is>
      </c>
      <c r="T101" s="7" t="inlineStr">
        <is>
          <t>2. ציוד ונתוני מאסטר</t>
        </is>
      </c>
      <c r="U101" s="7" t="inlineStr">
        <is>
          <t>G4</t>
        </is>
      </c>
      <c r="V101" s="9">
        <f>HYPERLINK("#'"&amp;T101&amp;"'!"&amp;U101,"➜ פתח")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7" t="inlineStr">
        <is>
          <t>פונקציה</t>
        </is>
      </c>
      <c r="Q102" s="8" t="inlineStr">
        <is>
          <t>BAPI_EQUI_GETDETAIL</t>
        </is>
      </c>
      <c r="R102" s="7" t="inlineStr">
        <is>
          <t>שליפת פרטי ציוד</t>
        </is>
      </c>
      <c r="S102" s="7" t="inlineStr">
        <is>
          <t>Equipment master record</t>
        </is>
      </c>
      <c r="T102" s="7" t="inlineStr">
        <is>
          <t>2. ציוד ונתוני מאסטר</t>
        </is>
      </c>
      <c r="U102" s="7" t="inlineStr">
        <is>
          <t>G4</t>
        </is>
      </c>
      <c r="V102" s="9">
        <f>HYPERLINK("#'"&amp;T102&amp;"'!"&amp;U102,"➜ פתח")</f>
        <v/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7" t="inlineStr">
        <is>
          <t>פונקציה</t>
        </is>
      </c>
      <c r="Q103" s="8" t="inlineStr">
        <is>
          <t>BAPI_EQMT_INSTALL</t>
        </is>
      </c>
      <c r="R103" s="7" t="inlineStr">
        <is>
          <t>התקנת ציוד במיקום/ציוד אב</t>
        </is>
      </c>
      <c r="S103" s="7" t="inlineStr">
        <is>
          <t>Equipment master record</t>
        </is>
      </c>
      <c r="T103" s="7" t="inlineStr">
        <is>
          <t>2. ציוד ונתוני מאסטר</t>
        </is>
      </c>
      <c r="U103" s="7" t="inlineStr">
        <is>
          <t>G4</t>
        </is>
      </c>
      <c r="V103" s="9">
        <f>HYPERLINK("#'"&amp;T103&amp;"'!"&amp;U103,"➜ פתח")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7" t="inlineStr">
        <is>
          <t>תוכנית</t>
        </is>
      </c>
      <c r="Q104" s="8" t="inlineStr">
        <is>
          <t>RIEQUI20</t>
        </is>
      </c>
      <c r="R104" s="7" t="inlineStr">
        <is>
          <t>רשימת ציוד (IH08)</t>
        </is>
      </c>
      <c r="S104" s="7" t="inlineStr">
        <is>
          <t>Equipment master record</t>
        </is>
      </c>
      <c r="T104" s="7" t="inlineStr">
        <is>
          <t>2. ציוד ונתוני מאסטר</t>
        </is>
      </c>
      <c r="U104" s="7" t="inlineStr">
        <is>
          <t>I4</t>
        </is>
      </c>
      <c r="V104" s="9">
        <f>HYPERLINK("#'"&amp;T104&amp;"'!"&amp;U104,"➜ פתח")</f>
        <v/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7" t="inlineStr">
        <is>
          <t>תוכנית</t>
        </is>
      </c>
      <c r="Q105" s="8" t="inlineStr">
        <is>
          <t>RIEQUI00</t>
        </is>
      </c>
      <c r="R105" s="7" t="inlineStr">
        <is>
          <t>ניתוח היסטוריית התקנות הציוד</t>
        </is>
      </c>
      <c r="S105" s="7" t="inlineStr">
        <is>
          <t>Equipment master record</t>
        </is>
      </c>
      <c r="T105" s="7" t="inlineStr">
        <is>
          <t>2. ציוד ונתוני מאסטר</t>
        </is>
      </c>
      <c r="U105" s="7" t="inlineStr">
        <is>
          <t>I4</t>
        </is>
      </c>
      <c r="V105" s="9">
        <f>HYPERLINK("#'"&amp;T105&amp;"'!"&amp;U105,"➜ פתח")</f>
        <v/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7" t="inlineStr">
        <is>
          <t>Fiori</t>
        </is>
      </c>
      <c r="Q106" s="8" t="inlineStr">
        <is>
          <t>Manage Technical Objects (F2079)</t>
        </is>
      </c>
      <c r="R106" s="7" t="inlineStr">
        <is>
          <t>רשומת אב של ציוד</t>
        </is>
      </c>
      <c r="S106" s="7" t="inlineStr">
        <is>
          <t>Equipment master record</t>
        </is>
      </c>
      <c r="T106" s="7" t="inlineStr">
        <is>
          <t>2. ציוד ונתוני מאסטר</t>
        </is>
      </c>
      <c r="U106" s="7" t="inlineStr">
        <is>
          <t>N4</t>
        </is>
      </c>
      <c r="V106" s="9">
        <f>HYPERLINK("#'"&amp;T106&amp;"'!"&amp;U106,"➜ פתח")</f>
        <v/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7" t="inlineStr">
        <is>
          <t>טבלה</t>
        </is>
      </c>
      <c r="Q107" s="8" t="inlineStr">
        <is>
          <t>EQKT</t>
        </is>
      </c>
      <c r="R107" s="7" t="inlineStr">
        <is>
          <t>טקסטים (תיאורים) של ציוד</t>
        </is>
      </c>
      <c r="S107" s="7" t="inlineStr">
        <is>
          <t>Equipment short texts</t>
        </is>
      </c>
      <c r="T107" s="7" t="inlineStr">
        <is>
          <t>2. ציוד ונתוני מאסטר</t>
        </is>
      </c>
      <c r="U107" s="7" t="inlineStr">
        <is>
          <t>A11</t>
        </is>
      </c>
      <c r="V107" s="9">
        <f>HYPERLINK("#'"&amp;T107&amp;"'!"&amp;U107,"➜ פתח")</f>
        <v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7" t="inlineStr">
        <is>
          <t>שדה</t>
        </is>
      </c>
      <c r="Q108" s="8" t="inlineStr">
        <is>
          <t>EQUNR</t>
        </is>
      </c>
      <c r="R108" s="7" t="inlineStr">
        <is>
          <t>מספר ציוד</t>
        </is>
      </c>
      <c r="S108" s="7" t="inlineStr">
        <is>
          <t>Equipment number</t>
        </is>
      </c>
      <c r="T108" s="7" t="inlineStr">
        <is>
          <t>2. ציוד ונתוני מאסטר</t>
        </is>
      </c>
      <c r="U108" s="7" t="inlineStr">
        <is>
          <t>D12</t>
        </is>
      </c>
      <c r="V108" s="9">
        <f>HYPERLINK("#'"&amp;T108&amp;"'!"&amp;U108,"➜ פתח")</f>
        <v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7" t="inlineStr">
        <is>
          <t>שדה</t>
        </is>
      </c>
      <c r="Q109" s="8" t="inlineStr">
        <is>
          <t>SPRAS</t>
        </is>
      </c>
      <c r="R109" s="7" t="inlineStr">
        <is>
          <t>שפה</t>
        </is>
      </c>
      <c r="S109" s="7" t="inlineStr">
        <is>
          <t>Language key</t>
        </is>
      </c>
      <c r="T109" s="7" t="inlineStr">
        <is>
          <t>2. ציוד ונתוני מאסטר</t>
        </is>
      </c>
      <c r="U109" s="7" t="inlineStr">
        <is>
          <t>D13</t>
        </is>
      </c>
      <c r="V109" s="9">
        <f>HYPERLINK("#'"&amp;T109&amp;"'!"&amp;U109,"➜ פתח")</f>
        <v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7" t="inlineStr">
        <is>
          <t>שדה</t>
        </is>
      </c>
      <c r="Q110" s="8" t="inlineStr">
        <is>
          <t>EQKTX</t>
        </is>
      </c>
      <c r="R110" s="7" t="inlineStr">
        <is>
          <t>תיאור הציוד</t>
        </is>
      </c>
      <c r="S110" s="7" t="inlineStr">
        <is>
          <t>Equipment description</t>
        </is>
      </c>
      <c r="T110" s="7" t="inlineStr">
        <is>
          <t>2. ציוד ונתוני מאסטר</t>
        </is>
      </c>
      <c r="U110" s="7" t="inlineStr">
        <is>
          <t>D14</t>
        </is>
      </c>
      <c r="V110" s="9">
        <f>HYPERLINK("#'"&amp;T110&amp;"'!"&amp;U110,"➜ פתח")</f>
        <v/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7" t="inlineStr">
        <is>
          <t>טרנזקציה</t>
        </is>
      </c>
      <c r="Q111" s="8" t="inlineStr">
        <is>
          <t>IE02</t>
        </is>
      </c>
      <c r="R111" s="7" t="inlineStr">
        <is>
          <t>טקסטים (תיאורים) של ציוד</t>
        </is>
      </c>
      <c r="S111" s="7" t="inlineStr">
        <is>
          <t>Equipment short texts</t>
        </is>
      </c>
      <c r="T111" s="7" t="inlineStr">
        <is>
          <t>2. ציוד ונתוני מאסטר</t>
        </is>
      </c>
      <c r="U111" s="7" t="inlineStr">
        <is>
          <t>A12</t>
        </is>
      </c>
      <c r="V111" s="9">
        <f>HYPERLINK("#'"&amp;T111&amp;"'!"&amp;U111,"➜ פתח")</f>
        <v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7" t="inlineStr">
        <is>
          <t>טרנזקציה</t>
        </is>
      </c>
      <c r="Q112" s="8" t="inlineStr">
        <is>
          <t>IE03</t>
        </is>
      </c>
      <c r="R112" s="7" t="inlineStr">
        <is>
          <t>טקסטים (תיאורים) של ציוד</t>
        </is>
      </c>
      <c r="S112" s="7" t="inlineStr">
        <is>
          <t>Equipment short texts</t>
        </is>
      </c>
      <c r="T112" s="7" t="inlineStr">
        <is>
          <t>2. ציוד ונתוני מאסטר</t>
        </is>
      </c>
      <c r="U112" s="7" t="inlineStr">
        <is>
          <t>A12</t>
        </is>
      </c>
      <c r="V112" s="9">
        <f>HYPERLINK("#'"&amp;T112&amp;"'!"&amp;U112,"➜ פתח")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7" t="inlineStr">
        <is>
          <t>פונקציה</t>
        </is>
      </c>
      <c r="Q113" s="8" t="inlineStr">
        <is>
          <t>EQUIPMENT_TEXT_READ</t>
        </is>
      </c>
      <c r="R113" s="7" t="inlineStr">
        <is>
          <t>קריאת טקסט ציוד</t>
        </is>
      </c>
      <c r="S113" s="7" t="inlineStr">
        <is>
          <t>Equipment short texts</t>
        </is>
      </c>
      <c r="T113" s="7" t="inlineStr">
        <is>
          <t>2. ציוד ונתוני מאסטר</t>
        </is>
      </c>
      <c r="U113" s="7" t="inlineStr">
        <is>
          <t>G12</t>
        </is>
      </c>
      <c r="V113" s="9">
        <f>HYPERLINK("#'"&amp;T113&amp;"'!"&amp;U113,"➜ פתח")</f>
        <v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7" t="inlineStr">
        <is>
          <t>תוכנית</t>
        </is>
      </c>
      <c r="Q114" s="8" t="inlineStr">
        <is>
          <t>RIEQUI20</t>
        </is>
      </c>
      <c r="R114" s="7" t="inlineStr">
        <is>
          <t>רשימת ציוד עם תיאורים</t>
        </is>
      </c>
      <c r="S114" s="7" t="inlineStr">
        <is>
          <t>Equipment short texts</t>
        </is>
      </c>
      <c r="T114" s="7" t="inlineStr">
        <is>
          <t>2. ציוד ונתוני מאסטר</t>
        </is>
      </c>
      <c r="U114" s="7" t="inlineStr">
        <is>
          <t>I12</t>
        </is>
      </c>
      <c r="V114" s="9">
        <f>HYPERLINK("#'"&amp;T114&amp;"'!"&amp;U114,"➜ פתח")</f>
        <v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7" t="inlineStr">
        <is>
          <t>Fiori</t>
        </is>
      </c>
      <c r="Q115" s="8" t="inlineStr">
        <is>
          <t>Manage Technical Objects (F2079)</t>
        </is>
      </c>
      <c r="R115" s="7" t="inlineStr">
        <is>
          <t>טקסטים (תיאורים) של ציוד</t>
        </is>
      </c>
      <c r="S115" s="7" t="inlineStr">
        <is>
          <t>Equipment short texts</t>
        </is>
      </c>
      <c r="T115" s="7" t="inlineStr">
        <is>
          <t>2. ציוד ונתוני מאסטר</t>
        </is>
      </c>
      <c r="U115" s="7" t="inlineStr">
        <is>
          <t>N12</t>
        </is>
      </c>
      <c r="V115" s="9">
        <f>HYPERLINK("#'"&amp;T115&amp;"'!"&amp;U115,"➜ פתח")</f>
        <v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7" t="inlineStr">
        <is>
          <t>טבלה</t>
        </is>
      </c>
      <c r="Q116" s="8" t="inlineStr">
        <is>
          <t>EQUZ</t>
        </is>
      </c>
      <c r="R116" s="7" t="inlineStr">
        <is>
          <t>פלח זמן של ציוד (התקנות/שיוך)</t>
        </is>
      </c>
      <c r="S116" s="7" t="inlineStr">
        <is>
          <t>Equipment time segment</t>
        </is>
      </c>
      <c r="T116" s="7" t="inlineStr">
        <is>
          <t>2. ציוד ונתוני מאסטר</t>
        </is>
      </c>
      <c r="U116" s="7" t="inlineStr">
        <is>
          <t>A16</t>
        </is>
      </c>
      <c r="V116" s="9">
        <f>HYPERLINK("#'"&amp;T116&amp;"'!"&amp;U116,"➜ פתח")</f>
        <v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7" t="inlineStr">
        <is>
          <t>שדה</t>
        </is>
      </c>
      <c r="Q117" s="8" t="inlineStr">
        <is>
          <t>EQUNR</t>
        </is>
      </c>
      <c r="R117" s="7" t="inlineStr">
        <is>
          <t>מספר ציוד</t>
        </is>
      </c>
      <c r="S117" s="7" t="inlineStr">
        <is>
          <t>Equipment number</t>
        </is>
      </c>
      <c r="T117" s="7" t="inlineStr">
        <is>
          <t>2. ציוד ונתוני מאסטר</t>
        </is>
      </c>
      <c r="U117" s="7" t="inlineStr">
        <is>
          <t>D17</t>
        </is>
      </c>
      <c r="V117" s="9">
        <f>HYPERLINK("#'"&amp;T117&amp;"'!"&amp;U117,"➜ פתח")</f>
        <v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7" t="inlineStr">
        <is>
          <t>שדה</t>
        </is>
      </c>
      <c r="Q118" s="8" t="inlineStr">
        <is>
          <t>DATBI</t>
        </is>
      </c>
      <c r="R118" s="7" t="inlineStr">
        <is>
          <t>תקף עד</t>
        </is>
      </c>
      <c r="S118" s="7" t="inlineStr">
        <is>
          <t>Valid-to date of segment</t>
        </is>
      </c>
      <c r="T118" s="7" t="inlineStr">
        <is>
          <t>2. ציוד ונתוני מאסטר</t>
        </is>
      </c>
      <c r="U118" s="7" t="inlineStr">
        <is>
          <t>D18</t>
        </is>
      </c>
      <c r="V118" s="9">
        <f>HYPERLINK("#'"&amp;T118&amp;"'!"&amp;U118,"➜ פתח")</f>
        <v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7" t="inlineStr">
        <is>
          <t>שדה</t>
        </is>
      </c>
      <c r="Q119" s="8" t="inlineStr">
        <is>
          <t>HEQUI</t>
        </is>
      </c>
      <c r="R119" s="7" t="inlineStr">
        <is>
          <t>ציוד עליון</t>
        </is>
      </c>
      <c r="S119" s="7" t="inlineStr">
        <is>
          <t>Superior equipment</t>
        </is>
      </c>
      <c r="T119" s="7" t="inlineStr">
        <is>
          <t>2. ציוד ונתוני מאסטר</t>
        </is>
      </c>
      <c r="U119" s="7" t="inlineStr">
        <is>
          <t>D19</t>
        </is>
      </c>
      <c r="V119" s="9">
        <f>HYPERLINK("#'"&amp;T119&amp;"'!"&amp;U119,"➜ פתח")</f>
        <v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7" t="inlineStr">
        <is>
          <t>שדה</t>
        </is>
      </c>
      <c r="Q120" s="8" t="inlineStr">
        <is>
          <t>ILOAN</t>
        </is>
      </c>
      <c r="R120" s="7" t="inlineStr">
        <is>
          <t>מפתח מיקום/חיוב</t>
        </is>
      </c>
      <c r="S120" s="7" t="inlineStr">
        <is>
          <t>Location/account key</t>
        </is>
      </c>
      <c r="T120" s="7" t="inlineStr">
        <is>
          <t>2. ציוד ונתוני מאסטר</t>
        </is>
      </c>
      <c r="U120" s="7" t="inlineStr">
        <is>
          <t>D20</t>
        </is>
      </c>
      <c r="V120" s="9">
        <f>HYPERLINK("#'"&amp;T120&amp;"'!"&amp;U120,"➜ פתח")</f>
        <v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7" t="inlineStr">
        <is>
          <t>שדה</t>
        </is>
      </c>
      <c r="Q121" s="8" t="inlineStr">
        <is>
          <t>EQLFN</t>
        </is>
      </c>
      <c r="R121" s="7" t="inlineStr">
        <is>
          <t>מונה פלח זמן</t>
        </is>
      </c>
      <c r="S121" s="7" t="inlineStr">
        <is>
          <t>Time segment counter</t>
        </is>
      </c>
      <c r="T121" s="7" t="inlineStr">
        <is>
          <t>2. ציוד ונתוני מאסטר</t>
        </is>
      </c>
      <c r="U121" s="7" t="inlineStr">
        <is>
          <t>D21</t>
        </is>
      </c>
      <c r="V121" s="9">
        <f>HYPERLINK("#'"&amp;T121&amp;"'!"&amp;U121,"➜ פתח")</f>
        <v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7" t="inlineStr">
        <is>
          <t>טרנזקציה</t>
        </is>
      </c>
      <c r="Q122" s="8" t="inlineStr">
        <is>
          <t>IE02</t>
        </is>
      </c>
      <c r="R122" s="7" t="inlineStr">
        <is>
          <t>פלח זמן של ציוד (התקנות/שיוך)</t>
        </is>
      </c>
      <c r="S122" s="7" t="inlineStr">
        <is>
          <t>Equipment time segment</t>
        </is>
      </c>
      <c r="T122" s="7" t="inlineStr">
        <is>
          <t>2. ציוד ונתוני מאסטר</t>
        </is>
      </c>
      <c r="U122" s="7" t="inlineStr">
        <is>
          <t>A17</t>
        </is>
      </c>
      <c r="V122" s="9">
        <f>HYPERLINK("#'"&amp;T122&amp;"'!"&amp;U122,"➜ פתח")</f>
        <v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7" t="inlineStr">
        <is>
          <t>טרנזקציה</t>
        </is>
      </c>
      <c r="Q123" s="8" t="inlineStr">
        <is>
          <t>IE4N (התקנה</t>
        </is>
      </c>
      <c r="R123" s="7" t="inlineStr">
        <is>
          <t>פלח זמן של ציוד (התקנות/שיוך)</t>
        </is>
      </c>
      <c r="S123" s="7" t="inlineStr">
        <is>
          <t>Equipment time segment</t>
        </is>
      </c>
      <c r="T123" s="7" t="inlineStr">
        <is>
          <t>2. ציוד ונתוני מאסטר</t>
        </is>
      </c>
      <c r="U123" s="7" t="inlineStr">
        <is>
          <t>A17</t>
        </is>
      </c>
      <c r="V123" s="9">
        <f>HYPERLINK("#'"&amp;T123&amp;"'!"&amp;U123,"➜ פתח")</f>
        <v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7" t="inlineStr">
        <is>
          <t>טרנזקציה</t>
        </is>
      </c>
      <c r="Q124" s="8" t="inlineStr">
        <is>
          <t>פירוק)</t>
        </is>
      </c>
      <c r="R124" s="7" t="inlineStr">
        <is>
          <t>פלח זמן של ציוד (התקנות/שיוך)</t>
        </is>
      </c>
      <c r="S124" s="7" t="inlineStr">
        <is>
          <t>Equipment time segment</t>
        </is>
      </c>
      <c r="T124" s="7" t="inlineStr">
        <is>
          <t>2. ציוד ונתוני מאסטר</t>
        </is>
      </c>
      <c r="U124" s="7" t="inlineStr">
        <is>
          <t>A17</t>
        </is>
      </c>
      <c r="V124" s="9">
        <f>HYPERLINK("#'"&amp;T124&amp;"'!"&amp;U124,"➜ פתח")</f>
        <v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7" t="inlineStr">
        <is>
          <t>פונקציה</t>
        </is>
      </c>
      <c r="Q125" s="8" t="inlineStr">
        <is>
          <t>EQUI_TIMESEGMENT_READ</t>
        </is>
      </c>
      <c r="R125" s="7" t="inlineStr">
        <is>
          <t>קריאת פלחי הזמן של הציוד</t>
        </is>
      </c>
      <c r="S125" s="7" t="inlineStr">
        <is>
          <t>Equipment time segment</t>
        </is>
      </c>
      <c r="T125" s="7" t="inlineStr">
        <is>
          <t>2. ציוד ונתוני מאסטר</t>
        </is>
      </c>
      <c r="U125" s="7" t="inlineStr">
        <is>
          <t>G17</t>
        </is>
      </c>
      <c r="V125" s="9">
        <f>HYPERLINK("#'"&amp;T125&amp;"'!"&amp;U125,"➜ פתח")</f>
        <v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7" t="inlineStr">
        <is>
          <t>פונקציה</t>
        </is>
      </c>
      <c r="Q126" s="8" t="inlineStr">
        <is>
          <t>EQUIPMENT_DISMANTLE</t>
        </is>
      </c>
      <c r="R126" s="7" t="inlineStr">
        <is>
          <t>פירוק ציוד מהמיקום/ציוד אב</t>
        </is>
      </c>
      <c r="S126" s="7" t="inlineStr">
        <is>
          <t>Equipment time segment</t>
        </is>
      </c>
      <c r="T126" s="7" t="inlineStr">
        <is>
          <t>2. ציוד ונתוני מאסטר</t>
        </is>
      </c>
      <c r="U126" s="7" t="inlineStr">
        <is>
          <t>G17</t>
        </is>
      </c>
      <c r="V126" s="9">
        <f>HYPERLINK("#'"&amp;T126&amp;"'!"&amp;U126,"➜ פתח")</f>
        <v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7" t="inlineStr">
        <is>
          <t>תוכנית</t>
        </is>
      </c>
      <c r="Q127" s="8" t="inlineStr">
        <is>
          <t>RIEQUI00</t>
        </is>
      </c>
      <c r="R127" s="7" t="inlineStr">
        <is>
          <t>ניתוח שינויי התקנה והיסטוריה</t>
        </is>
      </c>
      <c r="S127" s="7" t="inlineStr">
        <is>
          <t>Equipment time segment</t>
        </is>
      </c>
      <c r="T127" s="7" t="inlineStr">
        <is>
          <t>2. ציוד ונתוני מאסטר</t>
        </is>
      </c>
      <c r="U127" s="7" t="inlineStr">
        <is>
          <t>I17</t>
        </is>
      </c>
      <c r="V127" s="9">
        <f>HYPERLINK("#'"&amp;T127&amp;"'!"&amp;U127,"➜ פתח")</f>
        <v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7" t="inlineStr">
        <is>
          <t>Fiori</t>
        </is>
      </c>
      <c r="Q128" s="8" t="inlineStr">
        <is>
          <t>Manage Technical Objects (F2079)</t>
        </is>
      </c>
      <c r="R128" s="7" t="inlineStr">
        <is>
          <t>פלח זמן של ציוד (התקנות/שיוך)</t>
        </is>
      </c>
      <c r="S128" s="7" t="inlineStr">
        <is>
          <t>Equipment time segment</t>
        </is>
      </c>
      <c r="T128" s="7" t="inlineStr">
        <is>
          <t>2. ציוד ונתוני מאסטר</t>
        </is>
      </c>
      <c r="U128" s="7" t="inlineStr">
        <is>
          <t>N17</t>
        </is>
      </c>
      <c r="V128" s="9">
        <f>HYPERLINK("#'"&amp;T128&amp;"'!"&amp;U128,"➜ פתח")</f>
        <v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7" t="inlineStr">
        <is>
          <t>טבלה</t>
        </is>
      </c>
      <c r="Q129" s="8" t="inlineStr">
        <is>
          <t>OBJK</t>
        </is>
      </c>
      <c r="R129" s="7" t="inlineStr">
        <is>
          <t>רשימת אובייקטים / מספרים סידוריים</t>
        </is>
      </c>
      <c r="S129" s="7" t="inlineStr">
        <is>
          <t>Object list / serial assignment</t>
        </is>
      </c>
      <c r="T129" s="7" t="inlineStr">
        <is>
          <t>2. ציוד ונתוני מאסטר</t>
        </is>
      </c>
      <c r="U129" s="7" t="inlineStr">
        <is>
          <t>A23</t>
        </is>
      </c>
      <c r="V129" s="9">
        <f>HYPERLINK("#'"&amp;T129&amp;"'!"&amp;U129,"➜ פתח")</f>
        <v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7" t="inlineStr">
        <is>
          <t>שדה</t>
        </is>
      </c>
      <c r="Q130" s="8" t="inlineStr">
        <is>
          <t>OBKNR</t>
        </is>
      </c>
      <c r="R130" s="7" t="inlineStr">
        <is>
          <t>מספר רשומת אובייקט</t>
        </is>
      </c>
      <c r="S130" s="7" t="inlineStr">
        <is>
          <t>Object list number</t>
        </is>
      </c>
      <c r="T130" s="7" t="inlineStr">
        <is>
          <t>2. ציוד ונתוני מאסטר</t>
        </is>
      </c>
      <c r="U130" s="7" t="inlineStr">
        <is>
          <t>D24</t>
        </is>
      </c>
      <c r="V130" s="9">
        <f>HYPERLINK("#'"&amp;T130&amp;"'!"&amp;U130,"➜ פתח")</f>
        <v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7" t="inlineStr">
        <is>
          <t>שדה</t>
        </is>
      </c>
      <c r="Q131" s="8" t="inlineStr">
        <is>
          <t>EQUNR</t>
        </is>
      </c>
      <c r="R131" s="7" t="inlineStr">
        <is>
          <t>מספר ציוד</t>
        </is>
      </c>
      <c r="S131" s="7" t="inlineStr">
        <is>
          <t>Equipment number</t>
        </is>
      </c>
      <c r="T131" s="7" t="inlineStr">
        <is>
          <t>2. ציוד ונתוני מאסטר</t>
        </is>
      </c>
      <c r="U131" s="7" t="inlineStr">
        <is>
          <t>D25</t>
        </is>
      </c>
      <c r="V131" s="9">
        <f>HYPERLINK("#'"&amp;T131&amp;"'!"&amp;U131,"➜ פתח")</f>
        <v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7" t="inlineStr">
        <is>
          <t>שדה</t>
        </is>
      </c>
      <c r="Q132" s="8" t="inlineStr">
        <is>
          <t>SERNR</t>
        </is>
      </c>
      <c r="R132" s="7" t="inlineStr">
        <is>
          <t>מספר סידורי</t>
        </is>
      </c>
      <c r="S132" s="7" t="inlineStr">
        <is>
          <t>Serial number</t>
        </is>
      </c>
      <c r="T132" s="7" t="inlineStr">
        <is>
          <t>2. ציוד ונתוני מאסטר</t>
        </is>
      </c>
      <c r="U132" s="7" t="inlineStr">
        <is>
          <t>D26</t>
        </is>
      </c>
      <c r="V132" s="9">
        <f>HYPERLINK("#'"&amp;T132&amp;"'!"&amp;U132,"➜ פתח")</f>
        <v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7" t="inlineStr">
        <is>
          <t>שדה</t>
        </is>
      </c>
      <c r="Q133" s="8" t="inlineStr">
        <is>
          <t>MATNR</t>
        </is>
      </c>
      <c r="R133" s="7" t="inlineStr">
        <is>
          <t>חומר</t>
        </is>
      </c>
      <c r="S133" s="7" t="inlineStr">
        <is>
          <t>Material number</t>
        </is>
      </c>
      <c r="T133" s="7" t="inlineStr">
        <is>
          <t>2. ציוד ונתוני מאסטר</t>
        </is>
      </c>
      <c r="U133" s="7" t="inlineStr">
        <is>
          <t>D27</t>
        </is>
      </c>
      <c r="V133" s="9">
        <f>HYPERLINK("#'"&amp;T133&amp;"'!"&amp;U133,"➜ פתח")</f>
        <v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7" t="inlineStr">
        <is>
          <t>שדה</t>
        </is>
      </c>
      <c r="Q134" s="8" t="inlineStr">
        <is>
          <t>TASER</t>
        </is>
      </c>
      <c r="R134" s="7" t="inlineStr">
        <is>
          <t>שימוש פרופיל סריאלי</t>
        </is>
      </c>
      <c r="S134" s="7" t="inlineStr">
        <is>
          <t>Serial number profile usage</t>
        </is>
      </c>
      <c r="T134" s="7" t="inlineStr">
        <is>
          <t>2. ציוד ונתוני מאסטר</t>
        </is>
      </c>
      <c r="U134" s="7" t="inlineStr">
        <is>
          <t>D28</t>
        </is>
      </c>
      <c r="V134" s="9">
        <f>HYPERLINK("#'"&amp;T134&amp;"'!"&amp;U134,"➜ פתח")</f>
        <v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7" t="inlineStr">
        <is>
          <t>טרנזקציה</t>
        </is>
      </c>
      <c r="Q135" s="8" t="inlineStr">
        <is>
          <t>IQ01</t>
        </is>
      </c>
      <c r="R135" s="7" t="inlineStr">
        <is>
          <t>רשימת אובייקטים / מספרים סידוריים</t>
        </is>
      </c>
      <c r="S135" s="7" t="inlineStr">
        <is>
          <t>Object list / serial assignment</t>
        </is>
      </c>
      <c r="T135" s="7" t="inlineStr">
        <is>
          <t>2. ציוד ונתוני מאסטר</t>
        </is>
      </c>
      <c r="U135" s="7" t="inlineStr">
        <is>
          <t>A24</t>
        </is>
      </c>
      <c r="V135" s="9">
        <f>HYPERLINK("#'"&amp;T135&amp;"'!"&amp;U135,"➜ פתח")</f>
        <v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7" t="inlineStr">
        <is>
          <t>טרנזקציה</t>
        </is>
      </c>
      <c r="Q136" s="8" t="inlineStr">
        <is>
          <t>IQ02</t>
        </is>
      </c>
      <c r="R136" s="7" t="inlineStr">
        <is>
          <t>רשימת אובייקטים / מספרים סידוריים</t>
        </is>
      </c>
      <c r="S136" s="7" t="inlineStr">
        <is>
          <t>Object list / serial assignment</t>
        </is>
      </c>
      <c r="T136" s="7" t="inlineStr">
        <is>
          <t>2. ציוד ונתוני מאסטר</t>
        </is>
      </c>
      <c r="U136" s="7" t="inlineStr">
        <is>
          <t>A24</t>
        </is>
      </c>
      <c r="V136" s="9">
        <f>HYPERLINK("#'"&amp;T136&amp;"'!"&amp;U136,"➜ פתח")</f>
        <v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7" t="inlineStr">
        <is>
          <t>טרנזקציה</t>
        </is>
      </c>
      <c r="Q137" s="8" t="inlineStr">
        <is>
          <t>IQ03</t>
        </is>
      </c>
      <c r="R137" s="7" t="inlineStr">
        <is>
          <t>רשימת אובייקטים / מספרים סידוריים</t>
        </is>
      </c>
      <c r="S137" s="7" t="inlineStr">
        <is>
          <t>Object list / serial assignment</t>
        </is>
      </c>
      <c r="T137" s="7" t="inlineStr">
        <is>
          <t>2. ציוד ונתוני מאסטר</t>
        </is>
      </c>
      <c r="U137" s="7" t="inlineStr">
        <is>
          <t>A24</t>
        </is>
      </c>
      <c r="V137" s="9">
        <f>HYPERLINK("#'"&amp;T137&amp;"'!"&amp;U137,"➜ פתח")</f>
        <v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7" t="inlineStr">
        <is>
          <t>טרנזקציה</t>
        </is>
      </c>
      <c r="Q138" s="8" t="inlineStr">
        <is>
          <t>IQ08</t>
        </is>
      </c>
      <c r="R138" s="7" t="inlineStr">
        <is>
          <t>רשימת אובייקטים / מספרים סידוריים</t>
        </is>
      </c>
      <c r="S138" s="7" t="inlineStr">
        <is>
          <t>Object list / serial assignment</t>
        </is>
      </c>
      <c r="T138" s="7" t="inlineStr">
        <is>
          <t>2. ציוד ונתוני מאסטר</t>
        </is>
      </c>
      <c r="U138" s="7" t="inlineStr">
        <is>
          <t>A24</t>
        </is>
      </c>
      <c r="V138" s="9">
        <f>HYPERLINK("#'"&amp;T138&amp;"'!"&amp;U138,"➜ פתח")</f>
        <v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7" t="inlineStr">
        <is>
          <t>טרנזקציה</t>
        </is>
      </c>
      <c r="Q139" s="8" t="inlineStr">
        <is>
          <t>IQ09</t>
        </is>
      </c>
      <c r="R139" s="7" t="inlineStr">
        <is>
          <t>רשימת אובייקטים / מספרים סידוריים</t>
        </is>
      </c>
      <c r="S139" s="7" t="inlineStr">
        <is>
          <t>Object list / serial assignment</t>
        </is>
      </c>
      <c r="T139" s="7" t="inlineStr">
        <is>
          <t>2. ציוד ונתוני מאסטר</t>
        </is>
      </c>
      <c r="U139" s="7" t="inlineStr">
        <is>
          <t>A24</t>
        </is>
      </c>
      <c r="V139" s="9">
        <f>HYPERLINK("#'"&amp;T139&amp;"'!"&amp;U139,"➜ פתח")</f>
        <v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7" t="inlineStr">
        <is>
          <t>פונקציה</t>
        </is>
      </c>
      <c r="Q140" s="8" t="inlineStr">
        <is>
          <t>SERIAL_NUMBER_CREATE</t>
        </is>
      </c>
      <c r="R140" s="7" t="inlineStr">
        <is>
          <t>יצירת מספר סידורי</t>
        </is>
      </c>
      <c r="S140" s="7" t="inlineStr">
        <is>
          <t>Object list / serial assignment</t>
        </is>
      </c>
      <c r="T140" s="7" t="inlineStr">
        <is>
          <t>2. ציוד ונתוני מאסטר</t>
        </is>
      </c>
      <c r="U140" s="7" t="inlineStr">
        <is>
          <t>G24</t>
        </is>
      </c>
      <c r="V140" s="9">
        <f>HYPERLINK("#'"&amp;T140&amp;"'!"&amp;U140,"➜ פתח")</f>
        <v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7" t="inlineStr">
        <is>
          <t>פונקציה</t>
        </is>
      </c>
      <c r="Q141" s="8" t="inlineStr">
        <is>
          <t>SERNR_ADD_TO_DOCUMENT</t>
        </is>
      </c>
      <c r="R141" s="7" t="inlineStr">
        <is>
          <t>שיוך סריאל לתעודת מלאי</t>
        </is>
      </c>
      <c r="S141" s="7" t="inlineStr">
        <is>
          <t>Object list / serial assignment</t>
        </is>
      </c>
      <c r="T141" s="7" t="inlineStr">
        <is>
          <t>2. ציוד ונתוני מאסטר</t>
        </is>
      </c>
      <c r="U141" s="7" t="inlineStr">
        <is>
          <t>G24</t>
        </is>
      </c>
      <c r="V141" s="9">
        <f>HYPERLINK("#'"&amp;T141&amp;"'!"&amp;U141,"➜ פתח")</f>
        <v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7" t="inlineStr">
        <is>
          <t>פונקציה</t>
        </is>
      </c>
      <c r="Q142" s="8" t="inlineStr">
        <is>
          <t>BAPI_OBJCL_CREATE</t>
        </is>
      </c>
      <c r="R142" s="7" t="inlineStr">
        <is>
          <t>שיוך סיווג לאובייקט</t>
        </is>
      </c>
      <c r="S142" s="7" t="inlineStr">
        <is>
          <t>Object list / serial assignment</t>
        </is>
      </c>
      <c r="T142" s="7" t="inlineStr">
        <is>
          <t>2. ציוד ונתוני מאסטר</t>
        </is>
      </c>
      <c r="U142" s="7" t="inlineStr">
        <is>
          <t>G24</t>
        </is>
      </c>
      <c r="V142" s="9">
        <f>HYPERLINK("#'"&amp;T142&amp;"'!"&amp;U142,"➜ פתח")</f>
        <v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7" t="inlineStr">
        <is>
          <t>תוכנית</t>
        </is>
      </c>
      <c r="Q143" s="8" t="inlineStr">
        <is>
          <t>RISERNR0</t>
        </is>
      </c>
      <c r="R143" s="7" t="inlineStr">
        <is>
          <t>דוח סריאלים מול תנועות מלאי</t>
        </is>
      </c>
      <c r="S143" s="7" t="inlineStr">
        <is>
          <t>Object list / serial assignment</t>
        </is>
      </c>
      <c r="T143" s="7" t="inlineStr">
        <is>
          <t>2. ציוד ונתוני מאסטר</t>
        </is>
      </c>
      <c r="U143" s="7" t="inlineStr">
        <is>
          <t>I24</t>
        </is>
      </c>
      <c r="V143" s="9">
        <f>HYPERLINK("#'"&amp;T143&amp;"'!"&amp;U143,"➜ פתח")</f>
        <v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7" t="inlineStr">
        <is>
          <t>Fiori</t>
        </is>
      </c>
      <c r="Q144" s="8" t="inlineStr">
        <is>
          <t>Manage Technical Objects (F2079)</t>
        </is>
      </c>
      <c r="R144" s="7" t="inlineStr">
        <is>
          <t>רשימת אובייקטים / מספרים סידוריים</t>
        </is>
      </c>
      <c r="S144" s="7" t="inlineStr">
        <is>
          <t>Object list / serial assignment</t>
        </is>
      </c>
      <c r="T144" s="7" t="inlineStr">
        <is>
          <t>2. ציוד ונתוני מאסטר</t>
        </is>
      </c>
      <c r="U144" s="7" t="inlineStr">
        <is>
          <t>N24</t>
        </is>
      </c>
      <c r="V144" s="9">
        <f>HYPERLINK("#'"&amp;T144&amp;"'!"&amp;U144,"➜ פתח")</f>
        <v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7" t="inlineStr">
        <is>
          <t>User Exit</t>
        </is>
      </c>
      <c r="Q145" s="8" t="inlineStr">
        <is>
          <t>IEQM0001</t>
        </is>
      </c>
      <c r="R145" s="7" t="inlineStr">
        <is>
          <t>בדיקות והרחבת שדות בעת יצירת/שינוי ציוד</t>
        </is>
      </c>
      <c r="S145" s="7" t="inlineStr"/>
      <c r="T145" s="7" t="inlineStr">
        <is>
          <t>2. ציוד ונתוני מאסטר</t>
        </is>
      </c>
      <c r="U145" s="7" t="inlineStr">
        <is>
          <t>A33</t>
        </is>
      </c>
      <c r="V145" s="9">
        <f>HYPERLINK("#'"&amp;T145&amp;"'!"&amp;U145,"➜ פתח")</f>
        <v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7" t="inlineStr">
        <is>
          <t>User Exit</t>
        </is>
      </c>
      <c r="Q146" s="8" t="inlineStr">
        <is>
          <t>IEQM0003</t>
        </is>
      </c>
      <c r="R146" s="7" t="inlineStr">
        <is>
          <t>ברירות מחדל וקביעת ערכים אוטומטית לציוד</t>
        </is>
      </c>
      <c r="S146" s="7" t="inlineStr"/>
      <c r="T146" s="7" t="inlineStr">
        <is>
          <t>2. ציוד ונתוני מאסטר</t>
        </is>
      </c>
      <c r="U146" s="7" t="inlineStr">
        <is>
          <t>A34</t>
        </is>
      </c>
      <c r="V146" s="9">
        <f>HYPERLINK("#'"&amp;T146&amp;"'!"&amp;U146,"➜ פתח")</f>
        <v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7" t="inlineStr">
        <is>
          <t>User Exit</t>
        </is>
      </c>
      <c r="Q147" s="8" t="inlineStr">
        <is>
          <t>ISER0001</t>
        </is>
      </c>
      <c r="R147" s="7" t="inlineStr">
        <is>
          <t>הרחבת לוגיקת מספרים סידוריים (Serialization)</t>
        </is>
      </c>
      <c r="S147" s="7" t="inlineStr"/>
      <c r="T147" s="7" t="inlineStr">
        <is>
          <t>2. ציוד ונתוני מאסטר</t>
        </is>
      </c>
      <c r="U147" s="7" t="inlineStr">
        <is>
          <t>A35</t>
        </is>
      </c>
      <c r="V147" s="9">
        <f>HYPERLINK("#'"&amp;T147&amp;"'!"&amp;U147,"➜ פתח")</f>
        <v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7" t="inlineStr">
        <is>
          <t>BAdI</t>
        </is>
      </c>
      <c r="Q148" s="8" t="inlineStr">
        <is>
          <t>BADI_EAM_TECHNICAL_OBJECT</t>
        </is>
      </c>
      <c r="R148" s="7" t="inlineStr">
        <is>
          <t>הרחבת לוגיקת ציוד/אובייקט טכני ב-S/4HANA</t>
        </is>
      </c>
      <c r="S148" s="7" t="inlineStr"/>
      <c r="T148" s="7" t="inlineStr">
        <is>
          <t>2. ציוד ונתוני מאסטר</t>
        </is>
      </c>
      <c r="U148" s="7" t="inlineStr">
        <is>
          <t>A36</t>
        </is>
      </c>
      <c r="V148" s="9">
        <f>HYPERLINK("#'"&amp;T148&amp;"'!"&amp;U148,"➜ פתח")</f>
        <v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7" t="inlineStr">
        <is>
          <t>BAdI</t>
        </is>
      </c>
      <c r="Q149" s="8" t="inlineStr">
        <is>
          <t>EAM_SERNR_ADD_DATA</t>
        </is>
      </c>
      <c r="R149" s="7" t="inlineStr">
        <is>
          <t>הרחבת נתוני מספר סידורי (אמת שם מדויק ב-SE18)</t>
        </is>
      </c>
      <c r="S149" s="7" t="inlineStr"/>
      <c r="T149" s="7" t="inlineStr">
        <is>
          <t>2. ציוד ונתוני מאסטר</t>
        </is>
      </c>
      <c r="U149" s="7" t="inlineStr">
        <is>
          <t>A37</t>
        </is>
      </c>
      <c r="V149" s="9">
        <f>HYPERLINK("#'"&amp;T149&amp;"'!"&amp;U149,"➜ פתח")</f>
        <v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7" t="inlineStr">
        <is>
          <t>טבלה</t>
        </is>
      </c>
      <c r="Q150" s="8" t="inlineStr">
        <is>
          <t>STKO</t>
        </is>
      </c>
      <c r="R150" s="7" t="inlineStr">
        <is>
          <t>כותרת עץ מוצר</t>
        </is>
      </c>
      <c r="S150" s="7" t="inlineStr">
        <is>
          <t>BOM header</t>
        </is>
      </c>
      <c r="T150" s="7" t="inlineStr">
        <is>
          <t>3. עצי מוצר של אחזקה (BOM)</t>
        </is>
      </c>
      <c r="U150" s="7" t="inlineStr">
        <is>
          <t>A3</t>
        </is>
      </c>
      <c r="V150" s="9">
        <f>HYPERLINK("#'"&amp;T150&amp;"'!"&amp;U150,"➜ פתח")</f>
        <v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7" t="inlineStr">
        <is>
          <t>שדה</t>
        </is>
      </c>
      <c r="Q151" s="8" t="inlineStr">
        <is>
          <t>STLNR</t>
        </is>
      </c>
      <c r="R151" s="7" t="inlineStr">
        <is>
          <t>מספר עץ מוצר</t>
        </is>
      </c>
      <c r="S151" s="7" t="inlineStr">
        <is>
          <t>Bill of material number</t>
        </is>
      </c>
      <c r="T151" s="7" t="inlineStr">
        <is>
          <t>3. עצי מוצר של אחזקה (BOM)</t>
        </is>
      </c>
      <c r="U151" s="7" t="inlineStr">
        <is>
          <t>D4</t>
        </is>
      </c>
      <c r="V151" s="9">
        <f>HYPERLINK("#'"&amp;T151&amp;"'!"&amp;U151,"➜ פתח")</f>
        <v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7" t="inlineStr">
        <is>
          <t>שדה</t>
        </is>
      </c>
      <c r="Q152" s="8" t="inlineStr">
        <is>
          <t>STLTY</t>
        </is>
      </c>
      <c r="R152" s="7" t="inlineStr">
        <is>
          <t>קטגוריית BOM</t>
        </is>
      </c>
      <c r="S152" s="7" t="inlineStr">
        <is>
          <t>BOM category (E/T/M)</t>
        </is>
      </c>
      <c r="T152" s="7" t="inlineStr">
        <is>
          <t>3. עצי מוצר של אחזקה (BOM)</t>
        </is>
      </c>
      <c r="U152" s="7" t="inlineStr">
        <is>
          <t>D5</t>
        </is>
      </c>
      <c r="V152" s="9">
        <f>HYPERLINK("#'"&amp;T152&amp;"'!"&amp;U152,"➜ פתח")</f>
        <v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7" t="inlineStr">
        <is>
          <t>שדה</t>
        </is>
      </c>
      <c r="Q153" s="8" t="inlineStr">
        <is>
          <t>STLAL</t>
        </is>
      </c>
      <c r="R153" s="7" t="inlineStr">
        <is>
          <t>חלופת עץ מוצר</t>
        </is>
      </c>
      <c r="S153" s="7" t="inlineStr">
        <is>
          <t>Alternative BOM</t>
        </is>
      </c>
      <c r="T153" s="7" t="inlineStr">
        <is>
          <t>3. עצי מוצר של אחזקה (BOM)</t>
        </is>
      </c>
      <c r="U153" s="7" t="inlineStr">
        <is>
          <t>D6</t>
        </is>
      </c>
      <c r="V153" s="9">
        <f>HYPERLINK("#'"&amp;T153&amp;"'!"&amp;U153,"➜ פתח")</f>
        <v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7" t="inlineStr">
        <is>
          <t>שדה</t>
        </is>
      </c>
      <c r="Q154" s="8" t="inlineStr">
        <is>
          <t>BMENG</t>
        </is>
      </c>
      <c r="R154" s="7" t="inlineStr">
        <is>
          <t>כמות בסיס</t>
        </is>
      </c>
      <c r="S154" s="7" t="inlineStr">
        <is>
          <t>Base quantity</t>
        </is>
      </c>
      <c r="T154" s="7" t="inlineStr">
        <is>
          <t>3. עצי מוצר של אחזקה (BOM)</t>
        </is>
      </c>
      <c r="U154" s="7" t="inlineStr">
        <is>
          <t>D7</t>
        </is>
      </c>
      <c r="V154" s="9">
        <f>HYPERLINK("#'"&amp;T154&amp;"'!"&amp;U154,"➜ פתח")</f>
        <v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7" t="inlineStr">
        <is>
          <t>שדה</t>
        </is>
      </c>
      <c r="Q155" s="8" t="inlineStr">
        <is>
          <t>STLST</t>
        </is>
      </c>
      <c r="R155" s="7" t="inlineStr">
        <is>
          <t>סטטוס עץ מוצר</t>
        </is>
      </c>
      <c r="S155" s="7" t="inlineStr">
        <is>
          <t>BOM status</t>
        </is>
      </c>
      <c r="T155" s="7" t="inlineStr">
        <is>
          <t>3. עצי מוצר של אחזקה (BOM)</t>
        </is>
      </c>
      <c r="U155" s="7" t="inlineStr">
        <is>
          <t>D8</t>
        </is>
      </c>
      <c r="V155" s="9">
        <f>HYPERLINK("#'"&amp;T155&amp;"'!"&amp;U155,"➜ פתח")</f>
        <v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7" t="inlineStr">
        <is>
          <t>טרנזקציה</t>
        </is>
      </c>
      <c r="Q156" s="8" t="inlineStr">
        <is>
          <t>IB01</t>
        </is>
      </c>
      <c r="R156" s="7" t="inlineStr">
        <is>
          <t>כותרת עץ מוצר</t>
        </is>
      </c>
      <c r="S156" s="7" t="inlineStr">
        <is>
          <t>BOM header</t>
        </is>
      </c>
      <c r="T156" s="7" t="inlineStr">
        <is>
          <t>3. עצי מוצר של אחזקה (BOM)</t>
        </is>
      </c>
      <c r="U156" s="7" t="inlineStr">
        <is>
          <t>A4</t>
        </is>
      </c>
      <c r="V156" s="9">
        <f>HYPERLINK("#'"&amp;T156&amp;"'!"&amp;U156,"➜ פתח")</f>
        <v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7" t="inlineStr">
        <is>
          <t>טרנזקציה</t>
        </is>
      </c>
      <c r="Q157" s="8" t="inlineStr">
        <is>
          <t>CS01</t>
        </is>
      </c>
      <c r="R157" s="7" t="inlineStr">
        <is>
          <t>כותרת עץ מוצר</t>
        </is>
      </c>
      <c r="S157" s="7" t="inlineStr">
        <is>
          <t>BOM header</t>
        </is>
      </c>
      <c r="T157" s="7" t="inlineStr">
        <is>
          <t>3. עצי מוצר של אחזקה (BOM)</t>
        </is>
      </c>
      <c r="U157" s="7" t="inlineStr">
        <is>
          <t>A4</t>
        </is>
      </c>
      <c r="V157" s="9">
        <f>HYPERLINK("#'"&amp;T157&amp;"'!"&amp;U157,"➜ פתח")</f>
        <v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7" t="inlineStr">
        <is>
          <t>טרנזקציה</t>
        </is>
      </c>
      <c r="Q158" s="8" t="inlineStr">
        <is>
          <t>CS02</t>
        </is>
      </c>
      <c r="R158" s="7" t="inlineStr">
        <is>
          <t>כותרת עץ מוצר</t>
        </is>
      </c>
      <c r="S158" s="7" t="inlineStr">
        <is>
          <t>BOM header</t>
        </is>
      </c>
      <c r="T158" s="7" t="inlineStr">
        <is>
          <t>3. עצי מוצר של אחזקה (BOM)</t>
        </is>
      </c>
      <c r="U158" s="7" t="inlineStr">
        <is>
          <t>A4</t>
        </is>
      </c>
      <c r="V158" s="9">
        <f>HYPERLINK("#'"&amp;T158&amp;"'!"&amp;U158,"➜ פתח")</f>
        <v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7" t="inlineStr">
        <is>
          <t>טרנזקציה</t>
        </is>
      </c>
      <c r="Q159" s="8" t="inlineStr">
        <is>
          <t>CS03</t>
        </is>
      </c>
      <c r="R159" s="7" t="inlineStr">
        <is>
          <t>כותרת עץ מוצר</t>
        </is>
      </c>
      <c r="S159" s="7" t="inlineStr">
        <is>
          <t>BOM header</t>
        </is>
      </c>
      <c r="T159" s="7" t="inlineStr">
        <is>
          <t>3. עצי מוצר של אחזקה (BOM)</t>
        </is>
      </c>
      <c r="U159" s="7" t="inlineStr">
        <is>
          <t>A4</t>
        </is>
      </c>
      <c r="V159" s="9">
        <f>HYPERLINK("#'"&amp;T159&amp;"'!"&amp;U159,"➜ פתח")</f>
        <v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7" t="inlineStr">
        <is>
          <t>פונקציה</t>
        </is>
      </c>
      <c r="Q160" s="8" t="inlineStr">
        <is>
          <t>CSAP_MAT_BOM_CREATE</t>
        </is>
      </c>
      <c r="R160" s="7" t="inlineStr">
        <is>
          <t>יצירת עץ מוצר</t>
        </is>
      </c>
      <c r="S160" s="7" t="inlineStr">
        <is>
          <t>BOM header</t>
        </is>
      </c>
      <c r="T160" s="7" t="inlineStr">
        <is>
          <t>3. עצי מוצר של אחזקה (BOM)</t>
        </is>
      </c>
      <c r="U160" s="7" t="inlineStr">
        <is>
          <t>G4</t>
        </is>
      </c>
      <c r="V160" s="9">
        <f>HYPERLINK("#'"&amp;T160&amp;"'!"&amp;U160,"➜ פתח")</f>
        <v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7" t="inlineStr">
        <is>
          <t>פונקציה</t>
        </is>
      </c>
      <c r="Q161" s="8" t="inlineStr">
        <is>
          <t>CSAP_MAT_BOM_MAINTAIN</t>
        </is>
      </c>
      <c r="R161" s="7" t="inlineStr">
        <is>
          <t>תחזוקת עץ מוצר</t>
        </is>
      </c>
      <c r="S161" s="7" t="inlineStr">
        <is>
          <t>BOM header</t>
        </is>
      </c>
      <c r="T161" s="7" t="inlineStr">
        <is>
          <t>3. עצי מוצר של אחזקה (BOM)</t>
        </is>
      </c>
      <c r="U161" s="7" t="inlineStr">
        <is>
          <t>G4</t>
        </is>
      </c>
      <c r="V161" s="9">
        <f>HYPERLINK("#'"&amp;T161&amp;"'!"&amp;U161,"➜ פתח")</f>
        <v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7" t="inlineStr">
        <is>
          <t>פונקציה</t>
        </is>
      </c>
      <c r="Q162" s="8" t="inlineStr">
        <is>
          <t>CS_BT_BOM_HEADER_READ</t>
        </is>
      </c>
      <c r="R162" s="7" t="inlineStr">
        <is>
          <t>קריאת כותרת עץ מוצר</t>
        </is>
      </c>
      <c r="S162" s="7" t="inlineStr">
        <is>
          <t>BOM header</t>
        </is>
      </c>
      <c r="T162" s="7" t="inlineStr">
        <is>
          <t>3. עצי מוצר של אחזקה (BOM)</t>
        </is>
      </c>
      <c r="U162" s="7" t="inlineStr">
        <is>
          <t>G4</t>
        </is>
      </c>
      <c r="V162" s="9">
        <f>HYPERLINK("#'"&amp;T162&amp;"'!"&amp;U162,"➜ פתח")</f>
        <v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7" t="inlineStr">
        <is>
          <t>תוכנית</t>
        </is>
      </c>
      <c r="Q163" s="8" t="inlineStr">
        <is>
          <t>RCSBI010</t>
        </is>
      </c>
      <c r="R163" s="7" t="inlineStr">
        <is>
          <t>פיצוץ עץ מוצר רב-רמתי</t>
        </is>
      </c>
      <c r="S163" s="7" t="inlineStr">
        <is>
          <t>BOM header</t>
        </is>
      </c>
      <c r="T163" s="7" t="inlineStr">
        <is>
          <t>3. עצי מוצר של אחזקה (BOM)</t>
        </is>
      </c>
      <c r="U163" s="7" t="inlineStr">
        <is>
          <t>I4</t>
        </is>
      </c>
      <c r="V163" s="9">
        <f>HYPERLINK("#'"&amp;T163&amp;"'!"&amp;U163,"➜ פתח")</f>
        <v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7" t="inlineStr">
        <is>
          <t>Fiori</t>
        </is>
      </c>
      <c r="Q164" s="8" t="inlineStr">
        <is>
          <t>Manage Bills of Material (אמת ID)</t>
        </is>
      </c>
      <c r="R164" s="7" t="inlineStr">
        <is>
          <t>כותרת עץ מוצר</t>
        </is>
      </c>
      <c r="S164" s="7" t="inlineStr">
        <is>
          <t>BOM header</t>
        </is>
      </c>
      <c r="T164" s="7" t="inlineStr">
        <is>
          <t>3. עצי מוצר של אחזקה (BOM)</t>
        </is>
      </c>
      <c r="U164" s="7" t="inlineStr">
        <is>
          <t>N4</t>
        </is>
      </c>
      <c r="V164" s="9">
        <f>HYPERLINK("#'"&amp;T164&amp;"'!"&amp;U164,"➜ פתח")</f>
        <v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7" t="inlineStr">
        <is>
          <t>טבלה</t>
        </is>
      </c>
      <c r="Q165" s="8" t="inlineStr">
        <is>
          <t>STPO</t>
        </is>
      </c>
      <c r="R165" s="7" t="inlineStr">
        <is>
          <t>פריטי עץ מוצר (רכיבים)</t>
        </is>
      </c>
      <c r="S165" s="7" t="inlineStr">
        <is>
          <t>BOM item (components)</t>
        </is>
      </c>
      <c r="T165" s="7" t="inlineStr">
        <is>
          <t>3. עצי מוצר של אחזקה (BOM)</t>
        </is>
      </c>
      <c r="U165" s="7" t="inlineStr">
        <is>
          <t>A10</t>
        </is>
      </c>
      <c r="V165" s="9">
        <f>HYPERLINK("#'"&amp;T165&amp;"'!"&amp;U165,"➜ פתח")</f>
        <v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7" t="inlineStr">
        <is>
          <t>שדה</t>
        </is>
      </c>
      <c r="Q166" s="8" t="inlineStr">
        <is>
          <t>STLNR</t>
        </is>
      </c>
      <c r="R166" s="7" t="inlineStr">
        <is>
          <t>מספר עץ מוצר</t>
        </is>
      </c>
      <c r="S166" s="7" t="inlineStr">
        <is>
          <t>BOM number</t>
        </is>
      </c>
      <c r="T166" s="7" t="inlineStr">
        <is>
          <t>3. עצי מוצר של אחזקה (BOM)</t>
        </is>
      </c>
      <c r="U166" s="7" t="inlineStr">
        <is>
          <t>D11</t>
        </is>
      </c>
      <c r="V166" s="9">
        <f>HYPERLINK("#'"&amp;T166&amp;"'!"&amp;U166,"➜ פתח")</f>
        <v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7" t="inlineStr">
        <is>
          <t>שדה</t>
        </is>
      </c>
      <c r="Q167" s="8" t="inlineStr">
        <is>
          <t>POSNR</t>
        </is>
      </c>
      <c r="R167" s="7" t="inlineStr">
        <is>
          <t>מספר פריט</t>
        </is>
      </c>
      <c r="S167" s="7" t="inlineStr">
        <is>
          <t>BOM item number</t>
        </is>
      </c>
      <c r="T167" s="7" t="inlineStr">
        <is>
          <t>3. עצי מוצר של אחזקה (BOM)</t>
        </is>
      </c>
      <c r="U167" s="7" t="inlineStr">
        <is>
          <t>D12</t>
        </is>
      </c>
      <c r="V167" s="9">
        <f>HYPERLINK("#'"&amp;T167&amp;"'!"&amp;U167,"➜ פתח")</f>
        <v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7" t="inlineStr">
        <is>
          <t>שדה</t>
        </is>
      </c>
      <c r="Q168" s="8" t="inlineStr">
        <is>
          <t>IDNRK</t>
        </is>
      </c>
      <c r="R168" s="7" t="inlineStr">
        <is>
          <t>רכיב / חומר</t>
        </is>
      </c>
      <c r="S168" s="7" t="inlineStr">
        <is>
          <t>Component (BOM item material)</t>
        </is>
      </c>
      <c r="T168" s="7" t="inlineStr">
        <is>
          <t>3. עצי מוצר של אחזקה (BOM)</t>
        </is>
      </c>
      <c r="U168" s="7" t="inlineStr">
        <is>
          <t>D13</t>
        </is>
      </c>
      <c r="V168" s="9">
        <f>HYPERLINK("#'"&amp;T168&amp;"'!"&amp;U168,"➜ פתח")</f>
        <v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7" t="inlineStr">
        <is>
          <t>שדה</t>
        </is>
      </c>
      <c r="Q169" s="8" t="inlineStr">
        <is>
          <t>MENGE</t>
        </is>
      </c>
      <c r="R169" s="7" t="inlineStr">
        <is>
          <t>כמות רכיב</t>
        </is>
      </c>
      <c r="S169" s="7" t="inlineStr">
        <is>
          <t>Component quantity</t>
        </is>
      </c>
      <c r="T169" s="7" t="inlineStr">
        <is>
          <t>3. עצי מוצר של אחזקה (BOM)</t>
        </is>
      </c>
      <c r="U169" s="7" t="inlineStr">
        <is>
          <t>D14</t>
        </is>
      </c>
      <c r="V169" s="9">
        <f>HYPERLINK("#'"&amp;T169&amp;"'!"&amp;U169,"➜ פתח")</f>
        <v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7" t="inlineStr">
        <is>
          <t>שדה</t>
        </is>
      </c>
      <c r="Q170" s="8" t="inlineStr">
        <is>
          <t>POSTP</t>
        </is>
      </c>
      <c r="R170" s="7" t="inlineStr">
        <is>
          <t>סוג פריט</t>
        </is>
      </c>
      <c r="S170" s="7" t="inlineStr">
        <is>
          <t>Item category</t>
        </is>
      </c>
      <c r="T170" s="7" t="inlineStr">
        <is>
          <t>3. עצי מוצר של אחזקה (BOM)</t>
        </is>
      </c>
      <c r="U170" s="7" t="inlineStr">
        <is>
          <t>D15</t>
        </is>
      </c>
      <c r="V170" s="9">
        <f>HYPERLINK("#'"&amp;T170&amp;"'!"&amp;U170,"➜ פתח")</f>
        <v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7" t="inlineStr">
        <is>
          <t>טרנזקציה</t>
        </is>
      </c>
      <c r="Q171" s="8" t="inlineStr">
        <is>
          <t>IB02</t>
        </is>
      </c>
      <c r="R171" s="7" t="inlineStr">
        <is>
          <t>פריטי עץ מוצר (רכיבים)</t>
        </is>
      </c>
      <c r="S171" s="7" t="inlineStr">
        <is>
          <t>BOM item (components)</t>
        </is>
      </c>
      <c r="T171" s="7" t="inlineStr">
        <is>
          <t>3. עצי מוצר של אחזקה (BOM)</t>
        </is>
      </c>
      <c r="U171" s="7" t="inlineStr">
        <is>
          <t>A11</t>
        </is>
      </c>
      <c r="V171" s="9">
        <f>HYPERLINK("#'"&amp;T171&amp;"'!"&amp;U171,"➜ פתח")</f>
        <v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7" t="inlineStr">
        <is>
          <t>טרנזקציה</t>
        </is>
      </c>
      <c r="Q172" s="8" t="inlineStr">
        <is>
          <t>CS02</t>
        </is>
      </c>
      <c r="R172" s="7" t="inlineStr">
        <is>
          <t>פריטי עץ מוצר (רכיבים)</t>
        </is>
      </c>
      <c r="S172" s="7" t="inlineStr">
        <is>
          <t>BOM item (components)</t>
        </is>
      </c>
      <c r="T172" s="7" t="inlineStr">
        <is>
          <t>3. עצי מוצר של אחזקה (BOM)</t>
        </is>
      </c>
      <c r="U172" s="7" t="inlineStr">
        <is>
          <t>A11</t>
        </is>
      </c>
      <c r="V172" s="9">
        <f>HYPERLINK("#'"&amp;T172&amp;"'!"&amp;U172,"➜ פתח")</f>
        <v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7" t="inlineStr">
        <is>
          <t>טרנזקציה</t>
        </is>
      </c>
      <c r="Q173" s="8" t="inlineStr">
        <is>
          <t>CS11</t>
        </is>
      </c>
      <c r="R173" s="7" t="inlineStr">
        <is>
          <t>פריטי עץ מוצר (רכיבים)</t>
        </is>
      </c>
      <c r="S173" s="7" t="inlineStr">
        <is>
          <t>BOM item (components)</t>
        </is>
      </c>
      <c r="T173" s="7" t="inlineStr">
        <is>
          <t>3. עצי מוצר של אחזקה (BOM)</t>
        </is>
      </c>
      <c r="U173" s="7" t="inlineStr">
        <is>
          <t>A11</t>
        </is>
      </c>
      <c r="V173" s="9">
        <f>HYPERLINK("#'"&amp;T173&amp;"'!"&amp;U173,"➜ פתח")</f>
        <v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7" t="inlineStr">
        <is>
          <t>טרנזקציה</t>
        </is>
      </c>
      <c r="Q174" s="8" t="inlineStr">
        <is>
          <t>CS15</t>
        </is>
      </c>
      <c r="R174" s="7" t="inlineStr">
        <is>
          <t>פריטי עץ מוצר (רכיבים)</t>
        </is>
      </c>
      <c r="S174" s="7" t="inlineStr">
        <is>
          <t>BOM item (components)</t>
        </is>
      </c>
      <c r="T174" s="7" t="inlineStr">
        <is>
          <t>3. עצי מוצר של אחזקה (BOM)</t>
        </is>
      </c>
      <c r="U174" s="7" t="inlineStr">
        <is>
          <t>A11</t>
        </is>
      </c>
      <c r="V174" s="9">
        <f>HYPERLINK("#'"&amp;T174&amp;"'!"&amp;U174,"➜ פתח")</f>
        <v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7" t="inlineStr">
        <is>
          <t>פונקציה</t>
        </is>
      </c>
      <c r="Q175" s="8" t="inlineStr">
        <is>
          <t>CSAP_BOM_ITEM_MAINTAIN</t>
        </is>
      </c>
      <c r="R175" s="7" t="inlineStr">
        <is>
          <t>תחזוקת פריטי עץ מוצר</t>
        </is>
      </c>
      <c r="S175" s="7" t="inlineStr">
        <is>
          <t>BOM item (components)</t>
        </is>
      </c>
      <c r="T175" s="7" t="inlineStr">
        <is>
          <t>3. עצי מוצר של אחזקה (BOM)</t>
        </is>
      </c>
      <c r="U175" s="7" t="inlineStr">
        <is>
          <t>G11</t>
        </is>
      </c>
      <c r="V175" s="9">
        <f>HYPERLINK("#'"&amp;T175&amp;"'!"&amp;U175,"➜ פתח")</f>
        <v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7" t="inlineStr">
        <is>
          <t>פונקציה</t>
        </is>
      </c>
      <c r="Q176" s="8" t="inlineStr">
        <is>
          <t>CS_BOM_EXPL_MAT_RC1</t>
        </is>
      </c>
      <c r="R176" s="7" t="inlineStr">
        <is>
          <t>פיצוץ עץ מוצר לחומר</t>
        </is>
      </c>
      <c r="S176" s="7" t="inlineStr">
        <is>
          <t>BOM item (components)</t>
        </is>
      </c>
      <c r="T176" s="7" t="inlineStr">
        <is>
          <t>3. עצי מוצר של אחזקה (BOM)</t>
        </is>
      </c>
      <c r="U176" s="7" t="inlineStr">
        <is>
          <t>G11</t>
        </is>
      </c>
      <c r="V176" s="9">
        <f>HYPERLINK("#'"&amp;T176&amp;"'!"&amp;U176,"➜ פתח")</f>
        <v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7" t="inlineStr">
        <is>
          <t>תוכנית</t>
        </is>
      </c>
      <c r="Q177" s="8" t="inlineStr">
        <is>
          <t>RCSBI010</t>
        </is>
      </c>
      <c r="R177" s="7" t="inlineStr">
        <is>
          <t>פיצוץ רב-רמתי</t>
        </is>
      </c>
      <c r="S177" s="7" t="inlineStr">
        <is>
          <t>BOM item (components)</t>
        </is>
      </c>
      <c r="T177" s="7" t="inlineStr">
        <is>
          <t>3. עצי מוצר של אחזקה (BOM)</t>
        </is>
      </c>
      <c r="U177" s="7" t="inlineStr">
        <is>
          <t>I11</t>
        </is>
      </c>
      <c r="V177" s="9">
        <f>HYPERLINK("#'"&amp;T177&amp;"'!"&amp;U177,"➜ פתח")</f>
        <v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7" t="inlineStr">
        <is>
          <t>תוכנית</t>
        </is>
      </c>
      <c r="Q178" s="8" t="inlineStr">
        <is>
          <t>CS_BT</t>
        </is>
      </c>
      <c r="R178" s="7" t="inlineStr">
        <is>
          <t>דוח Where-Used לרכיב</t>
        </is>
      </c>
      <c r="S178" s="7" t="inlineStr">
        <is>
          <t>BOM item (components)</t>
        </is>
      </c>
      <c r="T178" s="7" t="inlineStr">
        <is>
          <t>3. עצי מוצר של אחזקה (BOM)</t>
        </is>
      </c>
      <c r="U178" s="7" t="inlineStr">
        <is>
          <t>I11</t>
        </is>
      </c>
      <c r="V178" s="9">
        <f>HYPERLINK("#'"&amp;T178&amp;"'!"&amp;U178,"➜ פתח")</f>
        <v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7" t="inlineStr">
        <is>
          <t>Fiori</t>
        </is>
      </c>
      <c r="Q179" s="8" t="inlineStr">
        <is>
          <t>Manage Bills of Material (אמת ID)</t>
        </is>
      </c>
      <c r="R179" s="7" t="inlineStr">
        <is>
          <t>פריטי עץ מוצר (רכיבים)</t>
        </is>
      </c>
      <c r="S179" s="7" t="inlineStr">
        <is>
          <t>BOM item (components)</t>
        </is>
      </c>
      <c r="T179" s="7" t="inlineStr">
        <is>
          <t>3. עצי מוצר של אחזקה (BOM)</t>
        </is>
      </c>
      <c r="U179" s="7" t="inlineStr">
        <is>
          <t>N11</t>
        </is>
      </c>
      <c r="V179" s="9">
        <f>HYPERLINK("#'"&amp;T179&amp;"'!"&amp;U179,"➜ פתח")</f>
        <v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7" t="inlineStr">
        <is>
          <t>טבלה</t>
        </is>
      </c>
      <c r="Q180" s="8" t="inlineStr">
        <is>
          <t>MAST</t>
        </is>
      </c>
      <c r="R180" s="7" t="inlineStr">
        <is>
          <t>קישור חומר לעץ מוצר</t>
        </is>
      </c>
      <c r="S180" s="7" t="inlineStr">
        <is>
          <t>Material-to-BOM link</t>
        </is>
      </c>
      <c r="T180" s="7" t="inlineStr">
        <is>
          <t>3. עצי מוצר של אחזקה (BOM)</t>
        </is>
      </c>
      <c r="U180" s="7" t="inlineStr">
        <is>
          <t>A17</t>
        </is>
      </c>
      <c r="V180" s="9">
        <f>HYPERLINK("#'"&amp;T180&amp;"'!"&amp;U180,"➜ פתח")</f>
        <v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7" t="inlineStr">
        <is>
          <t>שדה</t>
        </is>
      </c>
      <c r="Q181" s="8" t="inlineStr">
        <is>
          <t>MATNR</t>
        </is>
      </c>
      <c r="R181" s="7" t="inlineStr">
        <is>
          <t>חומר</t>
        </is>
      </c>
      <c r="S181" s="7" t="inlineStr">
        <is>
          <t>Material number</t>
        </is>
      </c>
      <c r="T181" s="7" t="inlineStr">
        <is>
          <t>3. עצי מוצר של אחזקה (BOM)</t>
        </is>
      </c>
      <c r="U181" s="7" t="inlineStr">
        <is>
          <t>D18</t>
        </is>
      </c>
      <c r="V181" s="9">
        <f>HYPERLINK("#'"&amp;T181&amp;"'!"&amp;U181,"➜ פתח")</f>
        <v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7" t="inlineStr">
        <is>
          <t>שדה</t>
        </is>
      </c>
      <c r="Q182" s="8" t="inlineStr">
        <is>
          <t>WERKS</t>
        </is>
      </c>
      <c r="R182" s="7" t="inlineStr">
        <is>
          <t>מפעל</t>
        </is>
      </c>
      <c r="S182" s="7" t="inlineStr">
        <is>
          <t>Plant</t>
        </is>
      </c>
      <c r="T182" s="7" t="inlineStr">
        <is>
          <t>3. עצי מוצר של אחזקה (BOM)</t>
        </is>
      </c>
      <c r="U182" s="7" t="inlineStr">
        <is>
          <t>D19</t>
        </is>
      </c>
      <c r="V182" s="9">
        <f>HYPERLINK("#'"&amp;T182&amp;"'!"&amp;U182,"➜ פתח")</f>
        <v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7" t="inlineStr">
        <is>
          <t>שדה</t>
        </is>
      </c>
      <c r="Q183" s="8" t="inlineStr">
        <is>
          <t>STLAN</t>
        </is>
      </c>
      <c r="R183" s="7" t="inlineStr">
        <is>
          <t>שימוש עץ מוצר</t>
        </is>
      </c>
      <c r="S183" s="7" t="inlineStr">
        <is>
          <t>BOM usage (4=maintenance)</t>
        </is>
      </c>
      <c r="T183" s="7" t="inlineStr">
        <is>
          <t>3. עצי מוצר של אחזקה (BOM)</t>
        </is>
      </c>
      <c r="U183" s="7" t="inlineStr">
        <is>
          <t>D20</t>
        </is>
      </c>
      <c r="V183" s="9">
        <f>HYPERLINK("#'"&amp;T183&amp;"'!"&amp;U183,"➜ פתח")</f>
        <v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7" t="inlineStr">
        <is>
          <t>שדה</t>
        </is>
      </c>
      <c r="Q184" s="8" t="inlineStr">
        <is>
          <t>STLNR</t>
        </is>
      </c>
      <c r="R184" s="7" t="inlineStr">
        <is>
          <t>מספר עץ מוצר</t>
        </is>
      </c>
      <c r="S184" s="7" t="inlineStr">
        <is>
          <t>BOM number</t>
        </is>
      </c>
      <c r="T184" s="7" t="inlineStr">
        <is>
          <t>3. עצי מוצר של אחזקה (BOM)</t>
        </is>
      </c>
      <c r="U184" s="7" t="inlineStr">
        <is>
          <t>D21</t>
        </is>
      </c>
      <c r="V184" s="9">
        <f>HYPERLINK("#'"&amp;T184&amp;"'!"&amp;U184,"➜ פתח")</f>
        <v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7" t="inlineStr">
        <is>
          <t>שדה</t>
        </is>
      </c>
      <c r="Q185" s="8" t="inlineStr">
        <is>
          <t>STLAL</t>
        </is>
      </c>
      <c r="R185" s="7" t="inlineStr">
        <is>
          <t>חלופה</t>
        </is>
      </c>
      <c r="S185" s="7" t="inlineStr">
        <is>
          <t>Alternative BOM</t>
        </is>
      </c>
      <c r="T185" s="7" t="inlineStr">
        <is>
          <t>3. עצי מוצר של אחזקה (BOM)</t>
        </is>
      </c>
      <c r="U185" s="7" t="inlineStr">
        <is>
          <t>D22</t>
        </is>
      </c>
      <c r="V185" s="9">
        <f>HYPERLINK("#'"&amp;T185&amp;"'!"&amp;U185,"➜ פתח")</f>
        <v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7" t="inlineStr">
        <is>
          <t>טרנזקציה</t>
        </is>
      </c>
      <c r="Q186" s="8" t="inlineStr">
        <is>
          <t>CS01</t>
        </is>
      </c>
      <c r="R186" s="7" t="inlineStr">
        <is>
          <t>קישור חומר לעץ מוצר</t>
        </is>
      </c>
      <c r="S186" s="7" t="inlineStr">
        <is>
          <t>Material-to-BOM link</t>
        </is>
      </c>
      <c r="T186" s="7" t="inlineStr">
        <is>
          <t>3. עצי מוצר של אחזקה (BOM)</t>
        </is>
      </c>
      <c r="U186" s="7" t="inlineStr">
        <is>
          <t>A18</t>
        </is>
      </c>
      <c r="V186" s="9">
        <f>HYPERLINK("#'"&amp;T186&amp;"'!"&amp;U186,"➜ פתח")</f>
        <v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7" t="inlineStr">
        <is>
          <t>טרנזקציה</t>
        </is>
      </c>
      <c r="Q187" s="8" t="inlineStr">
        <is>
          <t>CS02</t>
        </is>
      </c>
      <c r="R187" s="7" t="inlineStr">
        <is>
          <t>קישור חומר לעץ מוצר</t>
        </is>
      </c>
      <c r="S187" s="7" t="inlineStr">
        <is>
          <t>Material-to-BOM link</t>
        </is>
      </c>
      <c r="T187" s="7" t="inlineStr">
        <is>
          <t>3. עצי מוצר של אחזקה (BOM)</t>
        </is>
      </c>
      <c r="U187" s="7" t="inlineStr">
        <is>
          <t>A18</t>
        </is>
      </c>
      <c r="V187" s="9">
        <f>HYPERLINK("#'"&amp;T187&amp;"'!"&amp;U187,"➜ פתח")</f>
        <v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7" t="inlineStr">
        <is>
          <t>טרנזקציה</t>
        </is>
      </c>
      <c r="Q188" s="8" t="inlineStr">
        <is>
          <t>CS03</t>
        </is>
      </c>
      <c r="R188" s="7" t="inlineStr">
        <is>
          <t>קישור חומר לעץ מוצר</t>
        </is>
      </c>
      <c r="S188" s="7" t="inlineStr">
        <is>
          <t>Material-to-BOM link</t>
        </is>
      </c>
      <c r="T188" s="7" t="inlineStr">
        <is>
          <t>3. עצי מוצר של אחזקה (BOM)</t>
        </is>
      </c>
      <c r="U188" s="7" t="inlineStr">
        <is>
          <t>A18</t>
        </is>
      </c>
      <c r="V188" s="9">
        <f>HYPERLINK("#'"&amp;T188&amp;"'!"&amp;U188,"➜ פתח")</f>
        <v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7" t="inlineStr">
        <is>
          <t>פונקציה</t>
        </is>
      </c>
      <c r="Q189" s="8" t="inlineStr">
        <is>
          <t>CSAP_MAT_BOM_READ</t>
        </is>
      </c>
      <c r="R189" s="7" t="inlineStr">
        <is>
          <t>קריאת קישור חומר-BOM</t>
        </is>
      </c>
      <c r="S189" s="7" t="inlineStr">
        <is>
          <t>Material-to-BOM link</t>
        </is>
      </c>
      <c r="T189" s="7" t="inlineStr">
        <is>
          <t>3. עצי מוצר של אחזקה (BOM)</t>
        </is>
      </c>
      <c r="U189" s="7" t="inlineStr">
        <is>
          <t>G18</t>
        </is>
      </c>
      <c r="V189" s="9">
        <f>HYPERLINK("#'"&amp;T189&amp;"'!"&amp;U189,"➜ פתח")</f>
        <v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7" t="inlineStr">
        <is>
          <t>תוכנית</t>
        </is>
      </c>
      <c r="Q190" s="8" t="inlineStr">
        <is>
          <t>RCSBI010</t>
        </is>
      </c>
      <c r="R190" s="7" t="inlineStr">
        <is>
          <t>פיצוץ עץ מוצר לחומר</t>
        </is>
      </c>
      <c r="S190" s="7" t="inlineStr">
        <is>
          <t>Material-to-BOM link</t>
        </is>
      </c>
      <c r="T190" s="7" t="inlineStr">
        <is>
          <t>3. עצי מוצר של אחזקה (BOM)</t>
        </is>
      </c>
      <c r="U190" s="7" t="inlineStr">
        <is>
          <t>I18</t>
        </is>
      </c>
      <c r="V190" s="9">
        <f>HYPERLINK("#'"&amp;T190&amp;"'!"&amp;U190,"➜ פתח")</f>
        <v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7" t="inlineStr">
        <is>
          <t>Fiori</t>
        </is>
      </c>
      <c r="Q191" s="8" t="inlineStr">
        <is>
          <t>Manage Bills of Material (אמת ID)</t>
        </is>
      </c>
      <c r="R191" s="7" t="inlineStr">
        <is>
          <t>קישור חומר לעץ מוצר</t>
        </is>
      </c>
      <c r="S191" s="7" t="inlineStr">
        <is>
          <t>Material-to-BOM link</t>
        </is>
      </c>
      <c r="T191" s="7" t="inlineStr">
        <is>
          <t>3. עצי מוצר של אחזקה (BOM)</t>
        </is>
      </c>
      <c r="U191" s="7" t="inlineStr">
        <is>
          <t>N18</t>
        </is>
      </c>
      <c r="V191" s="9">
        <f>HYPERLINK("#'"&amp;T191&amp;"'!"&amp;U191,"➜ פתח")</f>
        <v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7" t="inlineStr">
        <is>
          <t>טבלה</t>
        </is>
      </c>
      <c r="Q192" s="8" t="inlineStr">
        <is>
          <t>EQST</t>
        </is>
      </c>
      <c r="R192" s="7" t="inlineStr">
        <is>
          <t>קישור ציוד לעץ מוצר</t>
        </is>
      </c>
      <c r="S192" s="7" t="inlineStr">
        <is>
          <t>Equipment-to-BOM link</t>
        </is>
      </c>
      <c r="T192" s="7" t="inlineStr">
        <is>
          <t>3. עצי מוצר של אחזקה (BOM)</t>
        </is>
      </c>
      <c r="U192" s="7" t="inlineStr">
        <is>
          <t>A24</t>
        </is>
      </c>
      <c r="V192" s="9">
        <f>HYPERLINK("#'"&amp;T192&amp;"'!"&amp;U192,"➜ פתח")</f>
        <v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7" t="inlineStr">
        <is>
          <t>שדה</t>
        </is>
      </c>
      <c r="Q193" s="8" t="inlineStr">
        <is>
          <t>EQUNR</t>
        </is>
      </c>
      <c r="R193" s="7" t="inlineStr">
        <is>
          <t>מספר ציוד</t>
        </is>
      </c>
      <c r="S193" s="7" t="inlineStr">
        <is>
          <t>Equipment number</t>
        </is>
      </c>
      <c r="T193" s="7" t="inlineStr">
        <is>
          <t>3. עצי מוצר של אחזקה (BOM)</t>
        </is>
      </c>
      <c r="U193" s="7" t="inlineStr">
        <is>
          <t>D25</t>
        </is>
      </c>
      <c r="V193" s="9">
        <f>HYPERLINK("#'"&amp;T193&amp;"'!"&amp;U193,"➜ פתח")</f>
        <v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7" t="inlineStr">
        <is>
          <t>שדה</t>
        </is>
      </c>
      <c r="Q194" s="8" t="inlineStr">
        <is>
          <t>STLNR</t>
        </is>
      </c>
      <c r="R194" s="7" t="inlineStr">
        <is>
          <t>מספר עץ מוצר</t>
        </is>
      </c>
      <c r="S194" s="7" t="inlineStr">
        <is>
          <t>BOM number</t>
        </is>
      </c>
      <c r="T194" s="7" t="inlineStr">
        <is>
          <t>3. עצי מוצר של אחזקה (BOM)</t>
        </is>
      </c>
      <c r="U194" s="7" t="inlineStr">
        <is>
          <t>D26</t>
        </is>
      </c>
      <c r="V194" s="9">
        <f>HYPERLINK("#'"&amp;T194&amp;"'!"&amp;U194,"➜ פתח")</f>
        <v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7" t="inlineStr">
        <is>
          <t>שדה</t>
        </is>
      </c>
      <c r="Q195" s="8" t="inlineStr">
        <is>
          <t>STLAL</t>
        </is>
      </c>
      <c r="R195" s="7" t="inlineStr">
        <is>
          <t>חלופה</t>
        </is>
      </c>
      <c r="S195" s="7" t="inlineStr">
        <is>
          <t>Alternative BOM</t>
        </is>
      </c>
      <c r="T195" s="7" t="inlineStr">
        <is>
          <t>3. עצי מוצר של אחזקה (BOM)</t>
        </is>
      </c>
      <c r="U195" s="7" t="inlineStr">
        <is>
          <t>D27</t>
        </is>
      </c>
      <c r="V195" s="9">
        <f>HYPERLINK("#'"&amp;T195&amp;"'!"&amp;U195,"➜ פתח")</f>
        <v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7" t="inlineStr">
        <is>
          <t>שדה</t>
        </is>
      </c>
      <c r="Q196" s="8" t="inlineStr">
        <is>
          <t>STLAN</t>
        </is>
      </c>
      <c r="R196" s="7" t="inlineStr">
        <is>
          <t>שימוש עץ מוצר</t>
        </is>
      </c>
      <c r="S196" s="7" t="inlineStr">
        <is>
          <t>BOM usage</t>
        </is>
      </c>
      <c r="T196" s="7" t="inlineStr">
        <is>
          <t>3. עצי מוצר של אחזקה (BOM)</t>
        </is>
      </c>
      <c r="U196" s="7" t="inlineStr">
        <is>
          <t>D28</t>
        </is>
      </c>
      <c r="V196" s="9">
        <f>HYPERLINK("#'"&amp;T196&amp;"'!"&amp;U196,"➜ פתח")</f>
        <v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7" t="inlineStr">
        <is>
          <t>טרנזקציה</t>
        </is>
      </c>
      <c r="Q197" s="8" t="inlineStr">
        <is>
          <t>IB01</t>
        </is>
      </c>
      <c r="R197" s="7" t="inlineStr">
        <is>
          <t>קישור ציוד לעץ מוצר</t>
        </is>
      </c>
      <c r="S197" s="7" t="inlineStr">
        <is>
          <t>Equipment-to-BOM link</t>
        </is>
      </c>
      <c r="T197" s="7" t="inlineStr">
        <is>
          <t>3. עצי מוצר של אחזקה (BOM)</t>
        </is>
      </c>
      <c r="U197" s="7" t="inlineStr">
        <is>
          <t>A25</t>
        </is>
      </c>
      <c r="V197" s="9">
        <f>HYPERLINK("#'"&amp;T197&amp;"'!"&amp;U197,"➜ פתח")</f>
        <v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7" t="inlineStr">
        <is>
          <t>טרנזקציה</t>
        </is>
      </c>
      <c r="Q198" s="8" t="inlineStr">
        <is>
          <t>IB02</t>
        </is>
      </c>
      <c r="R198" s="7" t="inlineStr">
        <is>
          <t>קישור ציוד לעץ מוצר</t>
        </is>
      </c>
      <c r="S198" s="7" t="inlineStr">
        <is>
          <t>Equipment-to-BOM link</t>
        </is>
      </c>
      <c r="T198" s="7" t="inlineStr">
        <is>
          <t>3. עצי מוצר של אחזקה (BOM)</t>
        </is>
      </c>
      <c r="U198" s="7" t="inlineStr">
        <is>
          <t>A25</t>
        </is>
      </c>
      <c r="V198" s="9">
        <f>HYPERLINK("#'"&amp;T198&amp;"'!"&amp;U198,"➜ פתח")</f>
        <v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7" t="inlineStr">
        <is>
          <t>טרנזקציה</t>
        </is>
      </c>
      <c r="Q199" s="8" t="inlineStr">
        <is>
          <t>IB03</t>
        </is>
      </c>
      <c r="R199" s="7" t="inlineStr">
        <is>
          <t>קישור ציוד לעץ מוצר</t>
        </is>
      </c>
      <c r="S199" s="7" t="inlineStr">
        <is>
          <t>Equipment-to-BOM link</t>
        </is>
      </c>
      <c r="T199" s="7" t="inlineStr">
        <is>
          <t>3. עצי מוצר של אחזקה (BOM)</t>
        </is>
      </c>
      <c r="U199" s="7" t="inlineStr">
        <is>
          <t>A25</t>
        </is>
      </c>
      <c r="V199" s="9">
        <f>HYPERLINK("#'"&amp;T199&amp;"'!"&amp;U199,"➜ פתח")</f>
        <v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7" t="inlineStr">
        <is>
          <t>פונקציה</t>
        </is>
      </c>
      <c r="Q200" s="8" t="inlineStr">
        <is>
          <t>CS_BOM_EXPL_EQU_RC1</t>
        </is>
      </c>
      <c r="R200" s="7" t="inlineStr">
        <is>
          <t>פיצוץ עץ מוצר של ציוד</t>
        </is>
      </c>
      <c r="S200" s="7" t="inlineStr">
        <is>
          <t>Equipment-to-BOM link</t>
        </is>
      </c>
      <c r="T200" s="7" t="inlineStr">
        <is>
          <t>3. עצי מוצר של אחזקה (BOM)</t>
        </is>
      </c>
      <c r="U200" s="7" t="inlineStr">
        <is>
          <t>G25</t>
        </is>
      </c>
      <c r="V200" s="9">
        <f>HYPERLINK("#'"&amp;T200&amp;"'!"&amp;U200,"➜ פתח")</f>
        <v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7" t="inlineStr">
        <is>
          <t>תוכנית</t>
        </is>
      </c>
      <c r="Q201" s="8" t="inlineStr">
        <is>
          <t>RCSBI010</t>
        </is>
      </c>
      <c r="R201" s="7" t="inlineStr">
        <is>
          <t>פיצוץ עץ מוצר של ציוד</t>
        </is>
      </c>
      <c r="S201" s="7" t="inlineStr">
        <is>
          <t>Equipment-to-BOM link</t>
        </is>
      </c>
      <c r="T201" s="7" t="inlineStr">
        <is>
          <t>3. עצי מוצר של אחזקה (BOM)</t>
        </is>
      </c>
      <c r="U201" s="7" t="inlineStr">
        <is>
          <t>I25</t>
        </is>
      </c>
      <c r="V201" s="9">
        <f>HYPERLINK("#'"&amp;T201&amp;"'!"&amp;U201,"➜ פתח")</f>
        <v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7" t="inlineStr">
        <is>
          <t>Fiori</t>
        </is>
      </c>
      <c r="Q202" s="8" t="inlineStr">
        <is>
          <t>Manage Bills of Material (אמת ID)</t>
        </is>
      </c>
      <c r="R202" s="7" t="inlineStr">
        <is>
          <t>קישור ציוד לעץ מוצר</t>
        </is>
      </c>
      <c r="S202" s="7" t="inlineStr">
        <is>
          <t>Equipment-to-BOM link</t>
        </is>
      </c>
      <c r="T202" s="7" t="inlineStr">
        <is>
          <t>3. עצי מוצר של אחזקה (BOM)</t>
        </is>
      </c>
      <c r="U202" s="7" t="inlineStr">
        <is>
          <t>N25</t>
        </is>
      </c>
      <c r="V202" s="9">
        <f>HYPERLINK("#'"&amp;T202&amp;"'!"&amp;U202,"➜ פתח")</f>
        <v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7" t="inlineStr">
        <is>
          <t>טבלה</t>
        </is>
      </c>
      <c r="Q203" s="8" t="inlineStr">
        <is>
          <t>TPST</t>
        </is>
      </c>
      <c r="R203" s="7" t="inlineStr">
        <is>
          <t>קישור מיקום פונקציונלי לעץ מוצר</t>
        </is>
      </c>
      <c r="S203" s="7" t="inlineStr">
        <is>
          <t>Functional location-to-BOM link</t>
        </is>
      </c>
      <c r="T203" s="7" t="inlineStr">
        <is>
          <t>3. עצי מוצר של אחזקה (BOM)</t>
        </is>
      </c>
      <c r="U203" s="7" t="inlineStr">
        <is>
          <t>A30</t>
        </is>
      </c>
      <c r="V203" s="9">
        <f>HYPERLINK("#'"&amp;T203&amp;"'!"&amp;U203,"➜ פתח")</f>
        <v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7" t="inlineStr">
        <is>
          <t>שדה</t>
        </is>
      </c>
      <c r="Q204" s="8" t="inlineStr">
        <is>
          <t>TPLNR</t>
        </is>
      </c>
      <c r="R204" s="7" t="inlineStr">
        <is>
          <t>מיקום פונקציונלי</t>
        </is>
      </c>
      <c r="S204" s="7" t="inlineStr">
        <is>
          <t>Functional location</t>
        </is>
      </c>
      <c r="T204" s="7" t="inlineStr">
        <is>
          <t>3. עצי מוצר של אחזקה (BOM)</t>
        </is>
      </c>
      <c r="U204" s="7" t="inlineStr">
        <is>
          <t>D31</t>
        </is>
      </c>
      <c r="V204" s="9">
        <f>HYPERLINK("#'"&amp;T204&amp;"'!"&amp;U204,"➜ פתח")</f>
        <v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7" t="inlineStr">
        <is>
          <t>שדה</t>
        </is>
      </c>
      <c r="Q205" s="8" t="inlineStr">
        <is>
          <t>STLNR</t>
        </is>
      </c>
      <c r="R205" s="7" t="inlineStr">
        <is>
          <t>מספר עץ מוצר</t>
        </is>
      </c>
      <c r="S205" s="7" t="inlineStr">
        <is>
          <t>BOM number</t>
        </is>
      </c>
      <c r="T205" s="7" t="inlineStr">
        <is>
          <t>3. עצי מוצר של אחזקה (BOM)</t>
        </is>
      </c>
      <c r="U205" s="7" t="inlineStr">
        <is>
          <t>D32</t>
        </is>
      </c>
      <c r="V205" s="9">
        <f>HYPERLINK("#'"&amp;T205&amp;"'!"&amp;U205,"➜ פתח")</f>
        <v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7" t="inlineStr">
        <is>
          <t>שדה</t>
        </is>
      </c>
      <c r="Q206" s="8" t="inlineStr">
        <is>
          <t>STLAL</t>
        </is>
      </c>
      <c r="R206" s="7" t="inlineStr">
        <is>
          <t>חלופה</t>
        </is>
      </c>
      <c r="S206" s="7" t="inlineStr">
        <is>
          <t>Alternative BOM</t>
        </is>
      </c>
      <c r="T206" s="7" t="inlineStr">
        <is>
          <t>3. עצי מוצר של אחזקה (BOM)</t>
        </is>
      </c>
      <c r="U206" s="7" t="inlineStr">
        <is>
          <t>D33</t>
        </is>
      </c>
      <c r="V206" s="9">
        <f>HYPERLINK("#'"&amp;T206&amp;"'!"&amp;U206,"➜ פתח")</f>
        <v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7" t="inlineStr">
        <is>
          <t>שדה</t>
        </is>
      </c>
      <c r="Q207" s="8" t="inlineStr">
        <is>
          <t>STLAN</t>
        </is>
      </c>
      <c r="R207" s="7" t="inlineStr">
        <is>
          <t>שימוש עץ מוצר</t>
        </is>
      </c>
      <c r="S207" s="7" t="inlineStr">
        <is>
          <t>BOM usage</t>
        </is>
      </c>
      <c r="T207" s="7" t="inlineStr">
        <is>
          <t>3. עצי מוצר של אחזקה (BOM)</t>
        </is>
      </c>
      <c r="U207" s="7" t="inlineStr">
        <is>
          <t>D34</t>
        </is>
      </c>
      <c r="V207" s="9">
        <f>HYPERLINK("#'"&amp;T207&amp;"'!"&amp;U207,"➜ פתח")</f>
        <v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7" t="inlineStr">
        <is>
          <t>טרנזקציה</t>
        </is>
      </c>
      <c r="Q208" s="8" t="inlineStr">
        <is>
          <t>IB11</t>
        </is>
      </c>
      <c r="R208" s="7" t="inlineStr">
        <is>
          <t>קישור מיקום פונקציונלי לעץ מוצר</t>
        </is>
      </c>
      <c r="S208" s="7" t="inlineStr">
        <is>
          <t>Functional location-to-BOM link</t>
        </is>
      </c>
      <c r="T208" s="7" t="inlineStr">
        <is>
          <t>3. עצי מוצר של אחזקה (BOM)</t>
        </is>
      </c>
      <c r="U208" s="7" t="inlineStr">
        <is>
          <t>A31</t>
        </is>
      </c>
      <c r="V208" s="9">
        <f>HYPERLINK("#'"&amp;T208&amp;"'!"&amp;U208,"➜ פתח")</f>
        <v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7" t="inlineStr">
        <is>
          <t>טרנזקציה</t>
        </is>
      </c>
      <c r="Q209" s="8" t="inlineStr">
        <is>
          <t>IB12</t>
        </is>
      </c>
      <c r="R209" s="7" t="inlineStr">
        <is>
          <t>קישור מיקום פונקציונלי לעץ מוצר</t>
        </is>
      </c>
      <c r="S209" s="7" t="inlineStr">
        <is>
          <t>Functional location-to-BOM link</t>
        </is>
      </c>
      <c r="T209" s="7" t="inlineStr">
        <is>
          <t>3. עצי מוצר של אחזקה (BOM)</t>
        </is>
      </c>
      <c r="U209" s="7" t="inlineStr">
        <is>
          <t>A31</t>
        </is>
      </c>
      <c r="V209" s="9">
        <f>HYPERLINK("#'"&amp;T209&amp;"'!"&amp;U209,"➜ פתח")</f>
        <v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7" t="inlineStr">
        <is>
          <t>טרנזקציה</t>
        </is>
      </c>
      <c r="Q210" s="8" t="inlineStr">
        <is>
          <t>IB13</t>
        </is>
      </c>
      <c r="R210" s="7" t="inlineStr">
        <is>
          <t>קישור מיקום פונקציונלי לעץ מוצר</t>
        </is>
      </c>
      <c r="S210" s="7" t="inlineStr">
        <is>
          <t>Functional location-to-BOM link</t>
        </is>
      </c>
      <c r="T210" s="7" t="inlineStr">
        <is>
          <t>3. עצי מוצר של אחזקה (BOM)</t>
        </is>
      </c>
      <c r="U210" s="7" t="inlineStr">
        <is>
          <t>A31</t>
        </is>
      </c>
      <c r="V210" s="9">
        <f>HYPERLINK("#'"&amp;T210&amp;"'!"&amp;U210,"➜ פתח")</f>
        <v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7" t="inlineStr">
        <is>
          <t>פונקציה</t>
        </is>
      </c>
      <c r="Q211" s="8" t="inlineStr">
        <is>
          <t>CS_BOM_EXPL_FLO_RC1</t>
        </is>
      </c>
      <c r="R211" s="7" t="inlineStr">
        <is>
          <t>פיצוץ עץ מוצר של מיקום</t>
        </is>
      </c>
      <c r="S211" s="7" t="inlineStr">
        <is>
          <t>Functional location-to-BOM link</t>
        </is>
      </c>
      <c r="T211" s="7" t="inlineStr">
        <is>
          <t>3. עצי מוצר של אחזקה (BOM)</t>
        </is>
      </c>
      <c r="U211" s="7" t="inlineStr">
        <is>
          <t>G31</t>
        </is>
      </c>
      <c r="V211" s="9">
        <f>HYPERLINK("#'"&amp;T211&amp;"'!"&amp;U211,"➜ פתח")</f>
        <v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7" t="inlineStr">
        <is>
          <t>תוכנית</t>
        </is>
      </c>
      <c r="Q212" s="8" t="inlineStr">
        <is>
          <t>RCSBI020</t>
        </is>
      </c>
      <c r="R212" s="7" t="inlineStr">
        <is>
          <t>פיצוץ עצי מוצר של מיקומים</t>
        </is>
      </c>
      <c r="S212" s="7" t="inlineStr">
        <is>
          <t>Functional location-to-BOM link</t>
        </is>
      </c>
      <c r="T212" s="7" t="inlineStr">
        <is>
          <t>3. עצי מוצר של אחזקה (BOM)</t>
        </is>
      </c>
      <c r="U212" s="7" t="inlineStr">
        <is>
          <t>I31</t>
        </is>
      </c>
      <c r="V212" s="9">
        <f>HYPERLINK("#'"&amp;T212&amp;"'!"&amp;U212,"➜ פתח")</f>
        <v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7" t="inlineStr">
        <is>
          <t>Fiori</t>
        </is>
      </c>
      <c r="Q213" s="8" t="inlineStr">
        <is>
          <t>Manage Bills of Material (אמת ID)</t>
        </is>
      </c>
      <c r="R213" s="7" t="inlineStr">
        <is>
          <t>קישור מיקום פונקציונלי לעץ מוצר</t>
        </is>
      </c>
      <c r="S213" s="7" t="inlineStr">
        <is>
          <t>Functional location-to-BOM link</t>
        </is>
      </c>
      <c r="T213" s="7" t="inlineStr">
        <is>
          <t>3. עצי מוצר של אחזקה (BOM)</t>
        </is>
      </c>
      <c r="U213" s="7" t="inlineStr">
        <is>
          <t>N31</t>
        </is>
      </c>
      <c r="V213" s="9">
        <f>HYPERLINK("#'"&amp;T213&amp;"'!"&amp;U213,"➜ פתח")</f>
        <v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7" t="inlineStr">
        <is>
          <t>User Exit</t>
        </is>
      </c>
      <c r="Q214" s="8" t="inlineStr">
        <is>
          <t>PCSD0001</t>
        </is>
      </c>
      <c r="R214" s="7" t="inlineStr">
        <is>
          <t>הרחבת לקוח לעצי מוצר (BOM) - בדיקות פריטים</t>
        </is>
      </c>
      <c r="S214" s="7" t="inlineStr"/>
      <c r="T214" s="7" t="inlineStr">
        <is>
          <t>3. עצי מוצר של אחזקה (BOM)</t>
        </is>
      </c>
      <c r="U214" s="7" t="inlineStr">
        <is>
          <t>A39</t>
        </is>
      </c>
      <c r="V214" s="9">
        <f>HYPERLINK("#'"&amp;T214&amp;"'!"&amp;U214,"➜ פתח")</f>
        <v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7" t="inlineStr">
        <is>
          <t>User Exit</t>
        </is>
      </c>
      <c r="Q215" s="8" t="inlineStr">
        <is>
          <t>PCSD0002</t>
        </is>
      </c>
      <c r="R215" s="7" t="inlineStr">
        <is>
          <t>ברירות מחדל לפריטי עץ מוצר</t>
        </is>
      </c>
      <c r="S215" s="7" t="inlineStr"/>
      <c r="T215" s="7" t="inlineStr">
        <is>
          <t>3. עצי מוצר של אחזקה (BOM)</t>
        </is>
      </c>
      <c r="U215" s="7" t="inlineStr">
        <is>
          <t>A40</t>
        </is>
      </c>
      <c r="V215" s="9">
        <f>HYPERLINK("#'"&amp;T215&amp;"'!"&amp;U215,"➜ פתח")</f>
        <v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7" t="inlineStr">
        <is>
          <t>BAdI</t>
        </is>
      </c>
      <c r="Q216" s="8" t="inlineStr">
        <is>
          <t>BOM_UPDATE</t>
        </is>
      </c>
      <c r="R216" s="7" t="inlineStr">
        <is>
          <t>BAdI לעדכון/בדיקת עצי מוצר (אמת ב-SE18)</t>
        </is>
      </c>
      <c r="S216" s="7" t="inlineStr"/>
      <c r="T216" s="7" t="inlineStr">
        <is>
          <t>3. עצי מוצר של אחזקה (BOM)</t>
        </is>
      </c>
      <c r="U216" s="7" t="inlineStr">
        <is>
          <t>A41</t>
        </is>
      </c>
      <c r="V216" s="9">
        <f>HYPERLINK("#'"&amp;T216&amp;"'!"&amp;U216,"➜ פתח")</f>
        <v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7" t="inlineStr">
        <is>
          <t>BAdI</t>
        </is>
      </c>
      <c r="Q217" s="8" t="inlineStr">
        <is>
          <t>BADI_EAM_TECHNICAL_OBJECT</t>
        </is>
      </c>
      <c r="R217" s="7" t="inlineStr">
        <is>
          <t>שיוך BOM לאובייקט טכני ב-S/4</t>
        </is>
      </c>
      <c r="S217" s="7" t="inlineStr"/>
      <c r="T217" s="7" t="inlineStr">
        <is>
          <t>3. עצי מוצר של אחזקה (BOM)</t>
        </is>
      </c>
      <c r="U217" s="7" t="inlineStr">
        <is>
          <t>A42</t>
        </is>
      </c>
      <c r="V217" s="9">
        <f>HYPERLINK("#'"&amp;T217&amp;"'!"&amp;U217,"➜ פתח")</f>
        <v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7" t="inlineStr">
        <is>
          <t>טבלה</t>
        </is>
      </c>
      <c r="Q218" s="8" t="inlineStr">
        <is>
          <t>IMPTT</t>
        </is>
      </c>
      <c r="R218" s="7" t="inlineStr">
        <is>
          <t>רשומת אב של נקודת מדידה / מונה</t>
        </is>
      </c>
      <c r="S218" s="7" t="inlineStr">
        <is>
          <t>Measuring point master</t>
        </is>
      </c>
      <c r="T218" s="7" t="inlineStr">
        <is>
          <t>4. נקודות מדידה ומונים</t>
        </is>
      </c>
      <c r="U218" s="7" t="inlineStr">
        <is>
          <t>A3</t>
        </is>
      </c>
      <c r="V218" s="9">
        <f>HYPERLINK("#'"&amp;T218&amp;"'!"&amp;U218,"➜ פתח")</f>
        <v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7" t="inlineStr">
        <is>
          <t>שדה</t>
        </is>
      </c>
      <c r="Q219" s="8" t="inlineStr">
        <is>
          <t>POINT</t>
        </is>
      </c>
      <c r="R219" s="7" t="inlineStr">
        <is>
          <t>מספר נקודת מדידה</t>
        </is>
      </c>
      <c r="S219" s="7" t="inlineStr">
        <is>
          <t>Measuring point number</t>
        </is>
      </c>
      <c r="T219" s="7" t="inlineStr">
        <is>
          <t>4. נקודות מדידה ומונים</t>
        </is>
      </c>
      <c r="U219" s="7" t="inlineStr">
        <is>
          <t>D4</t>
        </is>
      </c>
      <c r="V219" s="9">
        <f>HYPERLINK("#'"&amp;T219&amp;"'!"&amp;U219,"➜ פתח")</f>
        <v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7" t="inlineStr">
        <is>
          <t>שדה</t>
        </is>
      </c>
      <c r="Q220" s="8" t="inlineStr">
        <is>
          <t>MPOBJ</t>
        </is>
      </c>
      <c r="R220" s="7" t="inlineStr">
        <is>
          <t>אובייקט מדידה</t>
        </is>
      </c>
      <c r="S220" s="7" t="inlineStr">
        <is>
          <t>Measuring object (eq./FL)</t>
        </is>
      </c>
      <c r="T220" s="7" t="inlineStr">
        <is>
          <t>4. נקודות מדידה ומונים</t>
        </is>
      </c>
      <c r="U220" s="7" t="inlineStr">
        <is>
          <t>D5</t>
        </is>
      </c>
      <c r="V220" s="9">
        <f>HYPERLINK("#'"&amp;T220&amp;"'!"&amp;U220,"➜ פתח")</f>
        <v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7" t="inlineStr">
        <is>
          <t>שדה</t>
        </is>
      </c>
      <c r="Q221" s="8" t="inlineStr">
        <is>
          <t>MPTYP</t>
        </is>
      </c>
      <c r="R221" s="7" t="inlineStr">
        <is>
          <t>סוג נקודת מדידה</t>
        </is>
      </c>
      <c r="S221" s="7" t="inlineStr">
        <is>
          <t>Measuring point category</t>
        </is>
      </c>
      <c r="T221" s="7" t="inlineStr">
        <is>
          <t>4. נקודות מדידה ומונים</t>
        </is>
      </c>
      <c r="U221" s="7" t="inlineStr">
        <is>
          <t>D6</t>
        </is>
      </c>
      <c r="V221" s="9">
        <f>HYPERLINK("#'"&amp;T221&amp;"'!"&amp;U221,"➜ פתח")</f>
        <v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7" t="inlineStr">
        <is>
          <t>שדה</t>
        </is>
      </c>
      <c r="Q222" s="8" t="inlineStr">
        <is>
          <t>ATINN</t>
        </is>
      </c>
      <c r="R222" s="7" t="inlineStr">
        <is>
          <t>מאפיין סיווג פנימי</t>
        </is>
      </c>
      <c r="S222" s="7" t="inlineStr">
        <is>
          <t>Internal characteristic</t>
        </is>
      </c>
      <c r="T222" s="7" t="inlineStr">
        <is>
          <t>4. נקודות מדידה ומונים</t>
        </is>
      </c>
      <c r="U222" s="7" t="inlineStr">
        <is>
          <t>D7</t>
        </is>
      </c>
      <c r="V222" s="9">
        <f>HYPERLINK("#'"&amp;T222&amp;"'!"&amp;U222,"➜ פתח")</f>
        <v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7" t="inlineStr">
        <is>
          <t>שדה</t>
        </is>
      </c>
      <c r="Q223" s="8" t="inlineStr">
        <is>
          <t>INDCT</t>
        </is>
      </c>
      <c r="R223" s="7" t="inlineStr">
        <is>
          <t>קוד כיוון מונה</t>
        </is>
      </c>
      <c r="S223" s="7" t="inlineStr">
        <is>
          <t>Counter direction indicator</t>
        </is>
      </c>
      <c r="T223" s="7" t="inlineStr">
        <is>
          <t>4. נקודות מדידה ומונים</t>
        </is>
      </c>
      <c r="U223" s="7" t="inlineStr">
        <is>
          <t>D8</t>
        </is>
      </c>
      <c r="V223" s="9">
        <f>HYPERLINK("#'"&amp;T223&amp;"'!"&amp;U223,"➜ פתח")</f>
        <v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7" t="inlineStr">
        <is>
          <t>שדה</t>
        </is>
      </c>
      <c r="Q224" s="8" t="inlineStr">
        <is>
          <t>DECIM</t>
        </is>
      </c>
      <c r="R224" s="7" t="inlineStr">
        <is>
          <t>ספרות עשרוניות</t>
        </is>
      </c>
      <c r="S224" s="7" t="inlineStr">
        <is>
          <t>Decimal places</t>
        </is>
      </c>
      <c r="T224" s="7" t="inlineStr">
        <is>
          <t>4. נקודות מדידה ומונים</t>
        </is>
      </c>
      <c r="U224" s="7" t="inlineStr">
        <is>
          <t>D9</t>
        </is>
      </c>
      <c r="V224" s="9">
        <f>HYPERLINK("#'"&amp;T224&amp;"'!"&amp;U224,"➜ פתח")</f>
        <v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7" t="inlineStr">
        <is>
          <t>טרנזקציה</t>
        </is>
      </c>
      <c r="Q225" s="8" t="inlineStr">
        <is>
          <t>IK01</t>
        </is>
      </c>
      <c r="R225" s="7" t="inlineStr">
        <is>
          <t>רשומת אב של נקודת מדידה / מונה</t>
        </is>
      </c>
      <c r="S225" s="7" t="inlineStr">
        <is>
          <t>Measuring point master</t>
        </is>
      </c>
      <c r="T225" s="7" t="inlineStr">
        <is>
          <t>4. נקודות מדידה ומונים</t>
        </is>
      </c>
      <c r="U225" s="7" t="inlineStr">
        <is>
          <t>A4</t>
        </is>
      </c>
      <c r="V225" s="9">
        <f>HYPERLINK("#'"&amp;T225&amp;"'!"&amp;U225,"➜ פתח")</f>
        <v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7" t="inlineStr">
        <is>
          <t>טרנזקציה</t>
        </is>
      </c>
      <c r="Q226" s="8" t="inlineStr">
        <is>
          <t>IK02</t>
        </is>
      </c>
      <c r="R226" s="7" t="inlineStr">
        <is>
          <t>רשומת אב של נקודת מדידה / מונה</t>
        </is>
      </c>
      <c r="S226" s="7" t="inlineStr">
        <is>
          <t>Measuring point master</t>
        </is>
      </c>
      <c r="T226" s="7" t="inlineStr">
        <is>
          <t>4. נקודות מדידה ומונים</t>
        </is>
      </c>
      <c r="U226" s="7" t="inlineStr">
        <is>
          <t>A4</t>
        </is>
      </c>
      <c r="V226" s="9">
        <f>HYPERLINK("#'"&amp;T226&amp;"'!"&amp;U226,"➜ פתח")</f>
        <v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7" t="inlineStr">
        <is>
          <t>טרנזקציה</t>
        </is>
      </c>
      <c r="Q227" s="8" t="inlineStr">
        <is>
          <t>IK03</t>
        </is>
      </c>
      <c r="R227" s="7" t="inlineStr">
        <is>
          <t>רשומת אב של נקודת מדידה / מונה</t>
        </is>
      </c>
      <c r="S227" s="7" t="inlineStr">
        <is>
          <t>Measuring point master</t>
        </is>
      </c>
      <c r="T227" s="7" t="inlineStr">
        <is>
          <t>4. נקודות מדידה ומונים</t>
        </is>
      </c>
      <c r="U227" s="7" t="inlineStr">
        <is>
          <t>A4</t>
        </is>
      </c>
      <c r="V227" s="9">
        <f>HYPERLINK("#'"&amp;T227&amp;"'!"&amp;U227,"➜ פתח")</f>
        <v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7" t="inlineStr">
        <is>
          <t>טרנזקציה</t>
        </is>
      </c>
      <c r="Q228" s="8" t="inlineStr">
        <is>
          <t>IK07</t>
        </is>
      </c>
      <c r="R228" s="7" t="inlineStr">
        <is>
          <t>רשומת אב של נקודת מדידה / מונה</t>
        </is>
      </c>
      <c r="S228" s="7" t="inlineStr">
        <is>
          <t>Measuring point master</t>
        </is>
      </c>
      <c r="T228" s="7" t="inlineStr">
        <is>
          <t>4. נקודות מדידה ומונים</t>
        </is>
      </c>
      <c r="U228" s="7" t="inlineStr">
        <is>
          <t>A4</t>
        </is>
      </c>
      <c r="V228" s="9">
        <f>HYPERLINK("#'"&amp;T228&amp;"'!"&amp;U228,"➜ פתח")</f>
        <v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7" t="inlineStr">
        <is>
          <t>טרנזקציה</t>
        </is>
      </c>
      <c r="Q229" s="8" t="inlineStr">
        <is>
          <t>IK08</t>
        </is>
      </c>
      <c r="R229" s="7" t="inlineStr">
        <is>
          <t>רשומת אב של נקודת מדידה / מונה</t>
        </is>
      </c>
      <c r="S229" s="7" t="inlineStr">
        <is>
          <t>Measuring point master</t>
        </is>
      </c>
      <c r="T229" s="7" t="inlineStr">
        <is>
          <t>4. נקודות מדידה ומונים</t>
        </is>
      </c>
      <c r="U229" s="7" t="inlineStr">
        <is>
          <t>A4</t>
        </is>
      </c>
      <c r="V229" s="9">
        <f>HYPERLINK("#'"&amp;T229&amp;"'!"&amp;U229,"➜ פתח")</f>
        <v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7" t="inlineStr">
        <is>
          <t>פונקציה</t>
        </is>
      </c>
      <c r="Q230" s="8" t="inlineStr">
        <is>
          <t>BAPI_MEASUREMENTPOINT_CREATE</t>
        </is>
      </c>
      <c r="R230" s="7" t="inlineStr">
        <is>
          <t>יצירת נקודת מדידה</t>
        </is>
      </c>
      <c r="S230" s="7" t="inlineStr">
        <is>
          <t>Measuring point master</t>
        </is>
      </c>
      <c r="T230" s="7" t="inlineStr">
        <is>
          <t>4. נקודות מדידה ומונים</t>
        </is>
      </c>
      <c r="U230" s="7" t="inlineStr">
        <is>
          <t>G4</t>
        </is>
      </c>
      <c r="V230" s="9">
        <f>HYPERLINK("#'"&amp;T230&amp;"'!"&amp;U230,"➜ פתח")</f>
        <v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7" t="inlineStr">
        <is>
          <t>פונקציה</t>
        </is>
      </c>
      <c r="Q231" s="8" t="inlineStr">
        <is>
          <t>BAPI_MEASUREMENTPOINT_GETLIST</t>
        </is>
      </c>
      <c r="R231" s="7" t="inlineStr">
        <is>
          <t>שליפת רשימת נקודות מדידה</t>
        </is>
      </c>
      <c r="S231" s="7" t="inlineStr">
        <is>
          <t>Measuring point master</t>
        </is>
      </c>
      <c r="T231" s="7" t="inlineStr">
        <is>
          <t>4. נקודות מדידה ומונים</t>
        </is>
      </c>
      <c r="U231" s="7" t="inlineStr">
        <is>
          <t>G4</t>
        </is>
      </c>
      <c r="V231" s="9">
        <f>HYPERLINK("#'"&amp;T231&amp;"'!"&amp;U231,"➜ פתח")</f>
        <v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7" t="inlineStr">
        <is>
          <t>פונקציה</t>
        </is>
      </c>
      <c r="Q232" s="8" t="inlineStr">
        <is>
          <t>MEASUREMENT_POINT_READ</t>
        </is>
      </c>
      <c r="R232" s="7" t="inlineStr">
        <is>
          <t>קריאת פרטי נקודת מדידה</t>
        </is>
      </c>
      <c r="S232" s="7" t="inlineStr">
        <is>
          <t>Measuring point master</t>
        </is>
      </c>
      <c r="T232" s="7" t="inlineStr">
        <is>
          <t>4. נקודות מדידה ומונים</t>
        </is>
      </c>
      <c r="U232" s="7" t="inlineStr">
        <is>
          <t>G4</t>
        </is>
      </c>
      <c r="V232" s="9">
        <f>HYPERLINK("#'"&amp;T232&amp;"'!"&amp;U232,"➜ פתח")</f>
        <v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7" t="inlineStr">
        <is>
          <t>תוכנית</t>
        </is>
      </c>
      <c r="Q233" s="8" t="inlineStr">
        <is>
          <t>RIMPOINT</t>
        </is>
      </c>
      <c r="R233" s="7" t="inlineStr">
        <is>
          <t>רשימת נקודות מדידה ומונים</t>
        </is>
      </c>
      <c r="S233" s="7" t="inlineStr">
        <is>
          <t>Measuring point master</t>
        </is>
      </c>
      <c r="T233" s="7" t="inlineStr">
        <is>
          <t>4. נקודות מדידה ומונים</t>
        </is>
      </c>
      <c r="U233" s="7" t="inlineStr">
        <is>
          <t>I4</t>
        </is>
      </c>
      <c r="V233" s="9">
        <f>HYPERLINK("#'"&amp;T233&amp;"'!"&amp;U233,"➜ פתח")</f>
        <v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7" t="inlineStr">
        <is>
          <t>Fiori</t>
        </is>
      </c>
      <c r="Q234" s="8" t="inlineStr">
        <is>
          <t>Manage Measurement Documents (אמת ID)</t>
        </is>
      </c>
      <c r="R234" s="7" t="inlineStr">
        <is>
          <t>רשומת אב של נקודת מדידה / מונה</t>
        </is>
      </c>
      <c r="S234" s="7" t="inlineStr">
        <is>
          <t>Measuring point master</t>
        </is>
      </c>
      <c r="T234" s="7" t="inlineStr">
        <is>
          <t>4. נקודות מדידה ומונים</t>
        </is>
      </c>
      <c r="U234" s="7" t="inlineStr">
        <is>
          <t>N4</t>
        </is>
      </c>
      <c r="V234" s="9">
        <f>HYPERLINK("#'"&amp;T234&amp;"'!"&amp;U234,"➜ פתח")</f>
        <v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7" t="inlineStr">
        <is>
          <t>טבלה</t>
        </is>
      </c>
      <c r="Q235" s="8" t="inlineStr">
        <is>
          <t>IMRG</t>
        </is>
      </c>
      <c r="R235" s="7" t="inlineStr">
        <is>
          <t>מסמכי מדידה (קריאות מונה/ערך)</t>
        </is>
      </c>
      <c r="S235" s="7" t="inlineStr">
        <is>
          <t>Measurement documents / readings</t>
        </is>
      </c>
      <c r="T235" s="7" t="inlineStr">
        <is>
          <t>4. נקודות מדידה ומונים</t>
        </is>
      </c>
      <c r="U235" s="7" t="inlineStr">
        <is>
          <t>A11</t>
        </is>
      </c>
      <c r="V235" s="9">
        <f>HYPERLINK("#'"&amp;T235&amp;"'!"&amp;U235,"➜ פתח")</f>
        <v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7" t="inlineStr">
        <is>
          <t>שדה</t>
        </is>
      </c>
      <c r="Q236" s="8" t="inlineStr">
        <is>
          <t>MDOCM</t>
        </is>
      </c>
      <c r="R236" s="7" t="inlineStr">
        <is>
          <t>מספר מסמך מדידה</t>
        </is>
      </c>
      <c r="S236" s="7" t="inlineStr">
        <is>
          <t>Measurement document number</t>
        </is>
      </c>
      <c r="T236" s="7" t="inlineStr">
        <is>
          <t>4. נקודות מדידה ומונים</t>
        </is>
      </c>
      <c r="U236" s="7" t="inlineStr">
        <is>
          <t>D12</t>
        </is>
      </c>
      <c r="V236" s="9">
        <f>HYPERLINK("#'"&amp;T236&amp;"'!"&amp;U236,"➜ פתח")</f>
        <v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7" t="inlineStr">
        <is>
          <t>שדה</t>
        </is>
      </c>
      <c r="Q237" s="8" t="inlineStr">
        <is>
          <t>POINT</t>
        </is>
      </c>
      <c r="R237" s="7" t="inlineStr">
        <is>
          <t>נקודת מדידה</t>
        </is>
      </c>
      <c r="S237" s="7" t="inlineStr">
        <is>
          <t>Measuring point</t>
        </is>
      </c>
      <c r="T237" s="7" t="inlineStr">
        <is>
          <t>4. נקודות מדידה ומונים</t>
        </is>
      </c>
      <c r="U237" s="7" t="inlineStr">
        <is>
          <t>D13</t>
        </is>
      </c>
      <c r="V237" s="9">
        <f>HYPERLINK("#'"&amp;T237&amp;"'!"&amp;U237,"➜ פתח")</f>
        <v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7" t="inlineStr">
        <is>
          <t>שדה</t>
        </is>
      </c>
      <c r="Q238" s="8" t="inlineStr">
        <is>
          <t>RECDV</t>
        </is>
      </c>
      <c r="R238" s="7" t="inlineStr">
        <is>
          <t>ערך נמדד</t>
        </is>
      </c>
      <c r="S238" s="7" t="inlineStr">
        <is>
          <t>Measurement reading value</t>
        </is>
      </c>
      <c r="T238" s="7" t="inlineStr">
        <is>
          <t>4. נקודות מדידה ומונים</t>
        </is>
      </c>
      <c r="U238" s="7" t="inlineStr">
        <is>
          <t>D14</t>
        </is>
      </c>
      <c r="V238" s="9">
        <f>HYPERLINK("#'"&amp;T238&amp;"'!"&amp;U238,"➜ פתח")</f>
        <v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7" t="inlineStr">
        <is>
          <t>שדה</t>
        </is>
      </c>
      <c r="Q239" s="8" t="inlineStr">
        <is>
          <t>READG</t>
        </is>
      </c>
      <c r="R239" s="7" t="inlineStr">
        <is>
          <t>קריאת מונה</t>
        </is>
      </c>
      <c r="S239" s="7" t="inlineStr">
        <is>
          <t>Counter reading</t>
        </is>
      </c>
      <c r="T239" s="7" t="inlineStr">
        <is>
          <t>4. נקודות מדידה ומונים</t>
        </is>
      </c>
      <c r="U239" s="7" t="inlineStr">
        <is>
          <t>D15</t>
        </is>
      </c>
      <c r="V239" s="9">
        <f>HYPERLINK("#'"&amp;T239&amp;"'!"&amp;U239,"➜ פתח")</f>
        <v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7" t="inlineStr">
        <is>
          <t>שדה</t>
        </is>
      </c>
      <c r="Q240" s="8" t="inlineStr">
        <is>
          <t>CNTRR</t>
        </is>
      </c>
      <c r="R240" s="7" t="inlineStr">
        <is>
          <t>קריאה כוללת</t>
        </is>
      </c>
      <c r="S240" s="7" t="inlineStr">
        <is>
          <t>Counter reading (total)</t>
        </is>
      </c>
      <c r="T240" s="7" t="inlineStr">
        <is>
          <t>4. נקודות מדידה ומונים</t>
        </is>
      </c>
      <c r="U240" s="7" t="inlineStr">
        <is>
          <t>D16</t>
        </is>
      </c>
      <c r="V240" s="9">
        <f>HYPERLINK("#'"&amp;T240&amp;"'!"&amp;U240,"➜ פתח")</f>
        <v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7" t="inlineStr">
        <is>
          <t>שדה</t>
        </is>
      </c>
      <c r="Q241" s="8" t="inlineStr">
        <is>
          <t>CDIFF</t>
        </is>
      </c>
      <c r="R241" s="7" t="inlineStr">
        <is>
          <t>הפרש מונה</t>
        </is>
      </c>
      <c r="S241" s="7" t="inlineStr">
        <is>
          <t>Counter difference</t>
        </is>
      </c>
      <c r="T241" s="7" t="inlineStr">
        <is>
          <t>4. נקודות מדידה ומונים</t>
        </is>
      </c>
      <c r="U241" s="7" t="inlineStr">
        <is>
          <t>D17</t>
        </is>
      </c>
      <c r="V241" s="9">
        <f>HYPERLINK("#'"&amp;T241&amp;"'!"&amp;U241,"➜ פתח")</f>
        <v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7" t="inlineStr">
        <is>
          <t>טרנזקציה</t>
        </is>
      </c>
      <c r="Q242" s="8" t="inlineStr">
        <is>
          <t>IK11</t>
        </is>
      </c>
      <c r="R242" s="7" t="inlineStr">
        <is>
          <t>מסמכי מדידה (קריאות מונה/ערך)</t>
        </is>
      </c>
      <c r="S242" s="7" t="inlineStr">
        <is>
          <t>Measurement documents / readings</t>
        </is>
      </c>
      <c r="T242" s="7" t="inlineStr">
        <is>
          <t>4. נקודות מדידה ומונים</t>
        </is>
      </c>
      <c r="U242" s="7" t="inlineStr">
        <is>
          <t>A12</t>
        </is>
      </c>
      <c r="V242" s="9">
        <f>HYPERLINK("#'"&amp;T242&amp;"'!"&amp;U242,"➜ פתח")</f>
        <v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7" t="inlineStr">
        <is>
          <t>טרנזקציה</t>
        </is>
      </c>
      <c r="Q243" s="8" t="inlineStr">
        <is>
          <t>IK12</t>
        </is>
      </c>
      <c r="R243" s="7" t="inlineStr">
        <is>
          <t>מסמכי מדידה (קריאות מונה/ערך)</t>
        </is>
      </c>
      <c r="S243" s="7" t="inlineStr">
        <is>
          <t>Measurement documents / readings</t>
        </is>
      </c>
      <c r="T243" s="7" t="inlineStr">
        <is>
          <t>4. נקודות מדידה ומונים</t>
        </is>
      </c>
      <c r="U243" s="7" t="inlineStr">
        <is>
          <t>A12</t>
        </is>
      </c>
      <c r="V243" s="9">
        <f>HYPERLINK("#'"&amp;T243&amp;"'!"&amp;U243,"➜ פתח")</f>
        <v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7" t="inlineStr">
        <is>
          <t>טרנזקציה</t>
        </is>
      </c>
      <c r="Q244" s="8" t="inlineStr">
        <is>
          <t>IK13</t>
        </is>
      </c>
      <c r="R244" s="7" t="inlineStr">
        <is>
          <t>מסמכי מדידה (קריאות מונה/ערך)</t>
        </is>
      </c>
      <c r="S244" s="7" t="inlineStr">
        <is>
          <t>Measurement documents / readings</t>
        </is>
      </c>
      <c r="T244" s="7" t="inlineStr">
        <is>
          <t>4. נקודות מדידה ומונים</t>
        </is>
      </c>
      <c r="U244" s="7" t="inlineStr">
        <is>
          <t>A12</t>
        </is>
      </c>
      <c r="V244" s="9">
        <f>HYPERLINK("#'"&amp;T244&amp;"'!"&amp;U244,"➜ פתח")</f>
        <v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7" t="inlineStr">
        <is>
          <t>טרנזקציה</t>
        </is>
      </c>
      <c r="Q245" s="8" t="inlineStr">
        <is>
          <t>IK21</t>
        </is>
      </c>
      <c r="R245" s="7" t="inlineStr">
        <is>
          <t>מסמכי מדידה (קריאות מונה/ערך)</t>
        </is>
      </c>
      <c r="S245" s="7" t="inlineStr">
        <is>
          <t>Measurement documents / readings</t>
        </is>
      </c>
      <c r="T245" s="7" t="inlineStr">
        <is>
          <t>4. נקודות מדידה ומונים</t>
        </is>
      </c>
      <c r="U245" s="7" t="inlineStr">
        <is>
          <t>A12</t>
        </is>
      </c>
      <c r="V245" s="9">
        <f>HYPERLINK("#'"&amp;T245&amp;"'!"&amp;U245,"➜ פתח")</f>
        <v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7" t="inlineStr">
        <is>
          <t>טרנזקציה</t>
        </is>
      </c>
      <c r="Q246" s="8" t="inlineStr">
        <is>
          <t>IK41</t>
        </is>
      </c>
      <c r="R246" s="7" t="inlineStr">
        <is>
          <t>מסמכי מדידה (קריאות מונה/ערך)</t>
        </is>
      </c>
      <c r="S246" s="7" t="inlineStr">
        <is>
          <t>Measurement documents / readings</t>
        </is>
      </c>
      <c r="T246" s="7" t="inlineStr">
        <is>
          <t>4. נקודות מדידה ומונים</t>
        </is>
      </c>
      <c r="U246" s="7" t="inlineStr">
        <is>
          <t>A12</t>
        </is>
      </c>
      <c r="V246" s="9">
        <f>HYPERLINK("#'"&amp;T246&amp;"'!"&amp;U246,"➜ פתח")</f>
        <v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7" t="inlineStr">
        <is>
          <t>פונקציה</t>
        </is>
      </c>
      <c r="Q247" s="8" t="inlineStr">
        <is>
          <t>BAPI_MEASUREMENTDOCUM_CREATE</t>
        </is>
      </c>
      <c r="R247" s="7" t="inlineStr">
        <is>
          <t>יצירת מסמך מדידה</t>
        </is>
      </c>
      <c r="S247" s="7" t="inlineStr">
        <is>
          <t>Measurement documents / readings</t>
        </is>
      </c>
      <c r="T247" s="7" t="inlineStr">
        <is>
          <t>4. נקודות מדידה ומונים</t>
        </is>
      </c>
      <c r="U247" s="7" t="inlineStr">
        <is>
          <t>G12</t>
        </is>
      </c>
      <c r="V247" s="9">
        <f>HYPERLINK("#'"&amp;T247&amp;"'!"&amp;U247,"➜ פתח")</f>
        <v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7" t="inlineStr">
        <is>
          <t>פונקציה</t>
        </is>
      </c>
      <c r="Q248" s="8" t="inlineStr">
        <is>
          <t>BAPI_MEASUREMENTDOCUM_CREATEM</t>
        </is>
      </c>
      <c r="R248" s="7" t="inlineStr">
        <is>
          <t>יצירת מסמכי מדידה מרובים</t>
        </is>
      </c>
      <c r="S248" s="7" t="inlineStr">
        <is>
          <t>Measurement documents / readings</t>
        </is>
      </c>
      <c r="T248" s="7" t="inlineStr">
        <is>
          <t>4. נקודות מדידה ומונים</t>
        </is>
      </c>
      <c r="U248" s="7" t="inlineStr">
        <is>
          <t>G12</t>
        </is>
      </c>
      <c r="V248" s="9">
        <f>HYPERLINK("#'"&amp;T248&amp;"'!"&amp;U248,"➜ פתח")</f>
        <v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7" t="inlineStr">
        <is>
          <t>פונקציה</t>
        </is>
      </c>
      <c r="Q249" s="8" t="inlineStr">
        <is>
          <t>MEASUREM_DOCUM_RFC_SINGLE_001</t>
        </is>
      </c>
      <c r="R249" s="7" t="inlineStr">
        <is>
          <t>קליטת קריאה בודדת RFC</t>
        </is>
      </c>
      <c r="S249" s="7" t="inlineStr">
        <is>
          <t>Measurement documents / readings</t>
        </is>
      </c>
      <c r="T249" s="7" t="inlineStr">
        <is>
          <t>4. נקודות מדידה ומונים</t>
        </is>
      </c>
      <c r="U249" s="7" t="inlineStr">
        <is>
          <t>G12</t>
        </is>
      </c>
      <c r="V249" s="9">
        <f>HYPERLINK("#'"&amp;T249&amp;"'!"&amp;U249,"➜ פתח")</f>
        <v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7" t="inlineStr">
        <is>
          <t>תוכנית</t>
        </is>
      </c>
      <c r="Q250" s="8" t="inlineStr">
        <is>
          <t>RISTRA20</t>
        </is>
      </c>
      <c r="R250" s="7" t="inlineStr">
        <is>
          <t>ניטור מועדים מבוסס מונה (IP30)</t>
        </is>
      </c>
      <c r="S250" s="7" t="inlineStr">
        <is>
          <t>Measurement documents / readings</t>
        </is>
      </c>
      <c r="T250" s="7" t="inlineStr">
        <is>
          <t>4. נקודות מדידה ומונים</t>
        </is>
      </c>
      <c r="U250" s="7" t="inlineStr">
        <is>
          <t>I12</t>
        </is>
      </c>
      <c r="V250" s="9">
        <f>HYPERLINK("#'"&amp;T250&amp;"'!"&amp;U250,"➜ פתח")</f>
        <v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7" t="inlineStr">
        <is>
          <t>Fiori</t>
        </is>
      </c>
      <c r="Q251" s="8" t="inlineStr">
        <is>
          <t>Enter Measurement Readings (אמת ID)</t>
        </is>
      </c>
      <c r="R251" s="7" t="inlineStr">
        <is>
          <t>מסמכי מדידה (קריאות מונה/ערך)</t>
        </is>
      </c>
      <c r="S251" s="7" t="inlineStr">
        <is>
          <t>Measurement documents / readings</t>
        </is>
      </c>
      <c r="T251" s="7" t="inlineStr">
        <is>
          <t>4. נקודות מדידה ומונים</t>
        </is>
      </c>
      <c r="U251" s="7" t="inlineStr">
        <is>
          <t>N12</t>
        </is>
      </c>
      <c r="V251" s="9">
        <f>HYPERLINK("#'"&amp;T251&amp;"'!"&amp;U251,"➜ פתח")</f>
        <v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7" t="inlineStr">
        <is>
          <t>User Exit</t>
        </is>
      </c>
      <c r="Q252" s="8" t="inlineStr">
        <is>
          <t>IMRC0001</t>
        </is>
      </c>
      <c r="R252" s="7" t="inlineStr">
        <is>
          <t>הרחבת בדיקות בעת קליטת מסמך מדידה</t>
        </is>
      </c>
      <c r="S252" s="7" t="inlineStr"/>
      <c r="T252" s="7" t="inlineStr">
        <is>
          <t>4. נקודות מדידה ומונים</t>
        </is>
      </c>
      <c r="U252" s="7" t="inlineStr">
        <is>
          <t>A22</t>
        </is>
      </c>
      <c r="V252" s="9">
        <f>HYPERLINK("#'"&amp;T252&amp;"'!"&amp;U252,"➜ פתח")</f>
        <v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7" t="inlineStr">
        <is>
          <t>User Exit</t>
        </is>
      </c>
      <c r="Q253" s="8" t="inlineStr">
        <is>
          <t>IMRC0002</t>
        </is>
      </c>
      <c r="R253" s="7" t="inlineStr">
        <is>
          <t>לוגיקת העברת קריאות ומונים</t>
        </is>
      </c>
      <c r="S253" s="7" t="inlineStr"/>
      <c r="T253" s="7" t="inlineStr">
        <is>
          <t>4. נקודות מדידה ומונים</t>
        </is>
      </c>
      <c r="U253" s="7" t="inlineStr">
        <is>
          <t>A23</t>
        </is>
      </c>
      <c r="V253" s="9">
        <f>HYPERLINK("#'"&amp;T253&amp;"'!"&amp;U253,"➜ פתח")</f>
        <v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7" t="inlineStr">
        <is>
          <t>BAdI</t>
        </is>
      </c>
      <c r="Q254" s="8" t="inlineStr">
        <is>
          <t>BADI_EAM_MEASPOINT</t>
        </is>
      </c>
      <c r="R254" s="7" t="inlineStr">
        <is>
          <t>הרחבת נקודות מדידה/מסמכי מדידה (אמת שם ב-SE18)</t>
        </is>
      </c>
      <c r="S254" s="7" t="inlineStr"/>
      <c r="T254" s="7" t="inlineStr">
        <is>
          <t>4. נקודות מדידה ומונים</t>
        </is>
      </c>
      <c r="U254" s="7" t="inlineStr">
        <is>
          <t>A24</t>
        </is>
      </c>
      <c r="V254" s="9">
        <f>HYPERLINK("#'"&amp;T254&amp;"'!"&amp;U254,"➜ פתח")</f>
        <v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7" t="inlineStr">
        <is>
          <t>טבלה</t>
        </is>
      </c>
      <c r="Q255" s="8" t="inlineStr">
        <is>
          <t>QPCD</t>
        </is>
      </c>
      <c r="R255" s="7" t="inlineStr">
        <is>
          <t>קודים בתוך קבוצת קוד</t>
        </is>
      </c>
      <c r="S255" s="7" t="inlineStr">
        <is>
          <t>Codes within a code group</t>
        </is>
      </c>
      <c r="T255" s="7" t="inlineStr">
        <is>
          <t>5. קטלוגים, קודים ופרופילים</t>
        </is>
      </c>
      <c r="U255" s="7" t="inlineStr">
        <is>
          <t>A3</t>
        </is>
      </c>
      <c r="V255" s="9">
        <f>HYPERLINK("#'"&amp;T255&amp;"'!"&amp;U255,"➜ פתח")</f>
        <v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7" t="inlineStr">
        <is>
          <t>שדה</t>
        </is>
      </c>
      <c r="Q256" s="8" t="inlineStr">
        <is>
          <t>KATALOGART</t>
        </is>
      </c>
      <c r="R256" s="7" t="inlineStr">
        <is>
          <t>סוג קטלוג</t>
        </is>
      </c>
      <c r="S256" s="7" t="inlineStr">
        <is>
          <t>Catalog type (B/C/D/2/5)</t>
        </is>
      </c>
      <c r="T256" s="7" t="inlineStr">
        <is>
          <t>5. קטלוגים, קודים ופרופילים</t>
        </is>
      </c>
      <c r="U256" s="7" t="inlineStr">
        <is>
          <t>D4</t>
        </is>
      </c>
      <c r="V256" s="9">
        <f>HYPERLINK("#'"&amp;T256&amp;"'!"&amp;U256,"➜ פתח")</f>
        <v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7" t="inlineStr">
        <is>
          <t>שדה</t>
        </is>
      </c>
      <c r="Q257" s="8" t="inlineStr">
        <is>
          <t>CODEGRUPPE</t>
        </is>
      </c>
      <c r="R257" s="7" t="inlineStr">
        <is>
          <t>קבוצת קוד</t>
        </is>
      </c>
      <c r="S257" s="7" t="inlineStr">
        <is>
          <t>Code group</t>
        </is>
      </c>
      <c r="T257" s="7" t="inlineStr">
        <is>
          <t>5. קטלוגים, קודים ופרופילים</t>
        </is>
      </c>
      <c r="U257" s="7" t="inlineStr">
        <is>
          <t>D5</t>
        </is>
      </c>
      <c r="V257" s="9">
        <f>HYPERLINK("#'"&amp;T257&amp;"'!"&amp;U257,"➜ פתח")</f>
        <v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7" t="inlineStr">
        <is>
          <t>שדה</t>
        </is>
      </c>
      <c r="Q258" s="8" t="inlineStr">
        <is>
          <t>CODE</t>
        </is>
      </c>
      <c r="R258" s="7" t="inlineStr">
        <is>
          <t>קוד</t>
        </is>
      </c>
      <c r="S258" s="7" t="inlineStr">
        <is>
          <t>Code</t>
        </is>
      </c>
      <c r="T258" s="7" t="inlineStr">
        <is>
          <t>5. קטלוגים, קודים ופרופילים</t>
        </is>
      </c>
      <c r="U258" s="7" t="inlineStr">
        <is>
          <t>D6</t>
        </is>
      </c>
      <c r="V258" s="9">
        <f>HYPERLINK("#'"&amp;T258&amp;"'!"&amp;U258,"➜ פתח")</f>
        <v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7" t="inlineStr">
        <is>
          <t>שדה</t>
        </is>
      </c>
      <c r="Q259" s="8" t="inlineStr">
        <is>
          <t>VERSION</t>
        </is>
      </c>
      <c r="R259" s="7" t="inlineStr">
        <is>
          <t>גרסת קוד</t>
        </is>
      </c>
      <c r="S259" s="7" t="inlineStr">
        <is>
          <t>Code version</t>
        </is>
      </c>
      <c r="T259" s="7" t="inlineStr">
        <is>
          <t>5. קטלוגים, קודים ופרופילים</t>
        </is>
      </c>
      <c r="U259" s="7" t="inlineStr">
        <is>
          <t>D7</t>
        </is>
      </c>
      <c r="V259" s="9">
        <f>HYPERLINK("#'"&amp;T259&amp;"'!"&amp;U259,"➜ פתח")</f>
        <v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7" t="inlineStr">
        <is>
          <t>טרנזקציה</t>
        </is>
      </c>
      <c r="Q260" s="8" t="inlineStr">
        <is>
          <t>QS51</t>
        </is>
      </c>
      <c r="R260" s="7" t="inlineStr">
        <is>
          <t>קודים בתוך קבוצת קוד</t>
        </is>
      </c>
      <c r="S260" s="7" t="inlineStr">
        <is>
          <t>Codes within a code group</t>
        </is>
      </c>
      <c r="T260" s="7" t="inlineStr">
        <is>
          <t>5. קטלוגים, קודים ופרופילים</t>
        </is>
      </c>
      <c r="U260" s="7" t="inlineStr">
        <is>
          <t>A4</t>
        </is>
      </c>
      <c r="V260" s="9">
        <f>HYPERLINK("#'"&amp;T260&amp;"'!"&amp;U260,"➜ פתח")</f>
        <v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7" t="inlineStr">
        <is>
          <t>טרנזקציה</t>
        </is>
      </c>
      <c r="Q261" s="8" t="inlineStr">
        <is>
          <t>QS61</t>
        </is>
      </c>
      <c r="R261" s="7" t="inlineStr">
        <is>
          <t>קודים בתוך קבוצת קוד</t>
        </is>
      </c>
      <c r="S261" s="7" t="inlineStr">
        <is>
          <t>Codes within a code group</t>
        </is>
      </c>
      <c r="T261" s="7" t="inlineStr">
        <is>
          <t>5. קטלוגים, קודים ופרופילים</t>
        </is>
      </c>
      <c r="U261" s="7" t="inlineStr">
        <is>
          <t>A4</t>
        </is>
      </c>
      <c r="V261" s="9">
        <f>HYPERLINK("#'"&amp;T261&amp;"'!"&amp;U261,"➜ פתח")</f>
        <v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7" t="inlineStr">
        <is>
          <t>פונקציה</t>
        </is>
      </c>
      <c r="Q262" s="8" t="inlineStr">
        <is>
          <t>QPK1_CODE_TEXT_READ</t>
        </is>
      </c>
      <c r="R262" s="7" t="inlineStr">
        <is>
          <t>קריאת קוד וטקסט</t>
        </is>
      </c>
      <c r="S262" s="7" t="inlineStr">
        <is>
          <t>Codes within a code group</t>
        </is>
      </c>
      <c r="T262" s="7" t="inlineStr">
        <is>
          <t>5. קטלוגים, קודים ופרופילים</t>
        </is>
      </c>
      <c r="U262" s="7" t="inlineStr">
        <is>
          <t>G4</t>
        </is>
      </c>
      <c r="V262" s="9">
        <f>HYPERLINK("#'"&amp;T262&amp;"'!"&amp;U262,"➜ פתח")</f>
        <v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7" t="inlineStr">
        <is>
          <t>פונקציה</t>
        </is>
      </c>
      <c r="Q263" s="8" t="inlineStr">
        <is>
          <t>QPK1_CATALOG_READ</t>
        </is>
      </c>
      <c r="R263" s="7" t="inlineStr">
        <is>
          <t>קריאת קטלוג</t>
        </is>
      </c>
      <c r="S263" s="7" t="inlineStr">
        <is>
          <t>Codes within a code group</t>
        </is>
      </c>
      <c r="T263" s="7" t="inlineStr">
        <is>
          <t>5. קטלוגים, קודים ופרופילים</t>
        </is>
      </c>
      <c r="U263" s="7" t="inlineStr">
        <is>
          <t>G4</t>
        </is>
      </c>
      <c r="V263" s="9">
        <f>HYPERLINK("#'"&amp;T263&amp;"'!"&amp;U263,"➜ פתח")</f>
        <v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7" t="inlineStr">
        <is>
          <t>תוכנית</t>
        </is>
      </c>
      <c r="Q264" s="8" t="inlineStr">
        <is>
          <t>RQEEAW01</t>
        </is>
      </c>
      <c r="R264" s="7" t="inlineStr">
        <is>
          <t>סקירת מבנה קטלוגים</t>
        </is>
      </c>
      <c r="S264" s="7" t="inlineStr">
        <is>
          <t>Codes within a code group</t>
        </is>
      </c>
      <c r="T264" s="7" t="inlineStr">
        <is>
          <t>5. קטלוגים, קודים ופרופילים</t>
        </is>
      </c>
      <c r="U264" s="7" t="inlineStr">
        <is>
          <t>I4</t>
        </is>
      </c>
      <c r="V264" s="9">
        <f>HYPERLINK("#'"&amp;T264&amp;"'!"&amp;U264,"➜ פתח")</f>
        <v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7" t="inlineStr">
        <is>
          <t>Fiori</t>
        </is>
      </c>
      <c r="Q265" s="8" t="inlineStr">
        <is>
          <t>אין Fiori ייעודי (Customizing)</t>
        </is>
      </c>
      <c r="R265" s="7" t="inlineStr">
        <is>
          <t>קודים בתוך קבוצת קוד</t>
        </is>
      </c>
      <c r="S265" s="7" t="inlineStr">
        <is>
          <t>Codes within a code group</t>
        </is>
      </c>
      <c r="T265" s="7" t="inlineStr">
        <is>
          <t>5. קטלוגים, קודים ופרופילים</t>
        </is>
      </c>
      <c r="U265" s="7" t="inlineStr">
        <is>
          <t>N4</t>
        </is>
      </c>
      <c r="V265" s="9">
        <f>HYPERLINK("#'"&amp;T265&amp;"'!"&amp;U265,"➜ פתח")</f>
        <v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7" t="inlineStr">
        <is>
          <t>טבלה</t>
        </is>
      </c>
      <c r="Q266" s="8" t="inlineStr">
        <is>
          <t>QPGR</t>
        </is>
      </c>
      <c r="R266" s="7" t="inlineStr">
        <is>
          <t>קבוצות קוד (במקום QPCR הלא-תקני)</t>
        </is>
      </c>
      <c r="S266" s="7" t="inlineStr">
        <is>
          <t>Code groups (correct table)</t>
        </is>
      </c>
      <c r="T266" s="7" t="inlineStr">
        <is>
          <t>5. קטלוגים, קודים ופרופילים</t>
        </is>
      </c>
      <c r="U266" s="7" t="inlineStr">
        <is>
          <t>A9</t>
        </is>
      </c>
      <c r="V266" s="9">
        <f>HYPERLINK("#'"&amp;T266&amp;"'!"&amp;U266,"➜ פתח")</f>
        <v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7" t="inlineStr">
        <is>
          <t>שדה</t>
        </is>
      </c>
      <c r="Q267" s="8" t="inlineStr">
        <is>
          <t>KATALOGART</t>
        </is>
      </c>
      <c r="R267" s="7" t="inlineStr">
        <is>
          <t>סוג קטלוג</t>
        </is>
      </c>
      <c r="S267" s="7" t="inlineStr">
        <is>
          <t>Catalog type</t>
        </is>
      </c>
      <c r="T267" s="7" t="inlineStr">
        <is>
          <t>5. קטלוגים, קודים ופרופילים</t>
        </is>
      </c>
      <c r="U267" s="7" t="inlineStr">
        <is>
          <t>D10</t>
        </is>
      </c>
      <c r="V267" s="9">
        <f>HYPERLINK("#'"&amp;T267&amp;"'!"&amp;U267,"➜ פתח")</f>
        <v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7" t="inlineStr">
        <is>
          <t>שדה</t>
        </is>
      </c>
      <c r="Q268" s="8" t="inlineStr">
        <is>
          <t>CODEGRUPPE</t>
        </is>
      </c>
      <c r="R268" s="7" t="inlineStr">
        <is>
          <t>קבוצת קוד</t>
        </is>
      </c>
      <c r="S268" s="7" t="inlineStr">
        <is>
          <t>Code group</t>
        </is>
      </c>
      <c r="T268" s="7" t="inlineStr">
        <is>
          <t>5. קטלוגים, קודים ופרופילים</t>
        </is>
      </c>
      <c r="U268" s="7" t="inlineStr">
        <is>
          <t>D11</t>
        </is>
      </c>
      <c r="V268" s="9">
        <f>HYPERLINK("#'"&amp;T268&amp;"'!"&amp;U268,"➜ פתח")</f>
        <v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7" t="inlineStr">
        <is>
          <t>שדה</t>
        </is>
      </c>
      <c r="Q269" s="8" t="inlineStr">
        <is>
          <t>STATUS</t>
        </is>
      </c>
      <c r="R269" s="7" t="inlineStr">
        <is>
          <t>סטטוס קבוצה</t>
        </is>
      </c>
      <c r="S269" s="7" t="inlineStr">
        <is>
          <t>Code group status</t>
        </is>
      </c>
      <c r="T269" s="7" t="inlineStr">
        <is>
          <t>5. קטלוגים, קודים ופרופילים</t>
        </is>
      </c>
      <c r="U269" s="7" t="inlineStr">
        <is>
          <t>D12</t>
        </is>
      </c>
      <c r="V269" s="9">
        <f>HYPERLINK("#'"&amp;T269&amp;"'!"&amp;U269,"➜ פתח")</f>
        <v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7" t="inlineStr">
        <is>
          <t>שדה</t>
        </is>
      </c>
      <c r="Q270" s="8" t="inlineStr">
        <is>
          <t>VERWMERKM</t>
        </is>
      </c>
      <c r="R270" s="7" t="inlineStr">
        <is>
          <t>שימוש בקבוצת בחירה</t>
        </is>
      </c>
      <c r="S270" s="7" t="inlineStr">
        <is>
          <t>Selection set usage</t>
        </is>
      </c>
      <c r="T270" s="7" t="inlineStr">
        <is>
          <t>5. קטלוגים, קודים ופרופילים</t>
        </is>
      </c>
      <c r="U270" s="7" t="inlineStr">
        <is>
          <t>D13</t>
        </is>
      </c>
      <c r="V270" s="9">
        <f>HYPERLINK("#'"&amp;T270&amp;"'!"&amp;U270,"➜ פתח")</f>
        <v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7" t="inlineStr">
        <is>
          <t>טרנזקציה</t>
        </is>
      </c>
      <c r="Q271" s="8" t="inlineStr">
        <is>
          <t>QS51</t>
        </is>
      </c>
      <c r="R271" s="7" t="inlineStr">
        <is>
          <t>קבוצות קוד (במקום QPCR הלא-תקני)</t>
        </is>
      </c>
      <c r="S271" s="7" t="inlineStr">
        <is>
          <t>Code groups (correct table)</t>
        </is>
      </c>
      <c r="T271" s="7" t="inlineStr">
        <is>
          <t>5. קטלוגים, קודים ופרופילים</t>
        </is>
      </c>
      <c r="U271" s="7" t="inlineStr">
        <is>
          <t>A10</t>
        </is>
      </c>
      <c r="V271" s="9">
        <f>HYPERLINK("#'"&amp;T271&amp;"'!"&amp;U271,"➜ פתח")</f>
        <v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7" t="inlineStr">
        <is>
          <t>טרנזקציה</t>
        </is>
      </c>
      <c r="Q272" s="8" t="inlineStr">
        <is>
          <t>QS61</t>
        </is>
      </c>
      <c r="R272" s="7" t="inlineStr">
        <is>
          <t>קבוצות קוד (במקום QPCR הלא-תקני)</t>
        </is>
      </c>
      <c r="S272" s="7" t="inlineStr">
        <is>
          <t>Code groups (correct table)</t>
        </is>
      </c>
      <c r="T272" s="7" t="inlineStr">
        <is>
          <t>5. קטלוגים, קודים ופרופילים</t>
        </is>
      </c>
      <c r="U272" s="7" t="inlineStr">
        <is>
          <t>A10</t>
        </is>
      </c>
      <c r="V272" s="9">
        <f>HYPERLINK("#'"&amp;T272&amp;"'!"&amp;U272,"➜ פתח")</f>
        <v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7" t="inlineStr">
        <is>
          <t>פונקציה</t>
        </is>
      </c>
      <c r="Q273" s="8" t="inlineStr">
        <is>
          <t>QPK1_CODEGROUP_READ</t>
        </is>
      </c>
      <c r="R273" s="7" t="inlineStr">
        <is>
          <t>קריאת קבוצת קוד</t>
        </is>
      </c>
      <c r="S273" s="7" t="inlineStr">
        <is>
          <t>Code groups (correct table)</t>
        </is>
      </c>
      <c r="T273" s="7" t="inlineStr">
        <is>
          <t>5. קטלוגים, קודים ופרופילים</t>
        </is>
      </c>
      <c r="U273" s="7" t="inlineStr">
        <is>
          <t>G10</t>
        </is>
      </c>
      <c r="V273" s="9">
        <f>HYPERLINK("#'"&amp;T273&amp;"'!"&amp;U273,"➜ פתח")</f>
        <v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7" t="inlineStr">
        <is>
          <t>תוכנית</t>
        </is>
      </c>
      <c r="Q274" s="8" t="inlineStr">
        <is>
          <t>RQEEAW02</t>
        </is>
      </c>
      <c r="R274" s="7" t="inlineStr">
        <is>
          <t>דוח קבוצות קוד וקודים</t>
        </is>
      </c>
      <c r="S274" s="7" t="inlineStr">
        <is>
          <t>Code groups (correct table)</t>
        </is>
      </c>
      <c r="T274" s="7" t="inlineStr">
        <is>
          <t>5. קטלוגים, קודים ופרופילים</t>
        </is>
      </c>
      <c r="U274" s="7" t="inlineStr">
        <is>
          <t>I10</t>
        </is>
      </c>
      <c r="V274" s="9">
        <f>HYPERLINK("#'"&amp;T274&amp;"'!"&amp;U274,"➜ פתח")</f>
        <v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7" t="inlineStr">
        <is>
          <t>Fiori</t>
        </is>
      </c>
      <c r="Q275" s="8" t="inlineStr">
        <is>
          <t>אין Fiori ייעודי (Customizing)</t>
        </is>
      </c>
      <c r="R275" s="7" t="inlineStr">
        <is>
          <t>קבוצות קוד (במקום QPCR הלא-תקני)</t>
        </is>
      </c>
      <c r="S275" s="7" t="inlineStr">
        <is>
          <t>Code groups (correct table)</t>
        </is>
      </c>
      <c r="T275" s="7" t="inlineStr">
        <is>
          <t>5. קטלוגים, קודים ופרופילים</t>
        </is>
      </c>
      <c r="U275" s="7" t="inlineStr">
        <is>
          <t>N10</t>
        </is>
      </c>
      <c r="V275" s="9">
        <f>HYPERLINK("#'"&amp;T275&amp;"'!"&amp;U275,"➜ פתח")</f>
        <v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7" t="inlineStr">
        <is>
          <t>טבלה</t>
        </is>
      </c>
      <c r="Q276" s="8" t="inlineStr">
        <is>
          <t>T352B</t>
        </is>
      </c>
      <c r="R276" s="7" t="inlineStr">
        <is>
          <t>שיוך פרופיל קטלוג לקבוצות בחירה</t>
        </is>
      </c>
      <c r="S276" s="7" t="inlineStr">
        <is>
          <t>Catalog profile to selection-set link</t>
        </is>
      </c>
      <c r="T276" s="7" t="inlineStr">
        <is>
          <t>5. קטלוגים, קודים ופרופילים</t>
        </is>
      </c>
      <c r="U276" s="7" t="inlineStr">
        <is>
          <t>A15</t>
        </is>
      </c>
      <c r="V276" s="9">
        <f>HYPERLINK("#'"&amp;T276&amp;"'!"&amp;U276,"➜ פתח")</f>
        <v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7" t="inlineStr">
        <is>
          <t>שדה</t>
        </is>
      </c>
      <c r="Q277" s="8" t="inlineStr">
        <is>
          <t>RBNR</t>
        </is>
      </c>
      <c r="R277" s="7" t="inlineStr">
        <is>
          <t>פרופיל קטלוג</t>
        </is>
      </c>
      <c r="S277" s="7" t="inlineStr">
        <is>
          <t>Catalog profile</t>
        </is>
      </c>
      <c r="T277" s="7" t="inlineStr">
        <is>
          <t>5. קטלוגים, קודים ופרופילים</t>
        </is>
      </c>
      <c r="U277" s="7" t="inlineStr">
        <is>
          <t>D16</t>
        </is>
      </c>
      <c r="V277" s="9">
        <f>HYPERLINK("#'"&amp;T277&amp;"'!"&amp;U277,"➜ פתח")</f>
        <v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7" t="inlineStr">
        <is>
          <t>שדה</t>
        </is>
      </c>
      <c r="Q278" s="8" t="inlineStr">
        <is>
          <t>KATALOGART</t>
        </is>
      </c>
      <c r="R278" s="7" t="inlineStr">
        <is>
          <t>סוג קטלוג</t>
        </is>
      </c>
      <c r="S278" s="7" t="inlineStr">
        <is>
          <t>Catalog type</t>
        </is>
      </c>
      <c r="T278" s="7" t="inlineStr">
        <is>
          <t>5. קטלוגים, קודים ופרופילים</t>
        </is>
      </c>
      <c r="U278" s="7" t="inlineStr">
        <is>
          <t>D17</t>
        </is>
      </c>
      <c r="V278" s="9">
        <f>HYPERLINK("#'"&amp;T278&amp;"'!"&amp;U278,"➜ פתח")</f>
        <v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7" t="inlineStr">
        <is>
          <t>שדה</t>
        </is>
      </c>
      <c r="Q279" s="8" t="inlineStr">
        <is>
          <t>CODEGRUPPE</t>
        </is>
      </c>
      <c r="R279" s="7" t="inlineStr">
        <is>
          <t>קבוצת קוד מותרת</t>
        </is>
      </c>
      <c r="S279" s="7" t="inlineStr">
        <is>
          <t>Allowed code group</t>
        </is>
      </c>
      <c r="T279" s="7" t="inlineStr">
        <is>
          <t>5. קטלוגים, קודים ופרופילים</t>
        </is>
      </c>
      <c r="U279" s="7" t="inlineStr">
        <is>
          <t>D18</t>
        </is>
      </c>
      <c r="V279" s="9">
        <f>HYPERLINK("#'"&amp;T279&amp;"'!"&amp;U279,"➜ פתח")</f>
        <v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7" t="inlineStr">
        <is>
          <t>שדה</t>
        </is>
      </c>
      <c r="Q280" s="8" t="inlineStr">
        <is>
          <t>AUSWMENGEN</t>
        </is>
      </c>
      <c r="R280" s="7" t="inlineStr">
        <is>
          <t>קבוצת בחירה</t>
        </is>
      </c>
      <c r="S280" s="7" t="inlineStr">
        <is>
          <t>Selection set</t>
        </is>
      </c>
      <c r="T280" s="7" t="inlineStr">
        <is>
          <t>5. קטלוגים, קודים ופרופילים</t>
        </is>
      </c>
      <c r="U280" s="7" t="inlineStr">
        <is>
          <t>D19</t>
        </is>
      </c>
      <c r="V280" s="9">
        <f>HYPERLINK("#'"&amp;T280&amp;"'!"&amp;U280,"➜ פתח")</f>
        <v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7" t="inlineStr">
        <is>
          <t>טרנזקציה</t>
        </is>
      </c>
      <c r="Q281" s="8" t="inlineStr">
        <is>
          <t>OIM1</t>
        </is>
      </c>
      <c r="R281" s="7" t="inlineStr">
        <is>
          <t>שיוך פרופיל קטלוג לקבוצות בחירה</t>
        </is>
      </c>
      <c r="S281" s="7" t="inlineStr">
        <is>
          <t>Catalog profile to selection-set link</t>
        </is>
      </c>
      <c r="T281" s="7" t="inlineStr">
        <is>
          <t>5. קטלוגים, קודים ופרופילים</t>
        </is>
      </c>
      <c r="U281" s="7" t="inlineStr">
        <is>
          <t>A16</t>
        </is>
      </c>
      <c r="V281" s="9">
        <f>HYPERLINK("#'"&amp;T281&amp;"'!"&amp;U281,"➜ פתח")</f>
        <v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7" t="inlineStr">
        <is>
          <t>טרנזקציה</t>
        </is>
      </c>
      <c r="Q282" s="8" t="inlineStr">
        <is>
          <t>OIN4</t>
        </is>
      </c>
      <c r="R282" s="7" t="inlineStr">
        <is>
          <t>שיוך פרופיל קטלוג לקבוצות בחירה</t>
        </is>
      </c>
      <c r="S282" s="7" t="inlineStr">
        <is>
          <t>Catalog profile to selection-set link</t>
        </is>
      </c>
      <c r="T282" s="7" t="inlineStr">
        <is>
          <t>5. קטלוגים, קודים ופרופילים</t>
        </is>
      </c>
      <c r="U282" s="7" t="inlineStr">
        <is>
          <t>A16</t>
        </is>
      </c>
      <c r="V282" s="9">
        <f>HYPERLINK("#'"&amp;T282&amp;"'!"&amp;U282,"➜ פתח")</f>
        <v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7" t="inlineStr">
        <is>
          <t>פונקציה</t>
        </is>
      </c>
      <c r="Q283" s="8" t="inlineStr">
        <is>
          <t>CATALOG_PROFILE_READ</t>
        </is>
      </c>
      <c r="R283" s="7" t="inlineStr">
        <is>
          <t>קריאת פרופיל קטלוג</t>
        </is>
      </c>
      <c r="S283" s="7" t="inlineStr">
        <is>
          <t>Catalog profile to selection-set link</t>
        </is>
      </c>
      <c r="T283" s="7" t="inlineStr">
        <is>
          <t>5. קטלוגים, קודים ופרופילים</t>
        </is>
      </c>
      <c r="U283" s="7" t="inlineStr">
        <is>
          <t>G16</t>
        </is>
      </c>
      <c r="V283" s="9">
        <f>HYPERLINK("#'"&amp;T283&amp;"'!"&amp;U283,"➜ פתח")</f>
        <v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7" t="inlineStr">
        <is>
          <t>תוכנית</t>
        </is>
      </c>
      <c r="Q284" s="8" t="inlineStr">
        <is>
          <t>RIPROFCAT</t>
        </is>
      </c>
      <c r="R284" s="7" t="inlineStr">
        <is>
          <t>ניתוח פרופילי קטלוג ושיוכם</t>
        </is>
      </c>
      <c r="S284" s="7" t="inlineStr">
        <is>
          <t>Catalog profile to selection-set link</t>
        </is>
      </c>
      <c r="T284" s="7" t="inlineStr">
        <is>
          <t>5. קטלוגים, קודים ופרופילים</t>
        </is>
      </c>
      <c r="U284" s="7" t="inlineStr">
        <is>
          <t>I16</t>
        </is>
      </c>
      <c r="V284" s="9">
        <f>HYPERLINK("#'"&amp;T284&amp;"'!"&amp;U284,"➜ פתח")</f>
        <v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7" t="inlineStr">
        <is>
          <t>Fiori</t>
        </is>
      </c>
      <c r="Q285" s="8" t="inlineStr">
        <is>
          <t>אין Fiori ייעודי (Customizing)</t>
        </is>
      </c>
      <c r="R285" s="7" t="inlineStr">
        <is>
          <t>שיוך פרופיל קטלוג לקבוצות בחירה</t>
        </is>
      </c>
      <c r="S285" s="7" t="inlineStr">
        <is>
          <t>Catalog profile to selection-set link</t>
        </is>
      </c>
      <c r="T285" s="7" t="inlineStr">
        <is>
          <t>5. קטלוגים, קודים ופרופילים</t>
        </is>
      </c>
      <c r="U285" s="7" t="inlineStr">
        <is>
          <t>N16</t>
        </is>
      </c>
      <c r="V285" s="9">
        <f>HYPERLINK("#'"&amp;T285&amp;"'!"&amp;U285,"➜ פתח")</f>
        <v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7" t="inlineStr">
        <is>
          <t>טבלה</t>
        </is>
      </c>
      <c r="Q286" s="8" t="inlineStr">
        <is>
          <t>T352</t>
        </is>
      </c>
      <c r="R286" s="7" t="inlineStr">
        <is>
          <t>פרופיל קטלוג (כותרת)</t>
        </is>
      </c>
      <c r="S286" s="7" t="inlineStr">
        <is>
          <t>Catalog profile header</t>
        </is>
      </c>
      <c r="T286" s="7" t="inlineStr">
        <is>
          <t>5. קטלוגים, קודים ופרופילים</t>
        </is>
      </c>
      <c r="U286" s="7" t="inlineStr">
        <is>
          <t>A21</t>
        </is>
      </c>
      <c r="V286" s="9">
        <f>HYPERLINK("#'"&amp;T286&amp;"'!"&amp;U286,"➜ פתח")</f>
        <v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7" t="inlineStr">
        <is>
          <t>שדה</t>
        </is>
      </c>
      <c r="Q287" s="8" t="inlineStr">
        <is>
          <t>RBNR</t>
        </is>
      </c>
      <c r="R287" s="7" t="inlineStr">
        <is>
          <t>פרופיל קטלוג</t>
        </is>
      </c>
      <c r="S287" s="7" t="inlineStr">
        <is>
          <t>Catalog profile</t>
        </is>
      </c>
      <c r="T287" s="7" t="inlineStr">
        <is>
          <t>5. קטלוגים, קודים ופרופילים</t>
        </is>
      </c>
      <c r="U287" s="7" t="inlineStr">
        <is>
          <t>D22</t>
        </is>
      </c>
      <c r="V287" s="9">
        <f>HYPERLINK("#'"&amp;T287&amp;"'!"&amp;U287,"➜ פתח")</f>
        <v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7" t="inlineStr">
        <is>
          <t>שדה</t>
        </is>
      </c>
      <c r="Q288" s="8" t="inlineStr">
        <is>
          <t>HERKZ</t>
        </is>
      </c>
      <c r="R288" s="7" t="inlineStr">
        <is>
          <t>מחוון מקור</t>
        </is>
      </c>
      <c r="S288" s="7" t="inlineStr">
        <is>
          <t>Origin indicator</t>
        </is>
      </c>
      <c r="T288" s="7" t="inlineStr">
        <is>
          <t>5. קטלוגים, קודים ופרופילים</t>
        </is>
      </c>
      <c r="U288" s="7" t="inlineStr">
        <is>
          <t>D23</t>
        </is>
      </c>
      <c r="V288" s="9">
        <f>HYPERLINK("#'"&amp;T288&amp;"'!"&amp;U288,"➜ פתח")</f>
        <v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7" t="inlineStr">
        <is>
          <t>שדה</t>
        </is>
      </c>
      <c r="Q289" s="8" t="inlineStr">
        <is>
          <t>RBNRX</t>
        </is>
      </c>
      <c r="R289" s="7" t="inlineStr">
        <is>
          <t>תיאור פרופיל</t>
        </is>
      </c>
      <c r="S289" s="7" t="inlineStr">
        <is>
          <t>Profile description</t>
        </is>
      </c>
      <c r="T289" s="7" t="inlineStr">
        <is>
          <t>5. קטלוגים, קודים ופרופילים</t>
        </is>
      </c>
      <c r="U289" s="7" t="inlineStr">
        <is>
          <t>D24</t>
        </is>
      </c>
      <c r="V289" s="9">
        <f>HYPERLINK("#'"&amp;T289&amp;"'!"&amp;U289,"➜ פתח")</f>
        <v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7" t="inlineStr">
        <is>
          <t>טרנזקציה</t>
        </is>
      </c>
      <c r="Q290" s="8" t="inlineStr">
        <is>
          <t>OIM1</t>
        </is>
      </c>
      <c r="R290" s="7" t="inlineStr">
        <is>
          <t>פרופיל קטלוג (כותרת)</t>
        </is>
      </c>
      <c r="S290" s="7" t="inlineStr">
        <is>
          <t>Catalog profile header</t>
        </is>
      </c>
      <c r="T290" s="7" t="inlineStr">
        <is>
          <t>5. קטלוגים, קודים ופרופילים</t>
        </is>
      </c>
      <c r="U290" s="7" t="inlineStr">
        <is>
          <t>A22</t>
        </is>
      </c>
      <c r="V290" s="9">
        <f>HYPERLINK("#'"&amp;T290&amp;"'!"&amp;U290,"➜ פתח")</f>
        <v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7" t="inlineStr">
        <is>
          <t>טרנזקציה</t>
        </is>
      </c>
      <c r="Q291" s="8" t="inlineStr">
        <is>
          <t>QCC0</t>
        </is>
      </c>
      <c r="R291" s="7" t="inlineStr">
        <is>
          <t>פרופיל קטלוג (כותרת)</t>
        </is>
      </c>
      <c r="S291" s="7" t="inlineStr">
        <is>
          <t>Catalog profile header</t>
        </is>
      </c>
      <c r="T291" s="7" t="inlineStr">
        <is>
          <t>5. קטלוגים, קודים ופרופילים</t>
        </is>
      </c>
      <c r="U291" s="7" t="inlineStr">
        <is>
          <t>A22</t>
        </is>
      </c>
      <c r="V291" s="9">
        <f>HYPERLINK("#'"&amp;T291&amp;"'!"&amp;U291,"➜ פתח")</f>
        <v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7" t="inlineStr">
        <is>
          <t>פונקציה</t>
        </is>
      </c>
      <c r="Q292" s="8" t="inlineStr">
        <is>
          <t>T352_READ</t>
        </is>
      </c>
      <c r="R292" s="7" t="inlineStr">
        <is>
          <t>קריאת פרופיל קטלוג</t>
        </is>
      </c>
      <c r="S292" s="7" t="inlineStr">
        <is>
          <t>Catalog profile header</t>
        </is>
      </c>
      <c r="T292" s="7" t="inlineStr">
        <is>
          <t>5. קטלוגים, קודים ופרופילים</t>
        </is>
      </c>
      <c r="U292" s="7" t="inlineStr">
        <is>
          <t>G22</t>
        </is>
      </c>
      <c r="V292" s="9">
        <f>HYPERLINK("#'"&amp;T292&amp;"'!"&amp;U292,"➜ פתח")</f>
        <v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7" t="inlineStr">
        <is>
          <t>תוכנית</t>
        </is>
      </c>
      <c r="Q293" s="8" t="inlineStr">
        <is>
          <t>RIPROFCAT</t>
        </is>
      </c>
      <c r="R293" s="7" t="inlineStr">
        <is>
          <t>ניתוח פרופילי קטלוג</t>
        </is>
      </c>
      <c r="S293" s="7" t="inlineStr">
        <is>
          <t>Catalog profile header</t>
        </is>
      </c>
      <c r="T293" s="7" t="inlineStr">
        <is>
          <t>5. קטלוגים, קודים ופרופילים</t>
        </is>
      </c>
      <c r="U293" s="7" t="inlineStr">
        <is>
          <t>I22</t>
        </is>
      </c>
      <c r="V293" s="9">
        <f>HYPERLINK("#'"&amp;T293&amp;"'!"&amp;U293,"➜ פתח")</f>
        <v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7" t="inlineStr">
        <is>
          <t>Fiori</t>
        </is>
      </c>
      <c r="Q294" s="8" t="inlineStr">
        <is>
          <t>אין Fiori ייעודי (Customizing)</t>
        </is>
      </c>
      <c r="R294" s="7" t="inlineStr">
        <is>
          <t>פרופיל קטלוג (כותרת)</t>
        </is>
      </c>
      <c r="S294" s="7" t="inlineStr">
        <is>
          <t>Catalog profile header</t>
        </is>
      </c>
      <c r="T294" s="7" t="inlineStr">
        <is>
          <t>5. קטלוגים, קודים ופרופילים</t>
        </is>
      </c>
      <c r="U294" s="7" t="inlineStr">
        <is>
          <t>N22</t>
        </is>
      </c>
      <c r="V294" s="9">
        <f>HYPERLINK("#'"&amp;T294&amp;"'!"&amp;U294,"➜ פתח")</f>
        <v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7" t="inlineStr">
        <is>
          <t>User Exit</t>
        </is>
      </c>
      <c r="Q295" s="8" t="inlineStr">
        <is>
          <t>QQMA0001</t>
        </is>
      </c>
      <c r="R295" s="7" t="inlineStr">
        <is>
          <t>בדיקות כלליות בקטלוגים/קודים (משותף QM-PM)</t>
        </is>
      </c>
      <c r="S295" s="7" t="inlineStr"/>
      <c r="T295" s="7" t="inlineStr">
        <is>
          <t>5. קטלוגים, קודים ופרופילים</t>
        </is>
      </c>
      <c r="U295" s="7" t="inlineStr">
        <is>
          <t>A29</t>
        </is>
      </c>
      <c r="V295" s="9">
        <f>HYPERLINK("#'"&amp;T295&amp;"'!"&amp;U295,"➜ פתח")</f>
        <v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7" t="inlineStr">
        <is>
          <t>BAdI</t>
        </is>
      </c>
      <c r="Q296" s="8" t="inlineStr">
        <is>
          <t>BADI_CATALOG</t>
        </is>
      </c>
      <c r="R296" s="7" t="inlineStr">
        <is>
          <t>הרחבת לוגיקת קטלוגים (אמת שם ב-SE18)</t>
        </is>
      </c>
      <c r="S296" s="7" t="inlineStr"/>
      <c r="T296" s="7" t="inlineStr">
        <is>
          <t>5. קטלוגים, קודים ופרופילים</t>
        </is>
      </c>
      <c r="U296" s="7" t="inlineStr">
        <is>
          <t>A30</t>
        </is>
      </c>
      <c r="V296" s="9">
        <f>HYPERLINK("#'"&amp;T296&amp;"'!"&amp;U296,"➜ פתח")</f>
        <v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7" t="inlineStr">
        <is>
          <t>טבלה</t>
        </is>
      </c>
      <c r="Q297" s="8" t="inlineStr">
        <is>
          <t>QMEL</t>
        </is>
      </c>
      <c r="R297" s="7" t="inlineStr">
        <is>
          <t>כותרת הודעת אחזקה</t>
        </is>
      </c>
      <c r="S297" s="7" t="inlineStr">
        <is>
          <t>Notification header</t>
        </is>
      </c>
      <c r="T297" s="7" t="inlineStr">
        <is>
          <t>6. הודעות אחזקה (Notifications)</t>
        </is>
      </c>
      <c r="U297" s="7" t="inlineStr">
        <is>
          <t>A3</t>
        </is>
      </c>
      <c r="V297" s="9">
        <f>HYPERLINK("#'"&amp;T297&amp;"'!"&amp;U297,"➜ פתח")</f>
        <v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7" t="inlineStr">
        <is>
          <t>שדה</t>
        </is>
      </c>
      <c r="Q298" s="8" t="inlineStr">
        <is>
          <t>QMNUM</t>
        </is>
      </c>
      <c r="R298" s="7" t="inlineStr">
        <is>
          <t>מספר הודעה</t>
        </is>
      </c>
      <c r="S298" s="7" t="inlineStr">
        <is>
          <t>Notification number</t>
        </is>
      </c>
      <c r="T298" s="7" t="inlineStr">
        <is>
          <t>6. הודעות אחזקה (Notifications)</t>
        </is>
      </c>
      <c r="U298" s="7" t="inlineStr">
        <is>
          <t>D4</t>
        </is>
      </c>
      <c r="V298" s="9">
        <f>HYPERLINK("#'"&amp;T298&amp;"'!"&amp;U298,"➜ פתח")</f>
        <v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7" t="inlineStr">
        <is>
          <t>שדה</t>
        </is>
      </c>
      <c r="Q299" s="8" t="inlineStr">
        <is>
          <t>QMART</t>
        </is>
      </c>
      <c r="R299" s="7" t="inlineStr">
        <is>
          <t>סוג הודעה</t>
        </is>
      </c>
      <c r="S299" s="7" t="inlineStr">
        <is>
          <t>Notification type (M1/M2/M3)</t>
        </is>
      </c>
      <c r="T299" s="7" t="inlineStr">
        <is>
          <t>6. הודעות אחזקה (Notifications)</t>
        </is>
      </c>
      <c r="U299" s="7" t="inlineStr">
        <is>
          <t>D5</t>
        </is>
      </c>
      <c r="V299" s="9">
        <f>HYPERLINK("#'"&amp;T299&amp;"'!"&amp;U299,"➜ פתח")</f>
        <v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7" t="inlineStr">
        <is>
          <t>שדה</t>
        </is>
      </c>
      <c r="Q300" s="8" t="inlineStr">
        <is>
          <t>QMTXT</t>
        </is>
      </c>
      <c r="R300" s="7" t="inlineStr">
        <is>
          <t>תיאור קצר</t>
        </is>
      </c>
      <c r="S300" s="7" t="inlineStr">
        <is>
          <t>Notification short text</t>
        </is>
      </c>
      <c r="T300" s="7" t="inlineStr">
        <is>
          <t>6. הודעות אחזקה (Notifications)</t>
        </is>
      </c>
      <c r="U300" s="7" t="inlineStr">
        <is>
          <t>D6</t>
        </is>
      </c>
      <c r="V300" s="9">
        <f>HYPERLINK("#'"&amp;T300&amp;"'!"&amp;U300,"➜ פתח")</f>
        <v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7" t="inlineStr">
        <is>
          <t>שדה</t>
        </is>
      </c>
      <c r="Q301" s="8" t="inlineStr">
        <is>
          <t>EQUNR</t>
        </is>
      </c>
      <c r="R301" s="7" t="inlineStr">
        <is>
          <t>ציוד מתייחס</t>
        </is>
      </c>
      <c r="S301" s="7" t="inlineStr">
        <is>
          <t>Reference equipment</t>
        </is>
      </c>
      <c r="T301" s="7" t="inlineStr">
        <is>
          <t>6. הודעות אחזקה (Notifications)</t>
        </is>
      </c>
      <c r="U301" s="7" t="inlineStr">
        <is>
          <t>D7</t>
        </is>
      </c>
      <c r="V301" s="9">
        <f>HYPERLINK("#'"&amp;T301&amp;"'!"&amp;U301,"➜ פתח")</f>
        <v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7" t="inlineStr">
        <is>
          <t>שדה</t>
        </is>
      </c>
      <c r="Q302" s="8" t="inlineStr">
        <is>
          <t>TPLNR</t>
        </is>
      </c>
      <c r="R302" s="7" t="inlineStr">
        <is>
          <t>מיקום מתייחס</t>
        </is>
      </c>
      <c r="S302" s="7" t="inlineStr">
        <is>
          <t>Reference functional location</t>
        </is>
      </c>
      <c r="T302" s="7" t="inlineStr">
        <is>
          <t>6. הודעות אחזקה (Notifications)</t>
        </is>
      </c>
      <c r="U302" s="7" t="inlineStr">
        <is>
          <t>D8</t>
        </is>
      </c>
      <c r="V302" s="9">
        <f>HYPERLINK("#'"&amp;T302&amp;"'!"&amp;U302,"➜ פתח")</f>
        <v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7" t="inlineStr">
        <is>
          <t>שדה</t>
        </is>
      </c>
      <c r="Q303" s="8" t="inlineStr">
        <is>
          <t>OBJNR</t>
        </is>
      </c>
      <c r="R303" s="7" t="inlineStr">
        <is>
          <t>מפתח אובייקט לסטטוס</t>
        </is>
      </c>
      <c r="S303" s="7" t="inlineStr">
        <is>
          <t>Object number (status)</t>
        </is>
      </c>
      <c r="T303" s="7" t="inlineStr">
        <is>
          <t>6. הודעות אחזקה (Notifications)</t>
        </is>
      </c>
      <c r="U303" s="7" t="inlineStr">
        <is>
          <t>D9</t>
        </is>
      </c>
      <c r="V303" s="9">
        <f>HYPERLINK("#'"&amp;T303&amp;"'!"&amp;U303,"➜ פתח")</f>
        <v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7" t="inlineStr">
        <is>
          <t>טרנזקציה</t>
        </is>
      </c>
      <c r="Q304" s="8" t="inlineStr">
        <is>
          <t>IW21</t>
        </is>
      </c>
      <c r="R304" s="7" t="inlineStr">
        <is>
          <t>כותרת הודעת אחזקה</t>
        </is>
      </c>
      <c r="S304" s="7" t="inlineStr">
        <is>
          <t>Notification header</t>
        </is>
      </c>
      <c r="T304" s="7" t="inlineStr">
        <is>
          <t>6. הודעות אחזקה (Notifications)</t>
        </is>
      </c>
      <c r="U304" s="7" t="inlineStr">
        <is>
          <t>A4</t>
        </is>
      </c>
      <c r="V304" s="9">
        <f>HYPERLINK("#'"&amp;T304&amp;"'!"&amp;U304,"➜ פתח")</f>
        <v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7" t="inlineStr">
        <is>
          <t>טרנזקציה</t>
        </is>
      </c>
      <c r="Q305" s="8" t="inlineStr">
        <is>
          <t>IW22</t>
        </is>
      </c>
      <c r="R305" s="7" t="inlineStr">
        <is>
          <t>כותרת הודעת אחזקה</t>
        </is>
      </c>
      <c r="S305" s="7" t="inlineStr">
        <is>
          <t>Notification header</t>
        </is>
      </c>
      <c r="T305" s="7" t="inlineStr">
        <is>
          <t>6. הודעות אחזקה (Notifications)</t>
        </is>
      </c>
      <c r="U305" s="7" t="inlineStr">
        <is>
          <t>A4</t>
        </is>
      </c>
      <c r="V305" s="9">
        <f>HYPERLINK("#'"&amp;T305&amp;"'!"&amp;U305,"➜ פתח")</f>
        <v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7" t="inlineStr">
        <is>
          <t>טרנזקציה</t>
        </is>
      </c>
      <c r="Q306" s="8" t="inlineStr">
        <is>
          <t>IW23</t>
        </is>
      </c>
      <c r="R306" s="7" t="inlineStr">
        <is>
          <t>כותרת הודעת אחזקה</t>
        </is>
      </c>
      <c r="S306" s="7" t="inlineStr">
        <is>
          <t>Notification header</t>
        </is>
      </c>
      <c r="T306" s="7" t="inlineStr">
        <is>
          <t>6. הודעות אחזקה (Notifications)</t>
        </is>
      </c>
      <c r="U306" s="7" t="inlineStr">
        <is>
          <t>A4</t>
        </is>
      </c>
      <c r="V306" s="9">
        <f>HYPERLINK("#'"&amp;T306&amp;"'!"&amp;U306,"➜ פתח")</f>
        <v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7" t="inlineStr">
        <is>
          <t>טרנזקציה</t>
        </is>
      </c>
      <c r="Q307" s="8" t="inlineStr">
        <is>
          <t>IW24</t>
        </is>
      </c>
      <c r="R307" s="7" t="inlineStr">
        <is>
          <t>כותרת הודעת אחזקה</t>
        </is>
      </c>
      <c r="S307" s="7" t="inlineStr">
        <is>
          <t>Notification header</t>
        </is>
      </c>
      <c r="T307" s="7" t="inlineStr">
        <is>
          <t>6. הודעות אחזקה (Notifications)</t>
        </is>
      </c>
      <c r="U307" s="7" t="inlineStr">
        <is>
          <t>A4</t>
        </is>
      </c>
      <c r="V307" s="9">
        <f>HYPERLINK("#'"&amp;T307&amp;"'!"&amp;U307,"➜ פתח")</f>
        <v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7" t="inlineStr">
        <is>
          <t>טרנזקציה</t>
        </is>
      </c>
      <c r="Q308" s="8" t="inlineStr">
        <is>
          <t>IW28</t>
        </is>
      </c>
      <c r="R308" s="7" t="inlineStr">
        <is>
          <t>כותרת הודעת אחזקה</t>
        </is>
      </c>
      <c r="S308" s="7" t="inlineStr">
        <is>
          <t>Notification header</t>
        </is>
      </c>
      <c r="T308" s="7" t="inlineStr">
        <is>
          <t>6. הודעות אחזקה (Notifications)</t>
        </is>
      </c>
      <c r="U308" s="7" t="inlineStr">
        <is>
          <t>A4</t>
        </is>
      </c>
      <c r="V308" s="9">
        <f>HYPERLINK("#'"&amp;T308&amp;"'!"&amp;U308,"➜ פתח")</f>
        <v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7" t="inlineStr">
        <is>
          <t>טרנזקציה</t>
        </is>
      </c>
      <c r="Q309" s="8" t="inlineStr">
        <is>
          <t>IW29</t>
        </is>
      </c>
      <c r="R309" s="7" t="inlineStr">
        <is>
          <t>כותרת הודעת אחזקה</t>
        </is>
      </c>
      <c r="S309" s="7" t="inlineStr">
        <is>
          <t>Notification header</t>
        </is>
      </c>
      <c r="T309" s="7" t="inlineStr">
        <is>
          <t>6. הודעות אחזקה (Notifications)</t>
        </is>
      </c>
      <c r="U309" s="7" t="inlineStr">
        <is>
          <t>A4</t>
        </is>
      </c>
      <c r="V309" s="9">
        <f>HYPERLINK("#'"&amp;T309&amp;"'!"&amp;U309,"➜ פתח")</f>
        <v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7" t="inlineStr">
        <is>
          <t>פונקציה</t>
        </is>
      </c>
      <c r="Q310" s="8" t="inlineStr">
        <is>
          <t>BAPI_ALM_NOTIF_CREATE</t>
        </is>
      </c>
      <c r="R310" s="7" t="inlineStr">
        <is>
          <t>יצירת הודעה דרך ממשק תקני</t>
        </is>
      </c>
      <c r="S310" s="7" t="inlineStr">
        <is>
          <t>Notification header</t>
        </is>
      </c>
      <c r="T310" s="7" t="inlineStr">
        <is>
          <t>6. הודעות אחזקה (Notifications)</t>
        </is>
      </c>
      <c r="U310" s="7" t="inlineStr">
        <is>
          <t>G4</t>
        </is>
      </c>
      <c r="V310" s="9">
        <f>HYPERLINK("#'"&amp;T310&amp;"'!"&amp;U310,"➜ פתח")</f>
        <v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7" t="inlineStr">
        <is>
          <t>פונקציה</t>
        </is>
      </c>
      <c r="Q311" s="8" t="inlineStr">
        <is>
          <t>BAPI_ALM_NOTIF_DATA_ADD</t>
        </is>
      </c>
      <c r="R311" s="7" t="inlineStr">
        <is>
          <t>הוספת פריט/סיבה/פעילות</t>
        </is>
      </c>
      <c r="S311" s="7" t="inlineStr">
        <is>
          <t>Notification header</t>
        </is>
      </c>
      <c r="T311" s="7" t="inlineStr">
        <is>
          <t>6. הודעות אחזקה (Notifications)</t>
        </is>
      </c>
      <c r="U311" s="7" t="inlineStr">
        <is>
          <t>G4</t>
        </is>
      </c>
      <c r="V311" s="9">
        <f>HYPERLINK("#'"&amp;T311&amp;"'!"&amp;U311,"➜ פתח")</f>
        <v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7" t="inlineStr">
        <is>
          <t>פונקציה</t>
        </is>
      </c>
      <c r="Q312" s="8" t="inlineStr">
        <is>
          <t>BAPI_ALM_NOTIF_SAVE</t>
        </is>
      </c>
      <c r="R312" s="7" t="inlineStr">
        <is>
          <t>שמירת ההודעה</t>
        </is>
      </c>
      <c r="S312" s="7" t="inlineStr">
        <is>
          <t>Notification header</t>
        </is>
      </c>
      <c r="T312" s="7" t="inlineStr">
        <is>
          <t>6. הודעות אחזקה (Notifications)</t>
        </is>
      </c>
      <c r="U312" s="7" t="inlineStr">
        <is>
          <t>G4</t>
        </is>
      </c>
      <c r="V312" s="9">
        <f>HYPERLINK("#'"&amp;T312&amp;"'!"&amp;U312,"➜ פתח")</f>
        <v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7" t="inlineStr">
        <is>
          <t>פונקציה</t>
        </is>
      </c>
      <c r="Q313" s="8" t="inlineStr">
        <is>
          <t>BAPI_ALM_NOTIF_CLOSE</t>
        </is>
      </c>
      <c r="R313" s="7" t="inlineStr">
        <is>
          <t>סגירת ההודעה</t>
        </is>
      </c>
      <c r="S313" s="7" t="inlineStr">
        <is>
          <t>Notification header</t>
        </is>
      </c>
      <c r="T313" s="7" t="inlineStr">
        <is>
          <t>6. הודעות אחזקה (Notifications)</t>
        </is>
      </c>
      <c r="U313" s="7" t="inlineStr">
        <is>
          <t>G4</t>
        </is>
      </c>
      <c r="V313" s="9">
        <f>HYPERLINK("#'"&amp;T313&amp;"'!"&amp;U313,"➜ פתח")</f>
        <v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7" t="inlineStr">
        <is>
          <t>פונקציה</t>
        </is>
      </c>
      <c r="Q314" s="8" t="inlineStr">
        <is>
          <t>BAPI_ALM_NOTIF_GET_DETAIL</t>
        </is>
      </c>
      <c r="R314" s="7" t="inlineStr">
        <is>
          <t>שליפת פרטי הודעה מלאים</t>
        </is>
      </c>
      <c r="S314" s="7" t="inlineStr">
        <is>
          <t>Notification header</t>
        </is>
      </c>
      <c r="T314" s="7" t="inlineStr">
        <is>
          <t>6. הודעות אחזקה (Notifications)</t>
        </is>
      </c>
      <c r="U314" s="7" t="inlineStr">
        <is>
          <t>G4</t>
        </is>
      </c>
      <c r="V314" s="9">
        <f>HYPERLINK("#'"&amp;T314&amp;"'!"&amp;U314,"➜ פתח")</f>
        <v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7" t="inlineStr">
        <is>
          <t>תוכנית</t>
        </is>
      </c>
      <c r="Q315" s="8" t="inlineStr">
        <is>
          <t>RIQMEL20</t>
        </is>
      </c>
      <c r="R315" s="7" t="inlineStr">
        <is>
          <t>רשימת הודעות (IW28/29)</t>
        </is>
      </c>
      <c r="S315" s="7" t="inlineStr">
        <is>
          <t>Notification header</t>
        </is>
      </c>
      <c r="T315" s="7" t="inlineStr">
        <is>
          <t>6. הודעות אחזקה (Notifications)</t>
        </is>
      </c>
      <c r="U315" s="7" t="inlineStr">
        <is>
          <t>I4</t>
        </is>
      </c>
      <c r="V315" s="9">
        <f>HYPERLINK("#'"&amp;T315&amp;"'!"&amp;U315,"➜ פתח")</f>
        <v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7" t="inlineStr">
        <is>
          <t>תוכנית</t>
        </is>
      </c>
      <c r="Q316" s="8" t="inlineStr">
        <is>
          <t>RIQMEL00</t>
        </is>
      </c>
      <c r="R316" s="7" t="inlineStr">
        <is>
          <t>ניתוח דפוסי כשל</t>
        </is>
      </c>
      <c r="S316" s="7" t="inlineStr">
        <is>
          <t>Notification header</t>
        </is>
      </c>
      <c r="T316" s="7" t="inlineStr">
        <is>
          <t>6. הודעות אחזקה (Notifications)</t>
        </is>
      </c>
      <c r="U316" s="7" t="inlineStr">
        <is>
          <t>I4</t>
        </is>
      </c>
      <c r="V316" s="9">
        <f>HYPERLINK("#'"&amp;T316&amp;"'!"&amp;U316,"➜ פתח")</f>
        <v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7" t="inlineStr">
        <is>
          <t>Fiori</t>
        </is>
      </c>
      <c r="Q317" s="8" t="inlineStr">
        <is>
          <t>Report Malfunction (F2215)</t>
        </is>
      </c>
      <c r="R317" s="7" t="inlineStr">
        <is>
          <t>כותרת הודעת אחזקה</t>
        </is>
      </c>
      <c r="S317" s="7" t="inlineStr">
        <is>
          <t>Notification header</t>
        </is>
      </c>
      <c r="T317" s="7" t="inlineStr">
        <is>
          <t>6. הודעות אחזקה (Notifications)</t>
        </is>
      </c>
      <c r="U317" s="7" t="inlineStr">
        <is>
          <t>N4</t>
        </is>
      </c>
      <c r="V317" s="9">
        <f>HYPERLINK("#'"&amp;T317&amp;"'!"&amp;U317,"➜ פתח")</f>
        <v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7" t="inlineStr">
        <is>
          <t>טבלה</t>
        </is>
      </c>
      <c r="Q318" s="8" t="inlineStr">
        <is>
          <t>QMFE</t>
        </is>
      </c>
      <c r="R318" s="7" t="inlineStr">
        <is>
          <t>פריטי הודעה (ליקויים)</t>
        </is>
      </c>
      <c r="S318" s="7" t="inlineStr">
        <is>
          <t>Notification items (damage)</t>
        </is>
      </c>
      <c r="T318" s="7" t="inlineStr">
        <is>
          <t>6. הודעות אחזקה (Notifications)</t>
        </is>
      </c>
      <c r="U318" s="7" t="inlineStr">
        <is>
          <t>A11</t>
        </is>
      </c>
      <c r="V318" s="9">
        <f>HYPERLINK("#'"&amp;T318&amp;"'!"&amp;U318,"➜ פתח")</f>
        <v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7" t="inlineStr">
        <is>
          <t>שדה</t>
        </is>
      </c>
      <c r="Q319" s="8" t="inlineStr">
        <is>
          <t>QMNUM</t>
        </is>
      </c>
      <c r="R319" s="7" t="inlineStr">
        <is>
          <t>מספר הודעה</t>
        </is>
      </c>
      <c r="S319" s="7" t="inlineStr">
        <is>
          <t>Notification number</t>
        </is>
      </c>
      <c r="T319" s="7" t="inlineStr">
        <is>
          <t>6. הודעות אחזקה (Notifications)</t>
        </is>
      </c>
      <c r="U319" s="7" t="inlineStr">
        <is>
          <t>D12</t>
        </is>
      </c>
      <c r="V319" s="9">
        <f>HYPERLINK("#'"&amp;T319&amp;"'!"&amp;U319,"➜ פתח")</f>
        <v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7" t="inlineStr">
        <is>
          <t>שדה</t>
        </is>
      </c>
      <c r="Q320" s="8" t="inlineStr">
        <is>
          <t>FENUM</t>
        </is>
      </c>
      <c r="R320" s="7" t="inlineStr">
        <is>
          <t>מספר פריט</t>
        </is>
      </c>
      <c r="S320" s="7" t="inlineStr">
        <is>
          <t>Item number</t>
        </is>
      </c>
      <c r="T320" s="7" t="inlineStr">
        <is>
          <t>6. הודעות אחזקה (Notifications)</t>
        </is>
      </c>
      <c r="U320" s="7" t="inlineStr">
        <is>
          <t>D13</t>
        </is>
      </c>
      <c r="V320" s="9">
        <f>HYPERLINK("#'"&amp;T320&amp;"'!"&amp;U320,"➜ פתח")</f>
        <v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7" t="inlineStr">
        <is>
          <t>שדה</t>
        </is>
      </c>
      <c r="Q321" s="8" t="inlineStr">
        <is>
          <t>FEGRP</t>
        </is>
      </c>
      <c r="R321" s="7" t="inlineStr">
        <is>
          <t>קבוצת קוד ליקוי</t>
        </is>
      </c>
      <c r="S321" s="7" t="inlineStr">
        <is>
          <t>Damage code group</t>
        </is>
      </c>
      <c r="T321" s="7" t="inlineStr">
        <is>
          <t>6. הודעות אחזקה (Notifications)</t>
        </is>
      </c>
      <c r="U321" s="7" t="inlineStr">
        <is>
          <t>D14</t>
        </is>
      </c>
      <c r="V321" s="9">
        <f>HYPERLINK("#'"&amp;T321&amp;"'!"&amp;U321,"➜ פתח")</f>
        <v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7" t="inlineStr">
        <is>
          <t>שדה</t>
        </is>
      </c>
      <c r="Q322" s="8" t="inlineStr">
        <is>
          <t>FECOD</t>
        </is>
      </c>
      <c r="R322" s="7" t="inlineStr">
        <is>
          <t>קוד ליקוי</t>
        </is>
      </c>
      <c r="S322" s="7" t="inlineStr">
        <is>
          <t>Damage code</t>
        </is>
      </c>
      <c r="T322" s="7" t="inlineStr">
        <is>
          <t>6. הודעות אחזקה (Notifications)</t>
        </is>
      </c>
      <c r="U322" s="7" t="inlineStr">
        <is>
          <t>D15</t>
        </is>
      </c>
      <c r="V322" s="9">
        <f>HYPERLINK("#'"&amp;T322&amp;"'!"&amp;U322,"➜ פתח")</f>
        <v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7" t="inlineStr">
        <is>
          <t>שדה</t>
        </is>
      </c>
      <c r="Q323" s="8" t="inlineStr">
        <is>
          <t>OTGRP</t>
        </is>
      </c>
      <c r="R323" s="7" t="inlineStr">
        <is>
          <t>קבוצת אובייקט חלקי</t>
        </is>
      </c>
      <c r="S323" s="7" t="inlineStr">
        <is>
          <t>Object part code group</t>
        </is>
      </c>
      <c r="T323" s="7" t="inlineStr">
        <is>
          <t>6. הודעות אחזקה (Notifications)</t>
        </is>
      </c>
      <c r="U323" s="7" t="inlineStr">
        <is>
          <t>D16</t>
        </is>
      </c>
      <c r="V323" s="9">
        <f>HYPERLINK("#'"&amp;T323&amp;"'!"&amp;U323,"➜ פתח")</f>
        <v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7" t="inlineStr">
        <is>
          <t>שדה</t>
        </is>
      </c>
      <c r="Q324" s="8" t="inlineStr">
        <is>
          <t>OTEIL</t>
        </is>
      </c>
      <c r="R324" s="7" t="inlineStr">
        <is>
          <t>קוד אובייקט חלקי</t>
        </is>
      </c>
      <c r="S324" s="7" t="inlineStr">
        <is>
          <t>Object part code</t>
        </is>
      </c>
      <c r="T324" s="7" t="inlineStr">
        <is>
          <t>6. הודעות אחזקה (Notifications)</t>
        </is>
      </c>
      <c r="U324" s="7" t="inlineStr">
        <is>
          <t>D17</t>
        </is>
      </c>
      <c r="V324" s="9">
        <f>HYPERLINK("#'"&amp;T324&amp;"'!"&amp;U324,"➜ פתח")</f>
        <v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7" t="inlineStr">
        <is>
          <t>טרנזקציה</t>
        </is>
      </c>
      <c r="Q325" s="8" t="inlineStr">
        <is>
          <t>IW22</t>
        </is>
      </c>
      <c r="R325" s="7" t="inlineStr">
        <is>
          <t>פריטי הודעה (ליקויים)</t>
        </is>
      </c>
      <c r="S325" s="7" t="inlineStr">
        <is>
          <t>Notification items (damage)</t>
        </is>
      </c>
      <c r="T325" s="7" t="inlineStr">
        <is>
          <t>6. הודעות אחזקה (Notifications)</t>
        </is>
      </c>
      <c r="U325" s="7" t="inlineStr">
        <is>
          <t>A12</t>
        </is>
      </c>
      <c r="V325" s="9">
        <f>HYPERLINK("#'"&amp;T325&amp;"'!"&amp;U325,"➜ פתח")</f>
        <v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7" t="inlineStr">
        <is>
          <t>טרנזקציה</t>
        </is>
      </c>
      <c r="Q326" s="8" t="inlineStr">
        <is>
          <t>IW66</t>
        </is>
      </c>
      <c r="R326" s="7" t="inlineStr">
        <is>
          <t>פריטי הודעה (ליקויים)</t>
        </is>
      </c>
      <c r="S326" s="7" t="inlineStr">
        <is>
          <t>Notification items (damage)</t>
        </is>
      </c>
      <c r="T326" s="7" t="inlineStr">
        <is>
          <t>6. הודעות אחזקה (Notifications)</t>
        </is>
      </c>
      <c r="U326" s="7" t="inlineStr">
        <is>
          <t>A12</t>
        </is>
      </c>
      <c r="V326" s="9">
        <f>HYPERLINK("#'"&amp;T326&amp;"'!"&amp;U326,"➜ פתח")</f>
        <v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7" t="inlineStr">
        <is>
          <t>פונקציה</t>
        </is>
      </c>
      <c r="Q327" s="8" t="inlineStr">
        <is>
          <t>BAPI_ALM_NOTIF_DATA_ADD</t>
        </is>
      </c>
      <c r="R327" s="7" t="inlineStr">
        <is>
          <t>הוספת פריט ליקוי</t>
        </is>
      </c>
      <c r="S327" s="7" t="inlineStr">
        <is>
          <t>Notification items (damage)</t>
        </is>
      </c>
      <c r="T327" s="7" t="inlineStr">
        <is>
          <t>6. הודעות אחזקה (Notifications)</t>
        </is>
      </c>
      <c r="U327" s="7" t="inlineStr">
        <is>
          <t>G12</t>
        </is>
      </c>
      <c r="V327" s="9">
        <f>HYPERLINK("#'"&amp;T327&amp;"'!"&amp;U327,"➜ פתח")</f>
        <v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7" t="inlineStr">
        <is>
          <t>פונקציה</t>
        </is>
      </c>
      <c r="Q328" s="8" t="inlineStr">
        <is>
          <t>NOTIF_ITEM_READ</t>
        </is>
      </c>
      <c r="R328" s="7" t="inlineStr">
        <is>
          <t>קריאת פריטי הודעה</t>
        </is>
      </c>
      <c r="S328" s="7" t="inlineStr">
        <is>
          <t>Notification items (damage)</t>
        </is>
      </c>
      <c r="T328" s="7" t="inlineStr">
        <is>
          <t>6. הודעות אחזקה (Notifications)</t>
        </is>
      </c>
      <c r="U328" s="7" t="inlineStr">
        <is>
          <t>G12</t>
        </is>
      </c>
      <c r="V328" s="9">
        <f>HYPERLINK("#'"&amp;T328&amp;"'!"&amp;U328,"➜ פתח")</f>
        <v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7" t="inlineStr">
        <is>
          <t>תוכנית</t>
        </is>
      </c>
      <c r="Q329" s="8" t="inlineStr">
        <is>
          <t>RIQMEL00</t>
        </is>
      </c>
      <c r="R329" s="7" t="inlineStr">
        <is>
          <t>ניתוח פריטי ליקוי ודפוסי כשל</t>
        </is>
      </c>
      <c r="S329" s="7" t="inlineStr">
        <is>
          <t>Notification items (damage)</t>
        </is>
      </c>
      <c r="T329" s="7" t="inlineStr">
        <is>
          <t>6. הודעות אחזקה (Notifications)</t>
        </is>
      </c>
      <c r="U329" s="7" t="inlineStr">
        <is>
          <t>I12</t>
        </is>
      </c>
      <c r="V329" s="9">
        <f>HYPERLINK("#'"&amp;T329&amp;"'!"&amp;U329,"➜ פתח")</f>
        <v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7" t="inlineStr">
        <is>
          <t>Fiori</t>
        </is>
      </c>
      <c r="Q330" s="8" t="inlineStr">
        <is>
          <t>Find Maintenance Notification (אמת ID)</t>
        </is>
      </c>
      <c r="R330" s="7" t="inlineStr">
        <is>
          <t>פריטי הודעה (ליקויים)</t>
        </is>
      </c>
      <c r="S330" s="7" t="inlineStr">
        <is>
          <t>Notification items (damage)</t>
        </is>
      </c>
      <c r="T330" s="7" t="inlineStr">
        <is>
          <t>6. הודעות אחזקה (Notifications)</t>
        </is>
      </c>
      <c r="U330" s="7" t="inlineStr">
        <is>
          <t>N12</t>
        </is>
      </c>
      <c r="V330" s="9">
        <f>HYPERLINK("#'"&amp;T330&amp;"'!"&amp;U330,"➜ פתח")</f>
        <v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7" t="inlineStr">
        <is>
          <t>טבלה</t>
        </is>
      </c>
      <c r="Q331" s="8" t="inlineStr">
        <is>
          <t>QMUR</t>
        </is>
      </c>
      <c r="R331" s="7" t="inlineStr">
        <is>
          <t>סיבות לליקוי</t>
        </is>
      </c>
      <c r="S331" s="7" t="inlineStr">
        <is>
          <t>Notification causes</t>
        </is>
      </c>
      <c r="T331" s="7" t="inlineStr">
        <is>
          <t>6. הודעות אחזקה (Notifications)</t>
        </is>
      </c>
      <c r="U331" s="7" t="inlineStr">
        <is>
          <t>A19</t>
        </is>
      </c>
      <c r="V331" s="9">
        <f>HYPERLINK("#'"&amp;T331&amp;"'!"&amp;U331,"➜ פתח")</f>
        <v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7" t="inlineStr">
        <is>
          <t>שדה</t>
        </is>
      </c>
      <c r="Q332" s="8" t="inlineStr">
        <is>
          <t>QMNUM</t>
        </is>
      </c>
      <c r="R332" s="7" t="inlineStr">
        <is>
          <t>מספר הודעה</t>
        </is>
      </c>
      <c r="S332" s="7" t="inlineStr">
        <is>
          <t>Notification number</t>
        </is>
      </c>
      <c r="T332" s="7" t="inlineStr">
        <is>
          <t>6. הודעות אחזקה (Notifications)</t>
        </is>
      </c>
      <c r="U332" s="7" t="inlineStr">
        <is>
          <t>D20</t>
        </is>
      </c>
      <c r="V332" s="9">
        <f>HYPERLINK("#'"&amp;T332&amp;"'!"&amp;U332,"➜ פתח")</f>
        <v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7" t="inlineStr">
        <is>
          <t>שדה</t>
        </is>
      </c>
      <c r="Q333" s="8" t="inlineStr">
        <is>
          <t>FENUM</t>
        </is>
      </c>
      <c r="R333" s="7" t="inlineStr">
        <is>
          <t>מספר פריט</t>
        </is>
      </c>
      <c r="S333" s="7" t="inlineStr">
        <is>
          <t>Item number</t>
        </is>
      </c>
      <c r="T333" s="7" t="inlineStr">
        <is>
          <t>6. הודעות אחזקה (Notifications)</t>
        </is>
      </c>
      <c r="U333" s="7" t="inlineStr">
        <is>
          <t>D21</t>
        </is>
      </c>
      <c r="V333" s="9">
        <f>HYPERLINK("#'"&amp;T333&amp;"'!"&amp;U333,"➜ פתח")</f>
        <v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7" t="inlineStr">
        <is>
          <t>שדה</t>
        </is>
      </c>
      <c r="Q334" s="8" t="inlineStr">
        <is>
          <t>URNUM</t>
        </is>
      </c>
      <c r="R334" s="7" t="inlineStr">
        <is>
          <t>מספר סיבה</t>
        </is>
      </c>
      <c r="S334" s="7" t="inlineStr">
        <is>
          <t>Cause number</t>
        </is>
      </c>
      <c r="T334" s="7" t="inlineStr">
        <is>
          <t>6. הודעות אחזקה (Notifications)</t>
        </is>
      </c>
      <c r="U334" s="7" t="inlineStr">
        <is>
          <t>D22</t>
        </is>
      </c>
      <c r="V334" s="9">
        <f>HYPERLINK("#'"&amp;T334&amp;"'!"&amp;U334,"➜ פתח")</f>
        <v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7" t="inlineStr">
        <is>
          <t>שדה</t>
        </is>
      </c>
      <c r="Q335" s="8" t="inlineStr">
        <is>
          <t>URGRP</t>
        </is>
      </c>
      <c r="R335" s="7" t="inlineStr">
        <is>
          <t>קבוצת קוד סיבה</t>
        </is>
      </c>
      <c r="S335" s="7" t="inlineStr">
        <is>
          <t>Cause code group</t>
        </is>
      </c>
      <c r="T335" s="7" t="inlineStr">
        <is>
          <t>6. הודעות אחזקה (Notifications)</t>
        </is>
      </c>
      <c r="U335" s="7" t="inlineStr">
        <is>
          <t>D23</t>
        </is>
      </c>
      <c r="V335" s="9">
        <f>HYPERLINK("#'"&amp;T335&amp;"'!"&amp;U335,"➜ פתח")</f>
        <v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7" t="inlineStr">
        <is>
          <t>שדה</t>
        </is>
      </c>
      <c r="Q336" s="8" t="inlineStr">
        <is>
          <t>URCOD</t>
        </is>
      </c>
      <c r="R336" s="7" t="inlineStr">
        <is>
          <t>קוד סיבה</t>
        </is>
      </c>
      <c r="S336" s="7" t="inlineStr">
        <is>
          <t>Cause code</t>
        </is>
      </c>
      <c r="T336" s="7" t="inlineStr">
        <is>
          <t>6. הודעות אחזקה (Notifications)</t>
        </is>
      </c>
      <c r="U336" s="7" t="inlineStr">
        <is>
          <t>D24</t>
        </is>
      </c>
      <c r="V336" s="9">
        <f>HYPERLINK("#'"&amp;T336&amp;"'!"&amp;U336,"➜ פתח")</f>
        <v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7" t="inlineStr">
        <is>
          <t>טרנזקציה</t>
        </is>
      </c>
      <c r="Q337" s="8" t="inlineStr">
        <is>
          <t>IW22</t>
        </is>
      </c>
      <c r="R337" s="7" t="inlineStr">
        <is>
          <t>סיבות לליקוי</t>
        </is>
      </c>
      <c r="S337" s="7" t="inlineStr">
        <is>
          <t>Notification causes</t>
        </is>
      </c>
      <c r="T337" s="7" t="inlineStr">
        <is>
          <t>6. הודעות אחזקה (Notifications)</t>
        </is>
      </c>
      <c r="U337" s="7" t="inlineStr">
        <is>
          <t>A20</t>
        </is>
      </c>
      <c r="V337" s="9">
        <f>HYPERLINK("#'"&amp;T337&amp;"'!"&amp;U337,"➜ פתח")</f>
        <v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7" t="inlineStr">
        <is>
          <t>טרנזקציה</t>
        </is>
      </c>
      <c r="Q338" s="8" t="inlineStr">
        <is>
          <t>IW67</t>
        </is>
      </c>
      <c r="R338" s="7" t="inlineStr">
        <is>
          <t>סיבות לליקוי</t>
        </is>
      </c>
      <c r="S338" s="7" t="inlineStr">
        <is>
          <t>Notification causes</t>
        </is>
      </c>
      <c r="T338" s="7" t="inlineStr">
        <is>
          <t>6. הודעות אחזקה (Notifications)</t>
        </is>
      </c>
      <c r="U338" s="7" t="inlineStr">
        <is>
          <t>A20</t>
        </is>
      </c>
      <c r="V338" s="9">
        <f>HYPERLINK("#'"&amp;T338&amp;"'!"&amp;U338,"➜ פתח")</f>
        <v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7" t="inlineStr">
        <is>
          <t>פונקציה</t>
        </is>
      </c>
      <c r="Q339" s="8" t="inlineStr">
        <is>
          <t>NOTIF_CAUSE_READ</t>
        </is>
      </c>
      <c r="R339" s="7" t="inlineStr">
        <is>
          <t>קריאת סיבות הליקוי</t>
        </is>
      </c>
      <c r="S339" s="7" t="inlineStr">
        <is>
          <t>Notification causes</t>
        </is>
      </c>
      <c r="T339" s="7" t="inlineStr">
        <is>
          <t>6. הודעות אחזקה (Notifications)</t>
        </is>
      </c>
      <c r="U339" s="7" t="inlineStr">
        <is>
          <t>G20</t>
        </is>
      </c>
      <c r="V339" s="9">
        <f>HYPERLINK("#'"&amp;T339&amp;"'!"&amp;U339,"➜ פתח")</f>
        <v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7" t="inlineStr">
        <is>
          <t>תוכנית</t>
        </is>
      </c>
      <c r="Q340" s="8" t="inlineStr">
        <is>
          <t>RIQMUR00</t>
        </is>
      </c>
      <c r="R340" s="7" t="inlineStr">
        <is>
          <t>דוח סיבות לניתוח שורש (RCA)</t>
        </is>
      </c>
      <c r="S340" s="7" t="inlineStr">
        <is>
          <t>Notification causes</t>
        </is>
      </c>
      <c r="T340" s="7" t="inlineStr">
        <is>
          <t>6. הודעות אחזקה (Notifications)</t>
        </is>
      </c>
      <c r="U340" s="7" t="inlineStr">
        <is>
          <t>I20</t>
        </is>
      </c>
      <c r="V340" s="9">
        <f>HYPERLINK("#'"&amp;T340&amp;"'!"&amp;U340,"➜ פתח")</f>
        <v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7" t="inlineStr">
        <is>
          <t>Fiori</t>
        </is>
      </c>
      <c r="Q341" s="8" t="inlineStr">
        <is>
          <t>Find Maintenance Notification (אמת ID)</t>
        </is>
      </c>
      <c r="R341" s="7" t="inlineStr">
        <is>
          <t>סיבות לליקוי</t>
        </is>
      </c>
      <c r="S341" s="7" t="inlineStr">
        <is>
          <t>Notification causes</t>
        </is>
      </c>
      <c r="T341" s="7" t="inlineStr">
        <is>
          <t>6. הודעות אחזקה (Notifications)</t>
        </is>
      </c>
      <c r="U341" s="7" t="inlineStr">
        <is>
          <t>N20</t>
        </is>
      </c>
      <c r="V341" s="9">
        <f>HYPERLINK("#'"&amp;T341&amp;"'!"&amp;U341,"➜ פתח")</f>
        <v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7" t="inlineStr">
        <is>
          <t>טבלה</t>
        </is>
      </c>
      <c r="Q342" s="8" t="inlineStr">
        <is>
          <t>QMMA</t>
        </is>
      </c>
      <c r="R342" s="7" t="inlineStr">
        <is>
          <t>פעילויות שבוצעו (במקום QMAA הלא-תקני)</t>
        </is>
      </c>
      <c r="S342" s="7" t="inlineStr">
        <is>
          <t>Notification activities (correct table)</t>
        </is>
      </c>
      <c r="T342" s="7" t="inlineStr">
        <is>
          <t>6. הודעות אחזקה (Notifications)</t>
        </is>
      </c>
      <c r="U342" s="7" t="inlineStr">
        <is>
          <t>A26</t>
        </is>
      </c>
      <c r="V342" s="9">
        <f>HYPERLINK("#'"&amp;T342&amp;"'!"&amp;U342,"➜ פתח")</f>
        <v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7" t="inlineStr">
        <is>
          <t>שדה</t>
        </is>
      </c>
      <c r="Q343" s="8" t="inlineStr">
        <is>
          <t>QMNUM</t>
        </is>
      </c>
      <c r="R343" s="7" t="inlineStr">
        <is>
          <t>מספר הודעה</t>
        </is>
      </c>
      <c r="S343" s="7" t="inlineStr">
        <is>
          <t>Notification number</t>
        </is>
      </c>
      <c r="T343" s="7" t="inlineStr">
        <is>
          <t>6. הודעות אחזקה (Notifications)</t>
        </is>
      </c>
      <c r="U343" s="7" t="inlineStr">
        <is>
          <t>D27</t>
        </is>
      </c>
      <c r="V343" s="9">
        <f>HYPERLINK("#'"&amp;T343&amp;"'!"&amp;U343,"➜ פתח")</f>
        <v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7" t="inlineStr">
        <is>
          <t>שדה</t>
        </is>
      </c>
      <c r="Q344" s="8" t="inlineStr">
        <is>
          <t>MANUM</t>
        </is>
      </c>
      <c r="R344" s="7" t="inlineStr">
        <is>
          <t>מספר פעילות</t>
        </is>
      </c>
      <c r="S344" s="7" t="inlineStr">
        <is>
          <t>Activity number</t>
        </is>
      </c>
      <c r="T344" s="7" t="inlineStr">
        <is>
          <t>6. הודעות אחזקה (Notifications)</t>
        </is>
      </c>
      <c r="U344" s="7" t="inlineStr">
        <is>
          <t>D28</t>
        </is>
      </c>
      <c r="V344" s="9">
        <f>HYPERLINK("#'"&amp;T344&amp;"'!"&amp;U344,"➜ פתח")</f>
        <v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7" t="inlineStr">
        <is>
          <t>שדה</t>
        </is>
      </c>
      <c r="Q345" s="8" t="inlineStr">
        <is>
          <t>MNGRP</t>
        </is>
      </c>
      <c r="R345" s="7" t="inlineStr">
        <is>
          <t>קבוצת קוד פעילות</t>
        </is>
      </c>
      <c r="S345" s="7" t="inlineStr">
        <is>
          <t>Activity code group</t>
        </is>
      </c>
      <c r="T345" s="7" t="inlineStr">
        <is>
          <t>6. הודעות אחזקה (Notifications)</t>
        </is>
      </c>
      <c r="U345" s="7" t="inlineStr">
        <is>
          <t>D29</t>
        </is>
      </c>
      <c r="V345" s="9">
        <f>HYPERLINK("#'"&amp;T345&amp;"'!"&amp;U345,"➜ פתח")</f>
        <v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7" t="inlineStr">
        <is>
          <t>שדה</t>
        </is>
      </c>
      <c r="Q346" s="8" t="inlineStr">
        <is>
          <t>MNCOD</t>
        </is>
      </c>
      <c r="R346" s="7" t="inlineStr">
        <is>
          <t>קוד פעילות</t>
        </is>
      </c>
      <c r="S346" s="7" t="inlineStr">
        <is>
          <t>Activity code</t>
        </is>
      </c>
      <c r="T346" s="7" t="inlineStr">
        <is>
          <t>6. הודעות אחזקה (Notifications)</t>
        </is>
      </c>
      <c r="U346" s="7" t="inlineStr">
        <is>
          <t>D30</t>
        </is>
      </c>
      <c r="V346" s="9">
        <f>HYPERLINK("#'"&amp;T346&amp;"'!"&amp;U346,"➜ פתח")</f>
        <v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7" t="inlineStr">
        <is>
          <t>טרנזקציה</t>
        </is>
      </c>
      <c r="Q347" s="8" t="inlineStr">
        <is>
          <t>IW22</t>
        </is>
      </c>
      <c r="R347" s="7" t="inlineStr">
        <is>
          <t>פעילויות שבוצעו (במקום QMAA הלא-תקני)</t>
        </is>
      </c>
      <c r="S347" s="7" t="inlineStr">
        <is>
          <t>Notification activities (correct table)</t>
        </is>
      </c>
      <c r="T347" s="7" t="inlineStr">
        <is>
          <t>6. הודעות אחזקה (Notifications)</t>
        </is>
      </c>
      <c r="U347" s="7" t="inlineStr">
        <is>
          <t>A27</t>
        </is>
      </c>
      <c r="V347" s="9">
        <f>HYPERLINK("#'"&amp;T347&amp;"'!"&amp;U347,"➜ פתח")</f>
        <v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7" t="inlineStr">
        <is>
          <t>טרנזקציה</t>
        </is>
      </c>
      <c r="Q348" s="8" t="inlineStr">
        <is>
          <t>IW67</t>
        </is>
      </c>
      <c r="R348" s="7" t="inlineStr">
        <is>
          <t>פעילויות שבוצעו (במקום QMAA הלא-תקני)</t>
        </is>
      </c>
      <c r="S348" s="7" t="inlineStr">
        <is>
          <t>Notification activities (correct table)</t>
        </is>
      </c>
      <c r="T348" s="7" t="inlineStr">
        <is>
          <t>6. הודעות אחזקה (Notifications)</t>
        </is>
      </c>
      <c r="U348" s="7" t="inlineStr">
        <is>
          <t>A27</t>
        </is>
      </c>
      <c r="V348" s="9">
        <f>HYPERLINK("#'"&amp;T348&amp;"'!"&amp;U348,"➜ פתח")</f>
        <v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7" t="inlineStr">
        <is>
          <t>פונקציה</t>
        </is>
      </c>
      <c r="Q349" s="8" t="inlineStr">
        <is>
          <t>NOTIF_ACTIVITY_READ</t>
        </is>
      </c>
      <c r="R349" s="7" t="inlineStr">
        <is>
          <t>קריאת פעילויות שבוצעו</t>
        </is>
      </c>
      <c r="S349" s="7" t="inlineStr">
        <is>
          <t>Notification activities (correct table)</t>
        </is>
      </c>
      <c r="T349" s="7" t="inlineStr">
        <is>
          <t>6. הודעות אחזקה (Notifications)</t>
        </is>
      </c>
      <c r="U349" s="7" t="inlineStr">
        <is>
          <t>G27</t>
        </is>
      </c>
      <c r="V349" s="9">
        <f>HYPERLINK("#'"&amp;T349&amp;"'!"&amp;U349,"➜ פתח")</f>
        <v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7" t="inlineStr">
        <is>
          <t>תוכנית</t>
        </is>
      </c>
      <c r="Q350" s="8" t="inlineStr">
        <is>
          <t>RIQMEL00</t>
        </is>
      </c>
      <c r="R350" s="7" t="inlineStr">
        <is>
          <t>ניתוח פעילויות הודעה</t>
        </is>
      </c>
      <c r="S350" s="7" t="inlineStr">
        <is>
          <t>Notification activities (correct table)</t>
        </is>
      </c>
      <c r="T350" s="7" t="inlineStr">
        <is>
          <t>6. הודעות אחזקה (Notifications)</t>
        </is>
      </c>
      <c r="U350" s="7" t="inlineStr">
        <is>
          <t>I27</t>
        </is>
      </c>
      <c r="V350" s="9">
        <f>HYPERLINK("#'"&amp;T350&amp;"'!"&amp;U350,"➜ פתח")</f>
        <v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7" t="inlineStr">
        <is>
          <t>Fiori</t>
        </is>
      </c>
      <c r="Q351" s="8" t="inlineStr">
        <is>
          <t>Report Malfunction (F2215)</t>
        </is>
      </c>
      <c r="R351" s="7" t="inlineStr">
        <is>
          <t>פעילויות שבוצעו (במקום QMAA הלא-תקני)</t>
        </is>
      </c>
      <c r="S351" s="7" t="inlineStr">
        <is>
          <t>Notification activities (correct table)</t>
        </is>
      </c>
      <c r="T351" s="7" t="inlineStr">
        <is>
          <t>6. הודעות אחזקה (Notifications)</t>
        </is>
      </c>
      <c r="U351" s="7" t="inlineStr">
        <is>
          <t>N27</t>
        </is>
      </c>
      <c r="V351" s="9">
        <f>HYPERLINK("#'"&amp;T351&amp;"'!"&amp;U351,"➜ פתח")</f>
        <v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7" t="inlineStr">
        <is>
          <t>טבלה</t>
        </is>
      </c>
      <c r="Q352" s="8" t="inlineStr">
        <is>
          <t>QMSM</t>
        </is>
      </c>
      <c r="R352" s="7" t="inlineStr">
        <is>
          <t>משימות לטיפול (במקום QMAS הלא-תקני)</t>
        </is>
      </c>
      <c r="S352" s="7" t="inlineStr">
        <is>
          <t>Notification tasks (correct table)</t>
        </is>
      </c>
      <c r="T352" s="7" t="inlineStr">
        <is>
          <t>6. הודעות אחזקה (Notifications)</t>
        </is>
      </c>
      <c r="U352" s="7" t="inlineStr">
        <is>
          <t>A32</t>
        </is>
      </c>
      <c r="V352" s="9">
        <f>HYPERLINK("#'"&amp;T352&amp;"'!"&amp;U352,"➜ פתח")</f>
        <v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7" t="inlineStr">
        <is>
          <t>שדה</t>
        </is>
      </c>
      <c r="Q353" s="8" t="inlineStr">
        <is>
          <t>QMNUM</t>
        </is>
      </c>
      <c r="R353" s="7" t="inlineStr">
        <is>
          <t>מספר הודעה</t>
        </is>
      </c>
      <c r="S353" s="7" t="inlineStr">
        <is>
          <t>Notification number</t>
        </is>
      </c>
      <c r="T353" s="7" t="inlineStr">
        <is>
          <t>6. הודעות אחזקה (Notifications)</t>
        </is>
      </c>
      <c r="U353" s="7" t="inlineStr">
        <is>
          <t>D33</t>
        </is>
      </c>
      <c r="V353" s="9">
        <f>HYPERLINK("#'"&amp;T353&amp;"'!"&amp;U353,"➜ פתח")</f>
        <v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7" t="inlineStr">
        <is>
          <t>שדה</t>
        </is>
      </c>
      <c r="Q354" s="8" t="inlineStr">
        <is>
          <t>MANUM</t>
        </is>
      </c>
      <c r="R354" s="7" t="inlineStr">
        <is>
          <t>מספר משימה</t>
        </is>
      </c>
      <c r="S354" s="7" t="inlineStr">
        <is>
          <t>Task number</t>
        </is>
      </c>
      <c r="T354" s="7" t="inlineStr">
        <is>
          <t>6. הודעות אחזקה (Notifications)</t>
        </is>
      </c>
      <c r="U354" s="7" t="inlineStr">
        <is>
          <t>D34</t>
        </is>
      </c>
      <c r="V354" s="9">
        <f>HYPERLINK("#'"&amp;T354&amp;"'!"&amp;U354,"➜ פתח")</f>
        <v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7" t="inlineStr">
        <is>
          <t>שדה</t>
        </is>
      </c>
      <c r="Q355" s="8" t="inlineStr">
        <is>
          <t>MNGRP</t>
        </is>
      </c>
      <c r="R355" s="7" t="inlineStr">
        <is>
          <t>קבוצת קוד משימה</t>
        </is>
      </c>
      <c r="S355" s="7" t="inlineStr">
        <is>
          <t>Task code group</t>
        </is>
      </c>
      <c r="T355" s="7" t="inlineStr">
        <is>
          <t>6. הודעות אחזקה (Notifications)</t>
        </is>
      </c>
      <c r="U355" s="7" t="inlineStr">
        <is>
          <t>D35</t>
        </is>
      </c>
      <c r="V355" s="9">
        <f>HYPERLINK("#'"&amp;T355&amp;"'!"&amp;U355,"➜ פתח")</f>
        <v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7" t="inlineStr">
        <is>
          <t>שדה</t>
        </is>
      </c>
      <c r="Q356" s="8" t="inlineStr">
        <is>
          <t>MNCOD</t>
        </is>
      </c>
      <c r="R356" s="7" t="inlineStr">
        <is>
          <t>קוד משימה</t>
        </is>
      </c>
      <c r="S356" s="7" t="inlineStr">
        <is>
          <t>Task code</t>
        </is>
      </c>
      <c r="T356" s="7" t="inlineStr">
        <is>
          <t>6. הודעות אחזקה (Notifications)</t>
        </is>
      </c>
      <c r="U356" s="7" t="inlineStr">
        <is>
          <t>D36</t>
        </is>
      </c>
      <c r="V356" s="9">
        <f>HYPERLINK("#'"&amp;T356&amp;"'!"&amp;U356,"➜ פתח")</f>
        <v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7" t="inlineStr">
        <is>
          <t>שדה</t>
        </is>
      </c>
      <c r="Q357" s="8" t="inlineStr">
        <is>
          <t>PSTER</t>
        </is>
      </c>
      <c r="R357" s="7" t="inlineStr">
        <is>
          <t>מועד יעד למשימה</t>
        </is>
      </c>
      <c r="S357" s="7" t="inlineStr">
        <is>
          <t>Task planned completion</t>
        </is>
      </c>
      <c r="T357" s="7" t="inlineStr">
        <is>
          <t>6. הודעות אחזקה (Notifications)</t>
        </is>
      </c>
      <c r="U357" s="7" t="inlineStr">
        <is>
          <t>D37</t>
        </is>
      </c>
      <c r="V357" s="9">
        <f>HYPERLINK("#'"&amp;T357&amp;"'!"&amp;U357,"➜ פתח")</f>
        <v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7" t="inlineStr">
        <is>
          <t>טרנזקציה</t>
        </is>
      </c>
      <c r="Q358" s="8" t="inlineStr">
        <is>
          <t>IW22</t>
        </is>
      </c>
      <c r="R358" s="7" t="inlineStr">
        <is>
          <t>משימות לטיפול (במקום QMAS הלא-תקני)</t>
        </is>
      </c>
      <c r="S358" s="7" t="inlineStr">
        <is>
          <t>Notification tasks (correct table)</t>
        </is>
      </c>
      <c r="T358" s="7" t="inlineStr">
        <is>
          <t>6. הודעות אחזקה (Notifications)</t>
        </is>
      </c>
      <c r="U358" s="7" t="inlineStr">
        <is>
          <t>A33</t>
        </is>
      </c>
      <c r="V358" s="9">
        <f>HYPERLINK("#'"&amp;T358&amp;"'!"&amp;U358,"➜ פתח")</f>
        <v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7" t="inlineStr">
        <is>
          <t>טרנזקציה</t>
        </is>
      </c>
      <c r="Q359" s="8" t="inlineStr">
        <is>
          <t>IW66</t>
        </is>
      </c>
      <c r="R359" s="7" t="inlineStr">
        <is>
          <t>משימות לטיפול (במקום QMAS הלא-תקני)</t>
        </is>
      </c>
      <c r="S359" s="7" t="inlineStr">
        <is>
          <t>Notification tasks (correct table)</t>
        </is>
      </c>
      <c r="T359" s="7" t="inlineStr">
        <is>
          <t>6. הודעות אחזקה (Notifications)</t>
        </is>
      </c>
      <c r="U359" s="7" t="inlineStr">
        <is>
          <t>A33</t>
        </is>
      </c>
      <c r="V359" s="9">
        <f>HYPERLINK("#'"&amp;T359&amp;"'!"&amp;U359,"➜ פתח")</f>
        <v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7" t="inlineStr">
        <is>
          <t>פונקציה</t>
        </is>
      </c>
      <c r="Q360" s="8" t="inlineStr">
        <is>
          <t>NOTIF_TASK_READ</t>
        </is>
      </c>
      <c r="R360" s="7" t="inlineStr">
        <is>
          <t>קריאת משימות</t>
        </is>
      </c>
      <c r="S360" s="7" t="inlineStr">
        <is>
          <t>Notification tasks (correct table)</t>
        </is>
      </c>
      <c r="T360" s="7" t="inlineStr">
        <is>
          <t>6. הודעות אחזקה (Notifications)</t>
        </is>
      </c>
      <c r="U360" s="7" t="inlineStr">
        <is>
          <t>G33</t>
        </is>
      </c>
      <c r="V360" s="9">
        <f>HYPERLINK("#'"&amp;T360&amp;"'!"&amp;U360,"➜ פתח")</f>
        <v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7" t="inlineStr">
        <is>
          <t>פונקציה</t>
        </is>
      </c>
      <c r="Q361" s="8" t="inlineStr">
        <is>
          <t>BAPI_ALM_NOTIF_TASK_ADD</t>
        </is>
      </c>
      <c r="R361" s="7" t="inlineStr">
        <is>
          <t>הוספת משימה</t>
        </is>
      </c>
      <c r="S361" s="7" t="inlineStr">
        <is>
          <t>Notification tasks (correct table)</t>
        </is>
      </c>
      <c r="T361" s="7" t="inlineStr">
        <is>
          <t>6. הודעות אחזקה (Notifications)</t>
        </is>
      </c>
      <c r="U361" s="7" t="inlineStr">
        <is>
          <t>G33</t>
        </is>
      </c>
      <c r="V361" s="9">
        <f>HYPERLINK("#'"&amp;T361&amp;"'!"&amp;U361,"➜ פתח")</f>
        <v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7" t="inlineStr">
        <is>
          <t>תוכנית</t>
        </is>
      </c>
      <c r="Q362" s="8" t="inlineStr">
        <is>
          <t>RIQMEL20</t>
        </is>
      </c>
      <c r="R362" s="7" t="inlineStr">
        <is>
          <t>מעקב משימות פתוחות</t>
        </is>
      </c>
      <c r="S362" s="7" t="inlineStr">
        <is>
          <t>Notification tasks (correct table)</t>
        </is>
      </c>
      <c r="T362" s="7" t="inlineStr">
        <is>
          <t>6. הודעות אחזקה (Notifications)</t>
        </is>
      </c>
      <c r="U362" s="7" t="inlineStr">
        <is>
          <t>I33</t>
        </is>
      </c>
      <c r="V362" s="9">
        <f>HYPERLINK("#'"&amp;T362&amp;"'!"&amp;U362,"➜ פתח")</f>
        <v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7" t="inlineStr">
        <is>
          <t>Fiori</t>
        </is>
      </c>
      <c r="Q363" s="8" t="inlineStr">
        <is>
          <t>Find Maintenance Notification (אמת ID)</t>
        </is>
      </c>
      <c r="R363" s="7" t="inlineStr">
        <is>
          <t>משימות לטיפול (במקום QMAS הלא-תקני)</t>
        </is>
      </c>
      <c r="S363" s="7" t="inlineStr">
        <is>
          <t>Notification tasks (correct table)</t>
        </is>
      </c>
      <c r="T363" s="7" t="inlineStr">
        <is>
          <t>6. הודעות אחזקה (Notifications)</t>
        </is>
      </c>
      <c r="U363" s="7" t="inlineStr">
        <is>
          <t>N33</t>
        </is>
      </c>
      <c r="V363" s="9">
        <f>HYPERLINK("#'"&amp;T363&amp;"'!"&amp;U363,"➜ פתח")</f>
        <v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7" t="inlineStr">
        <is>
          <t>טבלה</t>
        </is>
      </c>
      <c r="Q364" s="8" t="inlineStr">
        <is>
          <t>TQ80</t>
        </is>
      </c>
      <c r="R364" s="7" t="inlineStr">
        <is>
          <t>סוגי הודעה (Notification Types - Customizing; הוגדר כ-T356, ש=עדיפויות)</t>
        </is>
      </c>
      <c r="S364" s="7" t="inlineStr">
        <is>
          <t>Notification types (config; correct=TQ80, T356=Priorities)</t>
        </is>
      </c>
      <c r="T364" s="7" t="inlineStr">
        <is>
          <t>6. הודעות אחזקה (Notifications)</t>
        </is>
      </c>
      <c r="U364" s="7" t="inlineStr">
        <is>
          <t>A39</t>
        </is>
      </c>
      <c r="V364" s="9">
        <f>HYPERLINK("#'"&amp;T364&amp;"'!"&amp;U364,"➜ פתח")</f>
        <v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7" t="inlineStr">
        <is>
          <t>שדה</t>
        </is>
      </c>
      <c r="Q365" s="8" t="inlineStr">
        <is>
          <t>QMART</t>
        </is>
      </c>
      <c r="R365" s="7" t="inlineStr">
        <is>
          <t>סוג הודעה</t>
        </is>
      </c>
      <c r="S365" s="7" t="inlineStr">
        <is>
          <t>Notification type (M1/M2/M3)</t>
        </is>
      </c>
      <c r="T365" s="7" t="inlineStr">
        <is>
          <t>6. הודעות אחזקה (Notifications)</t>
        </is>
      </c>
      <c r="U365" s="7" t="inlineStr">
        <is>
          <t>D40</t>
        </is>
      </c>
      <c r="V365" s="9">
        <f>HYPERLINK("#'"&amp;T365&amp;"'!"&amp;U365,"➜ פתח")</f>
        <v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7" t="inlineStr">
        <is>
          <t>שדה</t>
        </is>
      </c>
      <c r="Q366" s="8" t="inlineStr">
        <is>
          <t>QMTYP</t>
        </is>
      </c>
      <c r="R366" s="7" t="inlineStr">
        <is>
          <t>קטגוריית הודעה</t>
        </is>
      </c>
      <c r="S366" s="7" t="inlineStr">
        <is>
          <t>Notification category</t>
        </is>
      </c>
      <c r="T366" s="7" t="inlineStr">
        <is>
          <t>6. הודעות אחזקה (Notifications)</t>
        </is>
      </c>
      <c r="U366" s="7" t="inlineStr">
        <is>
          <t>D41</t>
        </is>
      </c>
      <c r="V366" s="9">
        <f>HYPERLINK("#'"&amp;T366&amp;"'!"&amp;U366,"➜ פתח")</f>
        <v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7" t="inlineStr">
        <is>
          <t>שדה</t>
        </is>
      </c>
      <c r="Q367" s="8" t="inlineStr">
        <is>
          <t>RBNR</t>
        </is>
      </c>
      <c r="R367" s="7" t="inlineStr">
        <is>
          <t>פרופיל קטלוג</t>
        </is>
      </c>
      <c r="S367" s="7" t="inlineStr">
        <is>
          <t>Catalog profile</t>
        </is>
      </c>
      <c r="T367" s="7" t="inlineStr">
        <is>
          <t>6. הודעות אחזקה (Notifications)</t>
        </is>
      </c>
      <c r="U367" s="7" t="inlineStr">
        <is>
          <t>D42</t>
        </is>
      </c>
      <c r="V367" s="9">
        <f>HYPERLINK("#'"&amp;T367&amp;"'!"&amp;U367,"➜ פתח")</f>
        <v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7" t="inlineStr">
        <is>
          <t>שדה</t>
        </is>
      </c>
      <c r="Q368" s="8" t="inlineStr">
        <is>
          <t>AUART</t>
        </is>
      </c>
      <c r="R368" s="7" t="inlineStr">
        <is>
          <t>סוג פק"ע ברירת מחדל</t>
        </is>
      </c>
      <c r="S368" s="7" t="inlineStr">
        <is>
          <t>Default order type</t>
        </is>
      </c>
      <c r="T368" s="7" t="inlineStr">
        <is>
          <t>6. הודעות אחזקה (Notifications)</t>
        </is>
      </c>
      <c r="U368" s="7" t="inlineStr">
        <is>
          <t>D43</t>
        </is>
      </c>
      <c r="V368" s="9">
        <f>HYPERLINK("#'"&amp;T368&amp;"'!"&amp;U368,"➜ פתח")</f>
        <v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7" t="inlineStr">
        <is>
          <t>טרנזקציה</t>
        </is>
      </c>
      <c r="Q369" s="8" t="inlineStr">
        <is>
          <t>OIAL (פריסת מסך)</t>
        </is>
      </c>
      <c r="R369" s="7" t="inlineStr">
        <is>
          <t>סוגי הודעה (Notification Types - Customizing; הוגדר כ-T356, ש=עדיפויות)</t>
        </is>
      </c>
      <c r="S369" s="7" t="inlineStr">
        <is>
          <t>Notification types (config; correct=TQ80, T356=Priorities)</t>
        </is>
      </c>
      <c r="T369" s="7" t="inlineStr">
        <is>
          <t>6. הודעות אחזקה (Notifications)</t>
        </is>
      </c>
      <c r="U369" s="7" t="inlineStr">
        <is>
          <t>A40</t>
        </is>
      </c>
      <c r="V369" s="9">
        <f>HYPERLINK("#'"&amp;T369&amp;"'!"&amp;U369,"➜ פתח")</f>
        <v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7" t="inlineStr">
        <is>
          <t>טרנזקציה</t>
        </is>
      </c>
      <c r="Q370" s="8" t="inlineStr">
        <is>
          <t>SPRO</t>
        </is>
      </c>
      <c r="R370" s="7" t="inlineStr">
        <is>
          <t>סוגי הודעה (Notification Types - Customizing; הוגדר כ-T356, ש=עדיפויות)</t>
        </is>
      </c>
      <c r="S370" s="7" t="inlineStr">
        <is>
          <t>Notification types (config; correct=TQ80, T356=Priorities)</t>
        </is>
      </c>
      <c r="T370" s="7" t="inlineStr">
        <is>
          <t>6. הודעות אחזקה (Notifications)</t>
        </is>
      </c>
      <c r="U370" s="7" t="inlineStr">
        <is>
          <t>A40</t>
        </is>
      </c>
      <c r="V370" s="9">
        <f>HYPERLINK("#'"&amp;T370&amp;"'!"&amp;U370,"➜ פתח")</f>
        <v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7" t="inlineStr">
        <is>
          <t>טרנזקציה</t>
        </is>
      </c>
      <c r="Q371" s="8" t="inlineStr">
        <is>
          <t>QCC0</t>
        </is>
      </c>
      <c r="R371" s="7" t="inlineStr">
        <is>
          <t>סוגי הודעה (Notification Types - Customizing; הוגדר כ-T356, ש=עדיפויות)</t>
        </is>
      </c>
      <c r="S371" s="7" t="inlineStr">
        <is>
          <t>Notification types (config; correct=TQ80, T356=Priorities)</t>
        </is>
      </c>
      <c r="T371" s="7" t="inlineStr">
        <is>
          <t>6. הודעות אחזקה (Notifications)</t>
        </is>
      </c>
      <c r="U371" s="7" t="inlineStr">
        <is>
          <t>A40</t>
        </is>
      </c>
      <c r="V371" s="9">
        <f>HYPERLINK("#'"&amp;T371&amp;"'!"&amp;U371,"➜ פתח")</f>
        <v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7" t="inlineStr">
        <is>
          <t>פונקציה</t>
        </is>
      </c>
      <c r="Q372" s="8" t="inlineStr">
        <is>
          <t>PM_NOTIFICATION_TYPE_READ</t>
        </is>
      </c>
      <c r="R372" s="7" t="inlineStr">
        <is>
          <t>קריאת סוג הודעה והגדרותיו</t>
        </is>
      </c>
      <c r="S372" s="7" t="inlineStr">
        <is>
          <t>Notification types (config; correct=TQ80, T356=Priorities)</t>
        </is>
      </c>
      <c r="T372" s="7" t="inlineStr">
        <is>
          <t>6. הודעות אחזקה (Notifications)</t>
        </is>
      </c>
      <c r="U372" s="7" t="inlineStr">
        <is>
          <t>G40</t>
        </is>
      </c>
      <c r="V372" s="9">
        <f>HYPERLINK("#'"&amp;T372&amp;"'!"&amp;U372,"➜ פתח")</f>
        <v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7" t="inlineStr">
        <is>
          <t>פונקציה</t>
        </is>
      </c>
      <c r="Q373" s="8" t="inlineStr">
        <is>
          <t>PRIORITY_DETERMINE</t>
        </is>
      </c>
      <c r="R373" s="7" t="inlineStr">
        <is>
          <t>קביעת עדיפות לפי סוג</t>
        </is>
      </c>
      <c r="S373" s="7" t="inlineStr">
        <is>
          <t>Notification types (config; correct=TQ80, T356=Priorities)</t>
        </is>
      </c>
      <c r="T373" s="7" t="inlineStr">
        <is>
          <t>6. הודעות אחזקה (Notifications)</t>
        </is>
      </c>
      <c r="U373" s="7" t="inlineStr">
        <is>
          <t>G40</t>
        </is>
      </c>
      <c r="V373" s="9">
        <f>HYPERLINK("#'"&amp;T373&amp;"'!"&amp;U373,"➜ פתח")</f>
        <v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7" t="inlineStr">
        <is>
          <t>תוכנית</t>
        </is>
      </c>
      <c r="Q374" s="8" t="inlineStr">
        <is>
          <t>RIQMEL20</t>
        </is>
      </c>
      <c r="R374" s="7" t="inlineStr">
        <is>
          <t>ניתוח הודעות לפי סוג</t>
        </is>
      </c>
      <c r="S374" s="7" t="inlineStr">
        <is>
          <t>Notification types (config; correct=TQ80, T356=Priorities)</t>
        </is>
      </c>
      <c r="T374" s="7" t="inlineStr">
        <is>
          <t>6. הודעות אחזקה (Notifications)</t>
        </is>
      </c>
      <c r="U374" s="7" t="inlineStr">
        <is>
          <t>I40</t>
        </is>
      </c>
      <c r="V374" s="9">
        <f>HYPERLINK("#'"&amp;T374&amp;"'!"&amp;U374,"➜ פתח")</f>
        <v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7" t="inlineStr">
        <is>
          <t>Fiori</t>
        </is>
      </c>
      <c r="Q375" s="8" t="inlineStr">
        <is>
          <t>אין Fiori ייעודי (Customizing)</t>
        </is>
      </c>
      <c r="R375" s="7" t="inlineStr">
        <is>
          <t>סוגי הודעה (Notification Types - Customizing; הוגדר כ-T356, ש=עדיפויות)</t>
        </is>
      </c>
      <c r="S375" s="7" t="inlineStr">
        <is>
          <t>Notification types (config; correct=TQ80, T356=Priorities)</t>
        </is>
      </c>
      <c r="T375" s="7" t="inlineStr">
        <is>
          <t>6. הודעות אחזקה (Notifications)</t>
        </is>
      </c>
      <c r="U375" s="7" t="inlineStr">
        <is>
          <t>N40</t>
        </is>
      </c>
      <c r="V375" s="9">
        <f>HYPERLINK("#'"&amp;T375&amp;"'!"&amp;U375,"➜ פתח")</f>
        <v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7" t="inlineStr">
        <is>
          <t>User Exit</t>
        </is>
      </c>
      <c r="Q376" s="8" t="inlineStr">
        <is>
          <t>QQMA0014</t>
        </is>
      </c>
      <c r="R376" s="7" t="inlineStr">
        <is>
          <t>בדיקת לקוח לפני שמירת הודעה (Check before save)</t>
        </is>
      </c>
      <c r="S376" s="7" t="inlineStr"/>
      <c r="T376" s="7" t="inlineStr">
        <is>
          <t>6. הודעות אחזקה (Notifications)</t>
        </is>
      </c>
      <c r="U376" s="7" t="inlineStr">
        <is>
          <t>A48</t>
        </is>
      </c>
      <c r="V376" s="9">
        <f>HYPERLINK("#'"&amp;T376&amp;"'!"&amp;U376,"➜ פתח")</f>
        <v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7" t="inlineStr">
        <is>
          <t>User Exit</t>
        </is>
      </c>
      <c r="Q377" s="8" t="inlineStr">
        <is>
          <t>QQMA0010</t>
        </is>
      </c>
      <c r="R377" s="7" t="inlineStr">
        <is>
          <t>הרחבת שדות וברירות מחדל בכותרת ההודעה</t>
        </is>
      </c>
      <c r="S377" s="7" t="inlineStr"/>
      <c r="T377" s="7" t="inlineStr">
        <is>
          <t>6. הודעות אחזקה (Notifications)</t>
        </is>
      </c>
      <c r="U377" s="7" t="inlineStr">
        <is>
          <t>A49</t>
        </is>
      </c>
      <c r="V377" s="9">
        <f>HYPERLINK("#'"&amp;T377&amp;"'!"&amp;U377,"➜ פתח")</f>
        <v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7" t="inlineStr">
        <is>
          <t>User Exit</t>
        </is>
      </c>
      <c r="Q378" s="8" t="inlineStr">
        <is>
          <t>QQMA0025</t>
        </is>
      </c>
      <c r="R378" s="7" t="inlineStr">
        <is>
          <t>הרחבה בעת השלמת/סגירת הודעה</t>
        </is>
      </c>
      <c r="S378" s="7" t="inlineStr"/>
      <c r="T378" s="7" t="inlineStr">
        <is>
          <t>6. הודעות אחזקה (Notifications)</t>
        </is>
      </c>
      <c r="U378" s="7" t="inlineStr">
        <is>
          <t>A50</t>
        </is>
      </c>
      <c r="V378" s="9">
        <f>HYPERLINK("#'"&amp;T378&amp;"'!"&amp;U378,"➜ פתח")</f>
        <v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7" t="inlineStr">
        <is>
          <t>BAdI</t>
        </is>
      </c>
      <c r="Q379" s="8" t="inlineStr">
        <is>
          <t>NOTIF_EVENT_POST</t>
        </is>
      </c>
      <c r="R379" s="7" t="inlineStr">
        <is>
          <t>BAdI לאירוע רישום/שמירת הודעה (לוגיקה לאחר שמירה)</t>
        </is>
      </c>
      <c r="S379" s="7" t="inlineStr"/>
      <c r="T379" s="7" t="inlineStr">
        <is>
          <t>6. הודעות אחזקה (Notifications)</t>
        </is>
      </c>
      <c r="U379" s="7" t="inlineStr">
        <is>
          <t>A51</t>
        </is>
      </c>
      <c r="V379" s="9">
        <f>HYPERLINK("#'"&amp;T379&amp;"'!"&amp;U379,"➜ פתח")</f>
        <v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7" t="inlineStr">
        <is>
          <t>BAdI</t>
        </is>
      </c>
      <c r="Q380" s="8" t="inlineStr">
        <is>
          <t>NOTIF_EVENT_SAVE</t>
        </is>
      </c>
      <c r="R380" s="7" t="inlineStr">
        <is>
          <t>BAdI לאירוע שמירת הודעה (בדיקות לפני commit)</t>
        </is>
      </c>
      <c r="S380" s="7" t="inlineStr"/>
      <c r="T380" s="7" t="inlineStr">
        <is>
          <t>6. הודעות אחזקה (Notifications)</t>
        </is>
      </c>
      <c r="U380" s="7" t="inlineStr">
        <is>
          <t>A52</t>
        </is>
      </c>
      <c r="V380" s="9">
        <f>HYPERLINK("#'"&amp;T380&amp;"'!"&amp;U380,"➜ פתח")</f>
        <v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7" t="inlineStr">
        <is>
          <t>טבלה</t>
        </is>
      </c>
      <c r="Q381" s="8" t="inlineStr">
        <is>
          <t>AUFK</t>
        </is>
      </c>
      <c r="R381" s="7" t="inlineStr">
        <is>
          <t>נתוני אב של פקודת עבודה</t>
        </is>
      </c>
      <c r="S381" s="7" t="inlineStr">
        <is>
          <t>Order master data</t>
        </is>
      </c>
      <c r="T381" s="7" t="inlineStr">
        <is>
          <t>7. פקודות עבודה (פק"ע)</t>
        </is>
      </c>
      <c r="U381" s="7" t="inlineStr">
        <is>
          <t>A3</t>
        </is>
      </c>
      <c r="V381" s="9">
        <f>HYPERLINK("#'"&amp;T381&amp;"'!"&amp;U381,"➜ פתח")</f>
        <v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7" t="inlineStr">
        <is>
          <t>שדה</t>
        </is>
      </c>
      <c r="Q382" s="8" t="inlineStr">
        <is>
          <t>AUFNR</t>
        </is>
      </c>
      <c r="R382" s="7" t="inlineStr">
        <is>
          <t>מספר פק"ע</t>
        </is>
      </c>
      <c r="S382" s="7" t="inlineStr">
        <is>
          <t>Order number</t>
        </is>
      </c>
      <c r="T382" s="7" t="inlineStr">
        <is>
          <t>7. פקודות עבודה (פק"ע)</t>
        </is>
      </c>
      <c r="U382" s="7" t="inlineStr">
        <is>
          <t>D4</t>
        </is>
      </c>
      <c r="V382" s="9">
        <f>HYPERLINK("#'"&amp;T382&amp;"'!"&amp;U382,"➜ פתח")</f>
        <v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7" t="inlineStr">
        <is>
          <t>שדה</t>
        </is>
      </c>
      <c r="Q383" s="8" t="inlineStr">
        <is>
          <t>AUART</t>
        </is>
      </c>
      <c r="R383" s="7" t="inlineStr">
        <is>
          <t>סוג פק"ע</t>
        </is>
      </c>
      <c r="S383" s="7" t="inlineStr">
        <is>
          <t>Order type (PM01/02/03)</t>
        </is>
      </c>
      <c r="T383" s="7" t="inlineStr">
        <is>
          <t>7. פקודות עבודה (פק"ע)</t>
        </is>
      </c>
      <c r="U383" s="7" t="inlineStr">
        <is>
          <t>D5</t>
        </is>
      </c>
      <c r="V383" s="9">
        <f>HYPERLINK("#'"&amp;T383&amp;"'!"&amp;U383,"➜ פתח")</f>
        <v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7" t="inlineStr">
        <is>
          <t>שדה</t>
        </is>
      </c>
      <c r="Q384" s="8" t="inlineStr">
        <is>
          <t>KTEXT</t>
        </is>
      </c>
      <c r="R384" s="7" t="inlineStr">
        <is>
          <t>תיאור הפק"ע</t>
        </is>
      </c>
      <c r="S384" s="7" t="inlineStr">
        <is>
          <t>Order short text</t>
        </is>
      </c>
      <c r="T384" s="7" t="inlineStr">
        <is>
          <t>7. פקודות עבודה (פק"ע)</t>
        </is>
      </c>
      <c r="U384" s="7" t="inlineStr">
        <is>
          <t>D6</t>
        </is>
      </c>
      <c r="V384" s="9">
        <f>HYPERLINK("#'"&amp;T384&amp;"'!"&amp;U384,"➜ פתח")</f>
        <v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7" t="inlineStr">
        <is>
          <t>שדה</t>
        </is>
      </c>
      <c r="Q385" s="8" t="inlineStr">
        <is>
          <t>OBJNR</t>
        </is>
      </c>
      <c r="R385" s="7" t="inlineStr">
        <is>
          <t>מפתח אובייקט</t>
        </is>
      </c>
      <c r="S385" s="7" t="inlineStr">
        <is>
          <t>Object number (status/CO)</t>
        </is>
      </c>
      <c r="T385" s="7" t="inlineStr">
        <is>
          <t>7. פקודות עבודה (פק"ע)</t>
        </is>
      </c>
      <c r="U385" s="7" t="inlineStr">
        <is>
          <t>D7</t>
        </is>
      </c>
      <c r="V385" s="9">
        <f>HYPERLINK("#'"&amp;T385&amp;"'!"&amp;U385,"➜ פתח")</f>
        <v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7" t="inlineStr">
        <is>
          <t>שדה</t>
        </is>
      </c>
      <c r="Q386" s="8" t="inlineStr">
        <is>
          <t>KOSTV</t>
        </is>
      </c>
      <c r="R386" s="7" t="inlineStr">
        <is>
          <t>מרכז עלות אחראי</t>
        </is>
      </c>
      <c r="S386" s="7" t="inlineStr">
        <is>
          <t>Responsible cost center</t>
        </is>
      </c>
      <c r="T386" s="7" t="inlineStr">
        <is>
          <t>7. פקודות עבודה (פק"ע)</t>
        </is>
      </c>
      <c r="U386" s="7" t="inlineStr">
        <is>
          <t>D8</t>
        </is>
      </c>
      <c r="V386" s="9">
        <f>HYPERLINK("#'"&amp;T386&amp;"'!"&amp;U386,"➜ פתח")</f>
        <v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7" t="inlineStr">
        <is>
          <t>טרנזקציה</t>
        </is>
      </c>
      <c r="Q387" s="8" t="inlineStr">
        <is>
          <t>IW31</t>
        </is>
      </c>
      <c r="R387" s="7" t="inlineStr">
        <is>
          <t>נתוני אב של פקודת עבודה</t>
        </is>
      </c>
      <c r="S387" s="7" t="inlineStr">
        <is>
          <t>Order master data</t>
        </is>
      </c>
      <c r="T387" s="7" t="inlineStr">
        <is>
          <t>7. פקודות עבודה (פק"ע)</t>
        </is>
      </c>
      <c r="U387" s="7" t="inlineStr">
        <is>
          <t>A4</t>
        </is>
      </c>
      <c r="V387" s="9">
        <f>HYPERLINK("#'"&amp;T387&amp;"'!"&amp;U387,"➜ פתח")</f>
        <v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7" t="inlineStr">
        <is>
          <t>טרנזקציה</t>
        </is>
      </c>
      <c r="Q388" s="8" t="inlineStr">
        <is>
          <t>IW32</t>
        </is>
      </c>
      <c r="R388" s="7" t="inlineStr">
        <is>
          <t>נתוני אב של פקודת עבודה</t>
        </is>
      </c>
      <c r="S388" s="7" t="inlineStr">
        <is>
          <t>Order master data</t>
        </is>
      </c>
      <c r="T388" s="7" t="inlineStr">
        <is>
          <t>7. פקודות עבודה (פק"ע)</t>
        </is>
      </c>
      <c r="U388" s="7" t="inlineStr">
        <is>
          <t>A4</t>
        </is>
      </c>
      <c r="V388" s="9">
        <f>HYPERLINK("#'"&amp;T388&amp;"'!"&amp;U388,"➜ פתח")</f>
        <v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7" t="inlineStr">
        <is>
          <t>טרנזקציה</t>
        </is>
      </c>
      <c r="Q389" s="8" t="inlineStr">
        <is>
          <t>IW33</t>
        </is>
      </c>
      <c r="R389" s="7" t="inlineStr">
        <is>
          <t>נתוני אב של פקודת עבודה</t>
        </is>
      </c>
      <c r="S389" s="7" t="inlineStr">
        <is>
          <t>Order master data</t>
        </is>
      </c>
      <c r="T389" s="7" t="inlineStr">
        <is>
          <t>7. פקודות עבודה (פק"ע)</t>
        </is>
      </c>
      <c r="U389" s="7" t="inlineStr">
        <is>
          <t>A4</t>
        </is>
      </c>
      <c r="V389" s="9">
        <f>HYPERLINK("#'"&amp;T389&amp;"'!"&amp;U389,"➜ פתח")</f>
        <v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7" t="inlineStr">
        <is>
          <t>טרנזקציה</t>
        </is>
      </c>
      <c r="Q390" s="8" t="inlineStr">
        <is>
          <t>IW34</t>
        </is>
      </c>
      <c r="R390" s="7" t="inlineStr">
        <is>
          <t>נתוני אב של פקודת עבודה</t>
        </is>
      </c>
      <c r="S390" s="7" t="inlineStr">
        <is>
          <t>Order master data</t>
        </is>
      </c>
      <c r="T390" s="7" t="inlineStr">
        <is>
          <t>7. פקודות עבודה (פק"ע)</t>
        </is>
      </c>
      <c r="U390" s="7" t="inlineStr">
        <is>
          <t>A4</t>
        </is>
      </c>
      <c r="V390" s="9">
        <f>HYPERLINK("#'"&amp;T390&amp;"'!"&amp;U390,"➜ פתח")</f>
        <v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7" t="inlineStr">
        <is>
          <t>טרנזקציה</t>
        </is>
      </c>
      <c r="Q391" s="8" t="inlineStr">
        <is>
          <t>IW38</t>
        </is>
      </c>
      <c r="R391" s="7" t="inlineStr">
        <is>
          <t>נתוני אב של פקודת עבודה</t>
        </is>
      </c>
      <c r="S391" s="7" t="inlineStr">
        <is>
          <t>Order master data</t>
        </is>
      </c>
      <c r="T391" s="7" t="inlineStr">
        <is>
          <t>7. פקודות עבודה (פק"ע)</t>
        </is>
      </c>
      <c r="U391" s="7" t="inlineStr">
        <is>
          <t>A4</t>
        </is>
      </c>
      <c r="V391" s="9">
        <f>HYPERLINK("#'"&amp;T391&amp;"'!"&amp;U391,"➜ פתח")</f>
        <v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7" t="inlineStr">
        <is>
          <t>טרנזקציה</t>
        </is>
      </c>
      <c r="Q392" s="8" t="inlineStr">
        <is>
          <t>IW39</t>
        </is>
      </c>
      <c r="R392" s="7" t="inlineStr">
        <is>
          <t>נתוני אב של פקודת עבודה</t>
        </is>
      </c>
      <c r="S392" s="7" t="inlineStr">
        <is>
          <t>Order master data</t>
        </is>
      </c>
      <c r="T392" s="7" t="inlineStr">
        <is>
          <t>7. פקודות עבודה (פק"ע)</t>
        </is>
      </c>
      <c r="U392" s="7" t="inlineStr">
        <is>
          <t>A4</t>
        </is>
      </c>
      <c r="V392" s="9">
        <f>HYPERLINK("#'"&amp;T392&amp;"'!"&amp;U392,"➜ פתח")</f>
        <v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7" t="inlineStr">
        <is>
          <t>פונקציה</t>
        </is>
      </c>
      <c r="Q393" s="8" t="inlineStr">
        <is>
          <t>BAPI_ALM_ORDER_MAINTAIN</t>
        </is>
      </c>
      <c r="R393" s="7" t="inlineStr">
        <is>
          <t>יצירה/שינוי פק"ע (ממשק מרכזי)</t>
        </is>
      </c>
      <c r="S393" s="7" t="inlineStr">
        <is>
          <t>Order master data</t>
        </is>
      </c>
      <c r="T393" s="7" t="inlineStr">
        <is>
          <t>7. פקודות עבודה (פק"ע)</t>
        </is>
      </c>
      <c r="U393" s="7" t="inlineStr">
        <is>
          <t>G4</t>
        </is>
      </c>
      <c r="V393" s="9">
        <f>HYPERLINK("#'"&amp;T393&amp;"'!"&amp;U393,"➜ פתח")</f>
        <v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7" t="inlineStr">
        <is>
          <t>פונקציה</t>
        </is>
      </c>
      <c r="Q394" s="8" t="inlineStr">
        <is>
          <t>BAPI_ALM_ORDER_GET_DETAIL</t>
        </is>
      </c>
      <c r="R394" s="7" t="inlineStr">
        <is>
          <t>שליפת פרטי פק"ע</t>
        </is>
      </c>
      <c r="S394" s="7" t="inlineStr">
        <is>
          <t>Order master data</t>
        </is>
      </c>
      <c r="T394" s="7" t="inlineStr">
        <is>
          <t>7. פקודות עבודה (פק"ע)</t>
        </is>
      </c>
      <c r="U394" s="7" t="inlineStr">
        <is>
          <t>G4</t>
        </is>
      </c>
      <c r="V394" s="9">
        <f>HYPERLINK("#'"&amp;T394&amp;"'!"&amp;U394,"➜ פתח")</f>
        <v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7" t="inlineStr">
        <is>
          <t>פונקציה</t>
        </is>
      </c>
      <c r="Q395" s="8" t="inlineStr">
        <is>
          <t>BAPI_ALM_ORDERHEAD_GET_LIST</t>
        </is>
      </c>
      <c r="R395" s="7" t="inlineStr">
        <is>
          <t>שליפת רשימת פק"ע</t>
        </is>
      </c>
      <c r="S395" s="7" t="inlineStr">
        <is>
          <t>Order master data</t>
        </is>
      </c>
      <c r="T395" s="7" t="inlineStr">
        <is>
          <t>7. פקודות עבודה (פק"ע)</t>
        </is>
      </c>
      <c r="U395" s="7" t="inlineStr">
        <is>
          <t>G4</t>
        </is>
      </c>
      <c r="V395" s="9">
        <f>HYPERLINK("#'"&amp;T395&amp;"'!"&amp;U395,"➜ פתח")</f>
        <v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7" t="inlineStr">
        <is>
          <t>תוכנית</t>
        </is>
      </c>
      <c r="Q396" s="8" t="inlineStr">
        <is>
          <t>RIAUFK20</t>
        </is>
      </c>
      <c r="R396" s="7" t="inlineStr">
        <is>
          <t>רשימת פק"ע (IW38/39)</t>
        </is>
      </c>
      <c r="S396" s="7" t="inlineStr">
        <is>
          <t>Order master data</t>
        </is>
      </c>
      <c r="T396" s="7" t="inlineStr">
        <is>
          <t>7. פקודות עבודה (פק"ע)</t>
        </is>
      </c>
      <c r="U396" s="7" t="inlineStr">
        <is>
          <t>I4</t>
        </is>
      </c>
      <c r="V396" s="9">
        <f>HYPERLINK("#'"&amp;T396&amp;"'!"&amp;U396,"➜ פתח")</f>
        <v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7" t="inlineStr">
        <is>
          <t>Fiori</t>
        </is>
      </c>
      <c r="Q397" s="8" t="inlineStr">
        <is>
          <t>Find Maintenance Order (F2393)</t>
        </is>
      </c>
      <c r="R397" s="7" t="inlineStr">
        <is>
          <t>נתוני אב של פקודת עבודה</t>
        </is>
      </c>
      <c r="S397" s="7" t="inlineStr">
        <is>
          <t>Order master data</t>
        </is>
      </c>
      <c r="T397" s="7" t="inlineStr">
        <is>
          <t>7. פקודות עבודה (פק"ע)</t>
        </is>
      </c>
      <c r="U397" s="7" t="inlineStr">
        <is>
          <t>N4</t>
        </is>
      </c>
      <c r="V397" s="9">
        <f>HYPERLINK("#'"&amp;T397&amp;"'!"&amp;U397,"➜ פתח")</f>
        <v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7" t="inlineStr">
        <is>
          <t>טבלה</t>
        </is>
      </c>
      <c r="Q398" s="8" t="inlineStr">
        <is>
          <t>AFKO</t>
        </is>
      </c>
      <c r="R398" s="7" t="inlineStr">
        <is>
          <t>כותרת פקודה (נתוני אחזקה/ייצור)</t>
        </is>
      </c>
      <c r="S398" s="7" t="inlineStr">
        <is>
          <t>Order header data</t>
        </is>
      </c>
      <c r="T398" s="7" t="inlineStr">
        <is>
          <t>7. פקודות עבודה (פק"ע)</t>
        </is>
      </c>
      <c r="U398" s="7" t="inlineStr">
        <is>
          <t>A10</t>
        </is>
      </c>
      <c r="V398" s="9">
        <f>HYPERLINK("#'"&amp;T398&amp;"'!"&amp;U398,"➜ פתח")</f>
        <v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7" t="inlineStr">
        <is>
          <t>שדה</t>
        </is>
      </c>
      <c r="Q399" s="8" t="inlineStr">
        <is>
          <t>AUFNR</t>
        </is>
      </c>
      <c r="R399" s="7" t="inlineStr">
        <is>
          <t>מספר פק"ע</t>
        </is>
      </c>
      <c r="S399" s="7" t="inlineStr">
        <is>
          <t>Order number</t>
        </is>
      </c>
      <c r="T399" s="7" t="inlineStr">
        <is>
          <t>7. פקודות עבודה (פק"ע)</t>
        </is>
      </c>
      <c r="U399" s="7" t="inlineStr">
        <is>
          <t>D11</t>
        </is>
      </c>
      <c r="V399" s="9">
        <f>HYPERLINK("#'"&amp;T399&amp;"'!"&amp;U399,"➜ פתח")</f>
        <v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7" t="inlineStr">
        <is>
          <t>שדה</t>
        </is>
      </c>
      <c r="Q400" s="8" t="inlineStr">
        <is>
          <t>AUFPL</t>
        </is>
      </c>
      <c r="R400" s="7" t="inlineStr">
        <is>
          <t>מספר תוכנית פעולות</t>
        </is>
      </c>
      <c r="S400" s="7" t="inlineStr">
        <is>
          <t>Routing/operation plan number</t>
        </is>
      </c>
      <c r="T400" s="7" t="inlineStr">
        <is>
          <t>7. פקודות עבודה (פק"ע)</t>
        </is>
      </c>
      <c r="U400" s="7" t="inlineStr">
        <is>
          <t>D12</t>
        </is>
      </c>
      <c r="V400" s="9">
        <f>HYPERLINK("#'"&amp;T400&amp;"'!"&amp;U400,"➜ פתח")</f>
        <v/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7" t="inlineStr">
        <is>
          <t>שדה</t>
        </is>
      </c>
      <c r="Q401" s="8" t="inlineStr">
        <is>
          <t>GLTRP</t>
        </is>
      </c>
      <c r="R401" s="7" t="inlineStr">
        <is>
          <t>תאריך סיום בסיסי</t>
        </is>
      </c>
      <c r="S401" s="7" t="inlineStr">
        <is>
          <t>Basic finish date</t>
        </is>
      </c>
      <c r="T401" s="7" t="inlineStr">
        <is>
          <t>7. פקודות עבודה (פק"ע)</t>
        </is>
      </c>
      <c r="U401" s="7" t="inlineStr">
        <is>
          <t>D13</t>
        </is>
      </c>
      <c r="V401" s="9">
        <f>HYPERLINK("#'"&amp;T401&amp;"'!"&amp;U401,"➜ פתח")</f>
        <v/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7" t="inlineStr">
        <is>
          <t>שדה</t>
        </is>
      </c>
      <c r="Q402" s="8" t="inlineStr">
        <is>
          <t>GSTRP</t>
        </is>
      </c>
      <c r="R402" s="7" t="inlineStr">
        <is>
          <t>תאריך התחלה בסיסי</t>
        </is>
      </c>
      <c r="S402" s="7" t="inlineStr">
        <is>
          <t>Basic start date</t>
        </is>
      </c>
      <c r="T402" s="7" t="inlineStr">
        <is>
          <t>7. פקודות עבודה (פק"ע)</t>
        </is>
      </c>
      <c r="U402" s="7" t="inlineStr">
        <is>
          <t>D14</t>
        </is>
      </c>
      <c r="V402" s="9">
        <f>HYPERLINK("#'"&amp;T402&amp;"'!"&amp;U402,"➜ פתח")</f>
        <v/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7" t="inlineStr">
        <is>
          <t>שדה</t>
        </is>
      </c>
      <c r="Q403" s="8" t="inlineStr">
        <is>
          <t>PLNBEZ</t>
        </is>
      </c>
      <c r="R403" s="7" t="inlineStr">
        <is>
          <t>הפניית עץ מוצר/חומר</t>
        </is>
      </c>
      <c r="S403" s="7" t="inlineStr">
        <is>
          <t>BOM/material reference</t>
        </is>
      </c>
      <c r="T403" s="7" t="inlineStr">
        <is>
          <t>7. פקודות עבודה (פק"ע)</t>
        </is>
      </c>
      <c r="U403" s="7" t="inlineStr">
        <is>
          <t>D15</t>
        </is>
      </c>
      <c r="V403" s="9">
        <f>HYPERLINK("#'"&amp;T403&amp;"'!"&amp;U403,"➜ פתח")</f>
        <v/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7" t="inlineStr">
        <is>
          <t>טרנזקציה</t>
        </is>
      </c>
      <c r="Q404" s="8" t="inlineStr">
        <is>
          <t>IW32</t>
        </is>
      </c>
      <c r="R404" s="7" t="inlineStr">
        <is>
          <t>כותרת פקודה (נתוני אחזקה/ייצור)</t>
        </is>
      </c>
      <c r="S404" s="7" t="inlineStr">
        <is>
          <t>Order header data</t>
        </is>
      </c>
      <c r="T404" s="7" t="inlineStr">
        <is>
          <t>7. פקודות עבודה (פק"ע)</t>
        </is>
      </c>
      <c r="U404" s="7" t="inlineStr">
        <is>
          <t>A11</t>
        </is>
      </c>
      <c r="V404" s="9">
        <f>HYPERLINK("#'"&amp;T404&amp;"'!"&amp;U404,"➜ פתח")</f>
        <v/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7" t="inlineStr">
        <is>
          <t>טרנזקציה</t>
        </is>
      </c>
      <c r="Q405" s="8" t="inlineStr">
        <is>
          <t>IW37N</t>
        </is>
      </c>
      <c r="R405" s="7" t="inlineStr">
        <is>
          <t>כותרת פקודה (נתוני אחזקה/ייצור)</t>
        </is>
      </c>
      <c r="S405" s="7" t="inlineStr">
        <is>
          <t>Order header data</t>
        </is>
      </c>
      <c r="T405" s="7" t="inlineStr">
        <is>
          <t>7. פקודות עבודה (פק"ע)</t>
        </is>
      </c>
      <c r="U405" s="7" t="inlineStr">
        <is>
          <t>A11</t>
        </is>
      </c>
      <c r="V405" s="9">
        <f>HYPERLINK("#'"&amp;T405&amp;"'!"&amp;U405,"➜ פתח")</f>
        <v/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7" t="inlineStr">
        <is>
          <t>פונקציה</t>
        </is>
      </c>
      <c r="Q406" s="8" t="inlineStr">
        <is>
          <t>CO_ZF_ORDER_HEADER_READ</t>
        </is>
      </c>
      <c r="R406" s="7" t="inlineStr">
        <is>
          <t>קריאת כותרת הפקודה</t>
        </is>
      </c>
      <c r="S406" s="7" t="inlineStr">
        <is>
          <t>Order header data</t>
        </is>
      </c>
      <c r="T406" s="7" t="inlineStr">
        <is>
          <t>7. פקודות עבודה (פק"ע)</t>
        </is>
      </c>
      <c r="U406" s="7" t="inlineStr">
        <is>
          <t>G11</t>
        </is>
      </c>
      <c r="V406" s="9">
        <f>HYPERLINK("#'"&amp;T406&amp;"'!"&amp;U406,"➜ פתח")</f>
        <v/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7" t="inlineStr">
        <is>
          <t>תוכנית</t>
        </is>
      </c>
      <c r="Q407" s="8" t="inlineStr">
        <is>
          <t>RIAUFK20</t>
        </is>
      </c>
      <c r="R407" s="7" t="inlineStr">
        <is>
          <t>רשימת פק"ע</t>
        </is>
      </c>
      <c r="S407" s="7" t="inlineStr">
        <is>
          <t>Order header data</t>
        </is>
      </c>
      <c r="T407" s="7" t="inlineStr">
        <is>
          <t>7. פקודות עבודה (פק"ע)</t>
        </is>
      </c>
      <c r="U407" s="7" t="inlineStr">
        <is>
          <t>I11</t>
        </is>
      </c>
      <c r="V407" s="9">
        <f>HYPERLINK("#'"&amp;T407&amp;"'!"&amp;U407,"➜ פתח")</f>
        <v/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7" t="inlineStr">
        <is>
          <t>Fiori</t>
        </is>
      </c>
      <c r="Q408" s="8" t="inlineStr">
        <is>
          <t>Create Maintenance Order (אמת ID)</t>
        </is>
      </c>
      <c r="R408" s="7" t="inlineStr">
        <is>
          <t>כותרת פקודה (נתוני אחזקה/ייצור)</t>
        </is>
      </c>
      <c r="S408" s="7" t="inlineStr">
        <is>
          <t>Order header data</t>
        </is>
      </c>
      <c r="T408" s="7" t="inlineStr">
        <is>
          <t>7. פקודות עבודה (פק"ע)</t>
        </is>
      </c>
      <c r="U408" s="7" t="inlineStr">
        <is>
          <t>N11</t>
        </is>
      </c>
      <c r="V408" s="9">
        <f>HYPERLINK("#'"&amp;T408&amp;"'!"&amp;U408,"➜ פתח")</f>
        <v/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7" t="inlineStr">
        <is>
          <t>טבלה</t>
        </is>
      </c>
      <c r="Q409" s="8" t="inlineStr">
        <is>
          <t>AFVC</t>
        </is>
      </c>
      <c r="R409" s="7" t="inlineStr">
        <is>
          <t>פעולות הפקודה (Operations - השם התקני; לא AFVG)</t>
        </is>
      </c>
      <c r="S409" s="7" t="inlineStr">
        <is>
          <t>Order operations (correct table name, not AFVG)</t>
        </is>
      </c>
      <c r="T409" s="7" t="inlineStr">
        <is>
          <t>7. פקודות עבודה (פק"ע)</t>
        </is>
      </c>
      <c r="U409" s="7" t="inlineStr">
        <is>
          <t>A17</t>
        </is>
      </c>
      <c r="V409" s="9">
        <f>HYPERLINK("#'"&amp;T409&amp;"'!"&amp;U409,"➜ פתח")</f>
        <v/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7" t="inlineStr">
        <is>
          <t>שדה</t>
        </is>
      </c>
      <c r="Q410" s="8" t="inlineStr">
        <is>
          <t>AUFPL</t>
        </is>
      </c>
      <c r="R410" s="7" t="inlineStr">
        <is>
          <t>מספר תוכנית פעולות - מצטרף ל-AFKO</t>
        </is>
      </c>
      <c r="S410" s="7" t="inlineStr">
        <is>
          <t>Routing/operations plan no. - joins AFKO</t>
        </is>
      </c>
      <c r="T410" s="7" t="inlineStr">
        <is>
          <t>7. פקודות עבודה (פק"ע)</t>
        </is>
      </c>
      <c r="U410" s="7" t="inlineStr">
        <is>
          <t>D18</t>
        </is>
      </c>
      <c r="V410" s="9">
        <f>HYPERLINK("#'"&amp;T410&amp;"'!"&amp;U410,"➜ פתח")</f>
        <v/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7" t="inlineStr">
        <is>
          <t>שדה</t>
        </is>
      </c>
      <c r="Q411" s="8" t="inlineStr">
        <is>
          <t>APLZL</t>
        </is>
      </c>
      <c r="R411" s="7" t="inlineStr">
        <is>
          <t>מונה פעולה פנימי</t>
        </is>
      </c>
      <c r="S411" s="7" t="inlineStr">
        <is>
          <t>Internal operation counter</t>
        </is>
      </c>
      <c r="T411" s="7" t="inlineStr">
        <is>
          <t>7. פקודות עבודה (פק"ע)</t>
        </is>
      </c>
      <c r="U411" s="7" t="inlineStr">
        <is>
          <t>D19</t>
        </is>
      </c>
      <c r="V411" s="9">
        <f>HYPERLINK("#'"&amp;T411&amp;"'!"&amp;U411,"➜ פתח")</f>
        <v/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7" t="inlineStr">
        <is>
          <t>שדה</t>
        </is>
      </c>
      <c r="Q412" s="8" t="inlineStr">
        <is>
          <t>VORNR</t>
        </is>
      </c>
      <c r="R412" s="7" t="inlineStr">
        <is>
          <t>מספר פעולה</t>
        </is>
      </c>
      <c r="S412" s="7" t="inlineStr">
        <is>
          <t>Operation number</t>
        </is>
      </c>
      <c r="T412" s="7" t="inlineStr">
        <is>
          <t>7. פקודות עבודה (פק"ע)</t>
        </is>
      </c>
      <c r="U412" s="7" t="inlineStr">
        <is>
          <t>D20</t>
        </is>
      </c>
      <c r="V412" s="9">
        <f>HYPERLINK("#'"&amp;T412&amp;"'!"&amp;U412,"➜ פתח")</f>
        <v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7" t="inlineStr">
        <is>
          <t>שדה</t>
        </is>
      </c>
      <c r="Q413" s="8" t="inlineStr">
        <is>
          <t>ARBID</t>
        </is>
      </c>
      <c r="R413" s="7" t="inlineStr">
        <is>
          <t>מרכז עבודה (מזהה אובייקט)</t>
        </is>
      </c>
      <c r="S413" s="7" t="inlineStr">
        <is>
          <t>Work center (object id)</t>
        </is>
      </c>
      <c r="T413" s="7" t="inlineStr">
        <is>
          <t>7. פקודות עבודה (פק"ע)</t>
        </is>
      </c>
      <c r="U413" s="7" t="inlineStr">
        <is>
          <t>D21</t>
        </is>
      </c>
      <c r="V413" s="9">
        <f>HYPERLINK("#'"&amp;T413&amp;"'!"&amp;U413,"➜ פתח")</f>
        <v/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7" t="inlineStr">
        <is>
          <t>שדה</t>
        </is>
      </c>
      <c r="Q414" s="8" t="inlineStr">
        <is>
          <t>STEUS</t>
        </is>
      </c>
      <c r="R414" s="7" t="inlineStr">
        <is>
          <t>מפתח בקרה (פנימי/חיצוני)</t>
        </is>
      </c>
      <c r="S414" s="7" t="inlineStr">
        <is>
          <t>Control key (in-house/external)</t>
        </is>
      </c>
      <c r="T414" s="7" t="inlineStr">
        <is>
          <t>7. פקודות עבודה (פק"ע)</t>
        </is>
      </c>
      <c r="U414" s="7" t="inlineStr">
        <is>
          <t>D22</t>
        </is>
      </c>
      <c r="V414" s="9">
        <f>HYPERLINK("#'"&amp;T414&amp;"'!"&amp;U414,"➜ פתח")</f>
        <v/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7" t="inlineStr">
        <is>
          <t>שדה</t>
        </is>
      </c>
      <c r="Q415" s="8" t="inlineStr">
        <is>
          <t>LTXA1</t>
        </is>
      </c>
      <c r="R415" s="7" t="inlineStr">
        <is>
          <t>תיאור קצר של הפעולה</t>
        </is>
      </c>
      <c r="S415" s="7" t="inlineStr">
        <is>
          <t>Operation short text</t>
        </is>
      </c>
      <c r="T415" s="7" t="inlineStr">
        <is>
          <t>7. פקודות עבודה (פק"ע)</t>
        </is>
      </c>
      <c r="U415" s="7" t="inlineStr">
        <is>
          <t>D23</t>
        </is>
      </c>
      <c r="V415" s="9">
        <f>HYPERLINK("#'"&amp;T415&amp;"'!"&amp;U415,"➜ פתח")</f>
        <v/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7" t="inlineStr">
        <is>
          <t>טרנזקציה</t>
        </is>
      </c>
      <c r="Q416" s="8" t="inlineStr">
        <is>
          <t>IW31</t>
        </is>
      </c>
      <c r="R416" s="7" t="inlineStr">
        <is>
          <t>פעולות הפקודה (Operations - השם התקני; לא AFVG)</t>
        </is>
      </c>
      <c r="S416" s="7" t="inlineStr">
        <is>
          <t>Order operations (correct table name, not AFVG)</t>
        </is>
      </c>
      <c r="T416" s="7" t="inlineStr">
        <is>
          <t>7. פקודות עבודה (פק"ע)</t>
        </is>
      </c>
      <c r="U416" s="7" t="inlineStr">
        <is>
          <t>A18</t>
        </is>
      </c>
      <c r="V416" s="9">
        <f>HYPERLINK("#'"&amp;T416&amp;"'!"&amp;U416,"➜ פתח")</f>
        <v/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7" t="inlineStr">
        <is>
          <t>טרנזקציה</t>
        </is>
      </c>
      <c r="Q417" s="8" t="inlineStr">
        <is>
          <t>IW32</t>
        </is>
      </c>
      <c r="R417" s="7" t="inlineStr">
        <is>
          <t>פעולות הפקודה (Operations - השם התקני; לא AFVG)</t>
        </is>
      </c>
      <c r="S417" s="7" t="inlineStr">
        <is>
          <t>Order operations (correct table name, not AFVG)</t>
        </is>
      </c>
      <c r="T417" s="7" t="inlineStr">
        <is>
          <t>7. פקודות עבודה (פק"ע)</t>
        </is>
      </c>
      <c r="U417" s="7" t="inlineStr">
        <is>
          <t>A18</t>
        </is>
      </c>
      <c r="V417" s="9">
        <f>HYPERLINK("#'"&amp;T417&amp;"'!"&amp;U417,"➜ פתח")</f>
        <v/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7" t="inlineStr">
        <is>
          <t>טרנזקציה</t>
        </is>
      </c>
      <c r="Q418" s="8" t="inlineStr">
        <is>
          <t>IW33</t>
        </is>
      </c>
      <c r="R418" s="7" t="inlineStr">
        <is>
          <t>פעולות הפקודה (Operations - השם התקני; לא AFVG)</t>
        </is>
      </c>
      <c r="S418" s="7" t="inlineStr">
        <is>
          <t>Order operations (correct table name, not AFVG)</t>
        </is>
      </c>
      <c r="T418" s="7" t="inlineStr">
        <is>
          <t>7. פקודות עבודה (פק"ע)</t>
        </is>
      </c>
      <c r="U418" s="7" t="inlineStr">
        <is>
          <t>A18</t>
        </is>
      </c>
      <c r="V418" s="9">
        <f>HYPERLINK("#'"&amp;T418&amp;"'!"&amp;U418,"➜ פתח")</f>
        <v/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7" t="inlineStr">
        <is>
          <t>טרנזקציה</t>
        </is>
      </c>
      <c r="Q419" s="8" t="inlineStr">
        <is>
          <t>IW37N</t>
        </is>
      </c>
      <c r="R419" s="7" t="inlineStr">
        <is>
          <t>פעולות הפקודה (Operations - השם התקני; לא AFVG)</t>
        </is>
      </c>
      <c r="S419" s="7" t="inlineStr">
        <is>
          <t>Order operations (correct table name, not AFVG)</t>
        </is>
      </c>
      <c r="T419" s="7" t="inlineStr">
        <is>
          <t>7. פקודות עבודה (פק"ע)</t>
        </is>
      </c>
      <c r="U419" s="7" t="inlineStr">
        <is>
          <t>A18</t>
        </is>
      </c>
      <c r="V419" s="9">
        <f>HYPERLINK("#'"&amp;T419&amp;"'!"&amp;U419,"➜ פתח")</f>
        <v/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7" t="inlineStr">
        <is>
          <t>טרנזקציה</t>
        </is>
      </c>
      <c r="Q420" s="8" t="inlineStr">
        <is>
          <t>CM01</t>
        </is>
      </c>
      <c r="R420" s="7" t="inlineStr">
        <is>
          <t>פעולות הפקודה (Operations - השם התקני; לא AFVG)</t>
        </is>
      </c>
      <c r="S420" s="7" t="inlineStr">
        <is>
          <t>Order operations (correct table name, not AFVG)</t>
        </is>
      </c>
      <c r="T420" s="7" t="inlineStr">
        <is>
          <t>7. פקודות עבודה (פק"ע)</t>
        </is>
      </c>
      <c r="U420" s="7" t="inlineStr">
        <is>
          <t>A18</t>
        </is>
      </c>
      <c r="V420" s="9">
        <f>HYPERLINK("#'"&amp;T420&amp;"'!"&amp;U420,"➜ פתח")</f>
        <v/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7" t="inlineStr">
        <is>
          <t>פונקציה</t>
        </is>
      </c>
      <c r="Q421" s="8" t="inlineStr">
        <is>
          <t>BAPI_ALM_ORDER_MAINTAIN</t>
        </is>
      </c>
      <c r="R421" s="7" t="inlineStr">
        <is>
          <t>הוספת/שינוי פעולות בפק"ע (METHOD=OPERATION)</t>
        </is>
      </c>
      <c r="S421" s="7" t="inlineStr">
        <is>
          <t>Order operations (correct table name, not AFVG)</t>
        </is>
      </c>
      <c r="T421" s="7" t="inlineStr">
        <is>
          <t>7. פקודות עבודה (פק"ע)</t>
        </is>
      </c>
      <c r="U421" s="7" t="inlineStr">
        <is>
          <t>G18</t>
        </is>
      </c>
      <c r="V421" s="9">
        <f>HYPERLINK("#'"&amp;T421&amp;"'!"&amp;U421,"➜ פתח")</f>
        <v/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7" t="inlineStr">
        <is>
          <t>פונקציה</t>
        </is>
      </c>
      <c r="Q422" s="8" t="inlineStr">
        <is>
          <t>CO_ZF_OPERATIONS_READ</t>
        </is>
      </c>
      <c r="R422" s="7" t="inlineStr">
        <is>
          <t>קריאת פעולות הפקודה</t>
        </is>
      </c>
      <c r="S422" s="7" t="inlineStr">
        <is>
          <t>Order operations (correct table name, not AFVG)</t>
        </is>
      </c>
      <c r="T422" s="7" t="inlineStr">
        <is>
          <t>7. פקודות עבודה (פק"ע)</t>
        </is>
      </c>
      <c r="U422" s="7" t="inlineStr">
        <is>
          <t>G18</t>
        </is>
      </c>
      <c r="V422" s="9">
        <f>HYPERLINK("#'"&amp;T422&amp;"'!"&amp;U422,"➜ פתח")</f>
        <v/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7" t="inlineStr">
        <is>
          <t>תוכנית</t>
        </is>
      </c>
      <c r="Q423" s="8" t="inlineStr">
        <is>
          <t>RIAFVC00</t>
        </is>
      </c>
      <c r="R423" s="7" t="inlineStr">
        <is>
          <t>ניתוח פעולות ועומסי קיבולת</t>
        </is>
      </c>
      <c r="S423" s="7" t="inlineStr">
        <is>
          <t>Order operations (correct table name, not AFVG)</t>
        </is>
      </c>
      <c r="T423" s="7" t="inlineStr">
        <is>
          <t>7. פקודות עבודה (פק"ע)</t>
        </is>
      </c>
      <c r="U423" s="7" t="inlineStr">
        <is>
          <t>I18</t>
        </is>
      </c>
      <c r="V423" s="9">
        <f>HYPERLINK("#'"&amp;T423&amp;"'!"&amp;U423,"➜ פתח")</f>
        <v/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7" t="inlineStr">
        <is>
          <t>Fiori</t>
        </is>
      </c>
      <c r="Q424" s="8" t="inlineStr">
        <is>
          <t>Find Maintenance Order (F2393)</t>
        </is>
      </c>
      <c r="R424" s="7" t="inlineStr">
        <is>
          <t>פעולות הפקודה (Operations - השם התקני; לא AFVG)</t>
        </is>
      </c>
      <c r="S424" s="7" t="inlineStr">
        <is>
          <t>Order operations (correct table name, not AFVG)</t>
        </is>
      </c>
      <c r="T424" s="7" t="inlineStr">
        <is>
          <t>7. פקודות עבודה (פק"ע)</t>
        </is>
      </c>
      <c r="U424" s="7" t="inlineStr">
        <is>
          <t>N18</t>
        </is>
      </c>
      <c r="V424" s="9">
        <f>HYPERLINK("#'"&amp;T424&amp;"'!"&amp;U424,"➜ פתח")</f>
        <v/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7" t="inlineStr">
        <is>
          <t>טבלה</t>
        </is>
      </c>
      <c r="Q425" s="8" t="inlineStr">
        <is>
          <t>AFPO</t>
        </is>
      </c>
      <c r="R425" s="7" t="inlineStr">
        <is>
          <t>פריט פקודה</t>
        </is>
      </c>
      <c r="S425" s="7" t="inlineStr">
        <is>
          <t>Order item</t>
        </is>
      </c>
      <c r="T425" s="7" t="inlineStr">
        <is>
          <t>7. פקודות עבודה (פק"ע)</t>
        </is>
      </c>
      <c r="U425" s="7" t="inlineStr">
        <is>
          <t>A25</t>
        </is>
      </c>
      <c r="V425" s="9">
        <f>HYPERLINK("#'"&amp;T425&amp;"'!"&amp;U425,"➜ פתח")</f>
        <v/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7" t="inlineStr">
        <is>
          <t>שדה</t>
        </is>
      </c>
      <c r="Q426" s="8" t="inlineStr">
        <is>
          <t>AUFNR</t>
        </is>
      </c>
      <c r="R426" s="7" t="inlineStr">
        <is>
          <t>מספר פק"ע</t>
        </is>
      </c>
      <c r="S426" s="7" t="inlineStr">
        <is>
          <t>Order number</t>
        </is>
      </c>
      <c r="T426" s="7" t="inlineStr">
        <is>
          <t>7. פקודות עבודה (פק"ע)</t>
        </is>
      </c>
      <c r="U426" s="7" t="inlineStr">
        <is>
          <t>D26</t>
        </is>
      </c>
      <c r="V426" s="9">
        <f>HYPERLINK("#'"&amp;T426&amp;"'!"&amp;U426,"➜ פתח")</f>
        <v/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7" t="inlineStr">
        <is>
          <t>שדה</t>
        </is>
      </c>
      <c r="Q427" s="8" t="inlineStr">
        <is>
          <t>POSNR</t>
        </is>
      </c>
      <c r="R427" s="7" t="inlineStr">
        <is>
          <t>מספר פריט</t>
        </is>
      </c>
      <c r="S427" s="7" t="inlineStr">
        <is>
          <t>Order item number</t>
        </is>
      </c>
      <c r="T427" s="7" t="inlineStr">
        <is>
          <t>7. פקודות עבודה (פק"ע)</t>
        </is>
      </c>
      <c r="U427" s="7" t="inlineStr">
        <is>
          <t>D27</t>
        </is>
      </c>
      <c r="V427" s="9">
        <f>HYPERLINK("#'"&amp;T427&amp;"'!"&amp;U427,"➜ פתח")</f>
        <v/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7" t="inlineStr">
        <is>
          <t>שדה</t>
        </is>
      </c>
      <c r="Q428" s="8" t="inlineStr">
        <is>
          <t>MATNR</t>
        </is>
      </c>
      <c r="R428" s="7" t="inlineStr">
        <is>
          <t>חומר (שיפוץ)</t>
        </is>
      </c>
      <c r="S428" s="7" t="inlineStr">
        <is>
          <t>Material (refurbishment)</t>
        </is>
      </c>
      <c r="T428" s="7" t="inlineStr">
        <is>
          <t>7. פקודות עבודה (פק"ע)</t>
        </is>
      </c>
      <c r="U428" s="7" t="inlineStr">
        <is>
          <t>D28</t>
        </is>
      </c>
      <c r="V428" s="9">
        <f>HYPERLINK("#'"&amp;T428&amp;"'!"&amp;U428,"➜ פתח")</f>
        <v/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7" t="inlineStr">
        <is>
          <t>שדה</t>
        </is>
      </c>
      <c r="Q429" s="8" t="inlineStr">
        <is>
          <t>PSAMG</t>
        </is>
      </c>
      <c r="R429" s="7" t="inlineStr">
        <is>
          <t>כמות פריט</t>
        </is>
      </c>
      <c r="S429" s="7" t="inlineStr">
        <is>
          <t>Order item quantity</t>
        </is>
      </c>
      <c r="T429" s="7" t="inlineStr">
        <is>
          <t>7. פקודות עבודה (פק"ע)</t>
        </is>
      </c>
      <c r="U429" s="7" t="inlineStr">
        <is>
          <t>D29</t>
        </is>
      </c>
      <c r="V429" s="9">
        <f>HYPERLINK("#'"&amp;T429&amp;"'!"&amp;U429,"➜ פתח")</f>
        <v/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7" t="inlineStr">
        <is>
          <t>טרנזקציה</t>
        </is>
      </c>
      <c r="Q430" s="8" t="inlineStr">
        <is>
          <t>IW32</t>
        </is>
      </c>
      <c r="R430" s="7" t="inlineStr">
        <is>
          <t>פריט פקודה</t>
        </is>
      </c>
      <c r="S430" s="7" t="inlineStr">
        <is>
          <t>Order item</t>
        </is>
      </c>
      <c r="T430" s="7" t="inlineStr">
        <is>
          <t>7. פקודות עבודה (פק"ע)</t>
        </is>
      </c>
      <c r="U430" s="7" t="inlineStr">
        <is>
          <t>A26</t>
        </is>
      </c>
      <c r="V430" s="9">
        <f>HYPERLINK("#'"&amp;T430&amp;"'!"&amp;U430,"➜ פתח")</f>
        <v/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7" t="inlineStr">
        <is>
          <t>טרנזקציה</t>
        </is>
      </c>
      <c r="Q431" s="8" t="inlineStr">
        <is>
          <t>IW33</t>
        </is>
      </c>
      <c r="R431" s="7" t="inlineStr">
        <is>
          <t>פריט פקודה</t>
        </is>
      </c>
      <c r="S431" s="7" t="inlineStr">
        <is>
          <t>Order item</t>
        </is>
      </c>
      <c r="T431" s="7" t="inlineStr">
        <is>
          <t>7. פקודות עבודה (פק"ע)</t>
        </is>
      </c>
      <c r="U431" s="7" t="inlineStr">
        <is>
          <t>A26</t>
        </is>
      </c>
      <c r="V431" s="9">
        <f>HYPERLINK("#'"&amp;T431&amp;"'!"&amp;U431,"➜ פתח")</f>
        <v/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7" t="inlineStr">
        <is>
          <t>פונקציה</t>
        </is>
      </c>
      <c r="Q432" s="8" t="inlineStr">
        <is>
          <t>CO_ZF_ORDER_ITEM_READ</t>
        </is>
      </c>
      <c r="R432" s="7" t="inlineStr">
        <is>
          <t>קריאת פריט הפקודה</t>
        </is>
      </c>
      <c r="S432" s="7" t="inlineStr">
        <is>
          <t>Order item</t>
        </is>
      </c>
      <c r="T432" s="7" t="inlineStr">
        <is>
          <t>7. פקודות עבודה (פק"ע)</t>
        </is>
      </c>
      <c r="U432" s="7" t="inlineStr">
        <is>
          <t>G26</t>
        </is>
      </c>
      <c r="V432" s="9">
        <f>HYPERLINK("#'"&amp;T432&amp;"'!"&amp;U432,"➜ פתח")</f>
        <v/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7" t="inlineStr">
        <is>
          <t>תוכנית</t>
        </is>
      </c>
      <c r="Q433" s="8" t="inlineStr">
        <is>
          <t>RIAFPO00</t>
        </is>
      </c>
      <c r="R433" s="7" t="inlineStr">
        <is>
          <t>ניתוח פריטי פקודה</t>
        </is>
      </c>
      <c r="S433" s="7" t="inlineStr">
        <is>
          <t>Order item</t>
        </is>
      </c>
      <c r="T433" s="7" t="inlineStr">
        <is>
          <t>7. פקודות עבודה (פק"ע)</t>
        </is>
      </c>
      <c r="U433" s="7" t="inlineStr">
        <is>
          <t>I26</t>
        </is>
      </c>
      <c r="V433" s="9">
        <f>HYPERLINK("#'"&amp;T433&amp;"'!"&amp;U433,"➜ פתח")</f>
        <v/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7" t="inlineStr">
        <is>
          <t>Fiori</t>
        </is>
      </c>
      <c r="Q434" s="8" t="inlineStr">
        <is>
          <t>Find Maintenance Order (F2393)</t>
        </is>
      </c>
      <c r="R434" s="7" t="inlineStr">
        <is>
          <t>פריט פקודה</t>
        </is>
      </c>
      <c r="S434" s="7" t="inlineStr">
        <is>
          <t>Order item</t>
        </is>
      </c>
      <c r="T434" s="7" t="inlineStr">
        <is>
          <t>7. פקודות עבודה (פק"ע)</t>
        </is>
      </c>
      <c r="U434" s="7" t="inlineStr">
        <is>
          <t>N26</t>
        </is>
      </c>
      <c r="V434" s="9">
        <f>HYPERLINK("#'"&amp;T434&amp;"'!"&amp;U434,"➜ פתח")</f>
        <v/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7" t="inlineStr">
        <is>
          <t>טבלה</t>
        </is>
      </c>
      <c r="Q435" s="8" t="inlineStr">
        <is>
          <t>AFIH</t>
        </is>
      </c>
      <c r="R435" s="7" t="inlineStr">
        <is>
          <t>כותרת פקודה - נתוני אחזקה (PM)</t>
        </is>
      </c>
      <c r="S435" s="7" t="inlineStr">
        <is>
          <t>Maintenance order header (PM)</t>
        </is>
      </c>
      <c r="T435" s="7" t="inlineStr">
        <is>
          <t>7. פקודות עבודה (פק"ע)</t>
        </is>
      </c>
      <c r="U435" s="7" t="inlineStr">
        <is>
          <t>A31</t>
        </is>
      </c>
      <c r="V435" s="9">
        <f>HYPERLINK("#'"&amp;T435&amp;"'!"&amp;U435,"➜ פתח")</f>
        <v/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7" t="inlineStr">
        <is>
          <t>שדה</t>
        </is>
      </c>
      <c r="Q436" s="8" t="inlineStr">
        <is>
          <t>AUFNR</t>
        </is>
      </c>
      <c r="R436" s="7" t="inlineStr">
        <is>
          <t>מספר פק"ע</t>
        </is>
      </c>
      <c r="S436" s="7" t="inlineStr">
        <is>
          <t>Order number</t>
        </is>
      </c>
      <c r="T436" s="7" t="inlineStr">
        <is>
          <t>7. פקודות עבודה (פק"ע)</t>
        </is>
      </c>
      <c r="U436" s="7" t="inlineStr">
        <is>
          <t>D32</t>
        </is>
      </c>
      <c r="V436" s="9">
        <f>HYPERLINK("#'"&amp;T436&amp;"'!"&amp;U436,"➜ פתח")</f>
        <v/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7" t="inlineStr">
        <is>
          <t>שדה</t>
        </is>
      </c>
      <c r="Q437" s="8" t="inlineStr">
        <is>
          <t>EQUNR</t>
        </is>
      </c>
      <c r="R437" s="7" t="inlineStr">
        <is>
          <t>ציוד מתייחס</t>
        </is>
      </c>
      <c r="S437" s="7" t="inlineStr">
        <is>
          <t>Reference equipment</t>
        </is>
      </c>
      <c r="T437" s="7" t="inlineStr">
        <is>
          <t>7. פקודות עבודה (פק"ע)</t>
        </is>
      </c>
      <c r="U437" s="7" t="inlineStr">
        <is>
          <t>D33</t>
        </is>
      </c>
      <c r="V437" s="9">
        <f>HYPERLINK("#'"&amp;T437&amp;"'!"&amp;U437,"➜ פתח")</f>
        <v/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7" t="inlineStr">
        <is>
          <t>שדה</t>
        </is>
      </c>
      <c r="Q438" s="8" t="inlineStr">
        <is>
          <t>TPLNR</t>
        </is>
      </c>
      <c r="R438" s="7" t="inlineStr">
        <is>
          <t>מיקום מתייחס</t>
        </is>
      </c>
      <c r="S438" s="7" t="inlineStr">
        <is>
          <t>Reference functional location</t>
        </is>
      </c>
      <c r="T438" s="7" t="inlineStr">
        <is>
          <t>7. פקודות עבודה (פק"ע)</t>
        </is>
      </c>
      <c r="U438" s="7" t="inlineStr">
        <is>
          <t>D34</t>
        </is>
      </c>
      <c r="V438" s="9">
        <f>HYPERLINK("#'"&amp;T438&amp;"'!"&amp;U438,"➜ פתח")</f>
        <v/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7" t="inlineStr">
        <is>
          <t>שדה</t>
        </is>
      </c>
      <c r="Q439" s="8" t="inlineStr">
        <is>
          <t>ILART</t>
        </is>
      </c>
      <c r="R439" s="7" t="inlineStr">
        <is>
          <t>סוג פעילות אחזקה</t>
        </is>
      </c>
      <c r="S439" s="7" t="inlineStr">
        <is>
          <t>Maintenance activity type</t>
        </is>
      </c>
      <c r="T439" s="7" t="inlineStr">
        <is>
          <t>7. פקודות עבודה (פק"ע)</t>
        </is>
      </c>
      <c r="U439" s="7" t="inlineStr">
        <is>
          <t>D35</t>
        </is>
      </c>
      <c r="V439" s="9">
        <f>HYPERLINK("#'"&amp;T439&amp;"'!"&amp;U439,"➜ פתח")</f>
        <v/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7" t="inlineStr">
        <is>
          <t>שדה</t>
        </is>
      </c>
      <c r="Q440" s="8" t="inlineStr">
        <is>
          <t>PRIOK</t>
        </is>
      </c>
      <c r="R440" s="7" t="inlineStr">
        <is>
          <t>עדיפות</t>
        </is>
      </c>
      <c r="S440" s="7" t="inlineStr">
        <is>
          <t>Priority</t>
        </is>
      </c>
      <c r="T440" s="7" t="inlineStr">
        <is>
          <t>7. פקודות עבודה (פק"ע)</t>
        </is>
      </c>
      <c r="U440" s="7" t="inlineStr">
        <is>
          <t>D36</t>
        </is>
      </c>
      <c r="V440" s="9">
        <f>HYPERLINK("#'"&amp;T440&amp;"'!"&amp;U440,"➜ פתח")</f>
        <v/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7" t="inlineStr">
        <is>
          <t>שדה</t>
        </is>
      </c>
      <c r="Q441" s="8" t="inlineStr">
        <is>
          <t>GEWRK</t>
        </is>
      </c>
      <c r="R441" s="7" t="inlineStr">
        <is>
          <t>מרכז עבודה ראשי</t>
        </is>
      </c>
      <c r="S441" s="7" t="inlineStr">
        <is>
          <t>Main work center</t>
        </is>
      </c>
      <c r="T441" s="7" t="inlineStr">
        <is>
          <t>7. פקודות עבודה (פק"ע)</t>
        </is>
      </c>
      <c r="U441" s="7" t="inlineStr">
        <is>
          <t>D37</t>
        </is>
      </c>
      <c r="V441" s="9">
        <f>HYPERLINK("#'"&amp;T441&amp;"'!"&amp;U441,"➜ פתח")</f>
        <v/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7" t="inlineStr">
        <is>
          <t>טרנזקציה</t>
        </is>
      </c>
      <c r="Q442" s="8" t="inlineStr">
        <is>
          <t>IW32</t>
        </is>
      </c>
      <c r="R442" s="7" t="inlineStr">
        <is>
          <t>כותרת פקודה - נתוני אחזקה (PM)</t>
        </is>
      </c>
      <c r="S442" s="7" t="inlineStr">
        <is>
          <t>Maintenance order header (PM)</t>
        </is>
      </c>
      <c r="T442" s="7" t="inlineStr">
        <is>
          <t>7. פקודות עבודה (פק"ע)</t>
        </is>
      </c>
      <c r="U442" s="7" t="inlineStr">
        <is>
          <t>A32</t>
        </is>
      </c>
      <c r="V442" s="9">
        <f>HYPERLINK("#'"&amp;T442&amp;"'!"&amp;U442,"➜ פתח")</f>
        <v/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7" t="inlineStr">
        <is>
          <t>טרנזקציה</t>
        </is>
      </c>
      <c r="Q443" s="8" t="inlineStr">
        <is>
          <t>IW33</t>
        </is>
      </c>
      <c r="R443" s="7" t="inlineStr">
        <is>
          <t>כותרת פקודה - נתוני אחזקה (PM)</t>
        </is>
      </c>
      <c r="S443" s="7" t="inlineStr">
        <is>
          <t>Maintenance order header (PM)</t>
        </is>
      </c>
      <c r="T443" s="7" t="inlineStr">
        <is>
          <t>7. פקודות עבודה (פק"ע)</t>
        </is>
      </c>
      <c r="U443" s="7" t="inlineStr">
        <is>
          <t>A32</t>
        </is>
      </c>
      <c r="V443" s="9">
        <f>HYPERLINK("#'"&amp;T443&amp;"'!"&amp;U443,"➜ פתח")</f>
        <v/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7" t="inlineStr">
        <is>
          <t>פונקציה</t>
        </is>
      </c>
      <c r="Q444" s="8" t="inlineStr">
        <is>
          <t>BAPI_ALM_ORDER_GET_DETAIL</t>
        </is>
      </c>
      <c r="R444" s="7" t="inlineStr">
        <is>
          <t>שליפת נתוני אחזקה של הפק"ע</t>
        </is>
      </c>
      <c r="S444" s="7" t="inlineStr">
        <is>
          <t>Maintenance order header (PM)</t>
        </is>
      </c>
      <c r="T444" s="7" t="inlineStr">
        <is>
          <t>7. פקודות עבודה (פק"ע)</t>
        </is>
      </c>
      <c r="U444" s="7" t="inlineStr">
        <is>
          <t>G32</t>
        </is>
      </c>
      <c r="V444" s="9">
        <f>HYPERLINK("#'"&amp;T444&amp;"'!"&amp;U444,"➜ פתח")</f>
        <v/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7" t="inlineStr">
        <is>
          <t>תוכנית</t>
        </is>
      </c>
      <c r="Q445" s="8" t="inlineStr">
        <is>
          <t>RIAUFK20</t>
        </is>
      </c>
      <c r="R445" s="7" t="inlineStr">
        <is>
          <t>רשימת פק"ע אחזקה</t>
        </is>
      </c>
      <c r="S445" s="7" t="inlineStr">
        <is>
          <t>Maintenance order header (PM)</t>
        </is>
      </c>
      <c r="T445" s="7" t="inlineStr">
        <is>
          <t>7. פקודות עבודה (פק"ע)</t>
        </is>
      </c>
      <c r="U445" s="7" t="inlineStr">
        <is>
          <t>I32</t>
        </is>
      </c>
      <c r="V445" s="9">
        <f>HYPERLINK("#'"&amp;T445&amp;"'!"&amp;U445,"➜ פתח")</f>
        <v/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7" t="inlineStr">
        <is>
          <t>Fiori</t>
        </is>
      </c>
      <c r="Q446" s="8" t="inlineStr">
        <is>
          <t>Find Maintenance Order (F2393)</t>
        </is>
      </c>
      <c r="R446" s="7" t="inlineStr">
        <is>
          <t>כותרת פקודה - נתוני אחזקה (PM)</t>
        </is>
      </c>
      <c r="S446" s="7" t="inlineStr">
        <is>
          <t>Maintenance order header (PM)</t>
        </is>
      </c>
      <c r="T446" s="7" t="inlineStr">
        <is>
          <t>7. פקודות עבודה (פק"ע)</t>
        </is>
      </c>
      <c r="U446" s="7" t="inlineStr">
        <is>
          <t>N32</t>
        </is>
      </c>
      <c r="V446" s="9">
        <f>HYPERLINK("#'"&amp;T446&amp;"'!"&amp;U446,"➜ פתח")</f>
        <v/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7" t="inlineStr">
        <is>
          <t>טבלה</t>
        </is>
      </c>
      <c r="Q447" s="8" t="inlineStr">
        <is>
          <t>AFWI</t>
        </is>
      </c>
      <c r="R447" s="7" t="inlineStr">
        <is>
          <t>תנועות מלאי המקושרות לדיווחי ביצוע</t>
        </is>
      </c>
      <c r="S447" s="7" t="inlineStr">
        <is>
          <t>Goods movements for confirmations</t>
        </is>
      </c>
      <c r="T447" s="7" t="inlineStr">
        <is>
          <t>7. פקודות עבודה (פק"ע)</t>
        </is>
      </c>
      <c r="U447" s="7" t="inlineStr">
        <is>
          <t>A39</t>
        </is>
      </c>
      <c r="V447" s="9">
        <f>HYPERLINK("#'"&amp;T447&amp;"'!"&amp;U447,"➜ פתח")</f>
        <v/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7" t="inlineStr">
        <is>
          <t>שדה</t>
        </is>
      </c>
      <c r="Q448" s="8" t="inlineStr">
        <is>
          <t>RUECK</t>
        </is>
      </c>
      <c r="R448" s="7" t="inlineStr">
        <is>
          <t>מספר דיווח ביצוע</t>
        </is>
      </c>
      <c r="S448" s="7" t="inlineStr">
        <is>
          <t>Confirmation counter</t>
        </is>
      </c>
      <c r="T448" s="7" t="inlineStr">
        <is>
          <t>7. פקודות עבודה (פק"ע)</t>
        </is>
      </c>
      <c r="U448" s="7" t="inlineStr">
        <is>
          <t>D40</t>
        </is>
      </c>
      <c r="V448" s="9">
        <f>HYPERLINK("#'"&amp;T448&amp;"'!"&amp;U448,"➜ פתח")</f>
        <v/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7" t="inlineStr">
        <is>
          <t>שדה</t>
        </is>
      </c>
      <c r="Q449" s="8" t="inlineStr">
        <is>
          <t>RMZHL</t>
        </is>
      </c>
      <c r="R449" s="7" t="inlineStr">
        <is>
          <t>מונה דיווח</t>
        </is>
      </c>
      <c r="S449" s="7" t="inlineStr">
        <is>
          <t>Confirmation number</t>
        </is>
      </c>
      <c r="T449" s="7" t="inlineStr">
        <is>
          <t>7. פקודות עבודה (פק"ע)</t>
        </is>
      </c>
      <c r="U449" s="7" t="inlineStr">
        <is>
          <t>D41</t>
        </is>
      </c>
      <c r="V449" s="9">
        <f>HYPERLINK("#'"&amp;T449&amp;"'!"&amp;U449,"➜ פתח")</f>
        <v/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7" t="inlineStr">
        <is>
          <t>שדה</t>
        </is>
      </c>
      <c r="Q450" s="8" t="inlineStr">
        <is>
          <t>MBLNR</t>
        </is>
      </c>
      <c r="R450" s="7" t="inlineStr">
        <is>
          <t>מסמך חומר</t>
        </is>
      </c>
      <c r="S450" s="7" t="inlineStr">
        <is>
          <t>Material document number</t>
        </is>
      </c>
      <c r="T450" s="7" t="inlineStr">
        <is>
          <t>7. פקודות עבודה (פק"ע)</t>
        </is>
      </c>
      <c r="U450" s="7" t="inlineStr">
        <is>
          <t>D42</t>
        </is>
      </c>
      <c r="V450" s="9">
        <f>HYPERLINK("#'"&amp;T450&amp;"'!"&amp;U450,"➜ פתח")</f>
        <v/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7" t="inlineStr">
        <is>
          <t>שדה</t>
        </is>
      </c>
      <c r="Q451" s="8" t="inlineStr">
        <is>
          <t>MATNR</t>
        </is>
      </c>
      <c r="R451" s="7" t="inlineStr">
        <is>
          <t>חומר</t>
        </is>
      </c>
      <c r="S451" s="7" t="inlineStr">
        <is>
          <t>Material</t>
        </is>
      </c>
      <c r="T451" s="7" t="inlineStr">
        <is>
          <t>7. פקודות עבודה (פק"ע)</t>
        </is>
      </c>
      <c r="U451" s="7" t="inlineStr">
        <is>
          <t>D43</t>
        </is>
      </c>
      <c r="V451" s="9">
        <f>HYPERLINK("#'"&amp;T451&amp;"'!"&amp;U451,"➜ פתח")</f>
        <v/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7" t="inlineStr">
        <is>
          <t>טרנזקציה</t>
        </is>
      </c>
      <c r="Q452" s="8" t="inlineStr">
        <is>
          <t>IW41</t>
        </is>
      </c>
      <c r="R452" s="7" t="inlineStr">
        <is>
          <t>תנועות מלאי המקושרות לדיווחי ביצוע</t>
        </is>
      </c>
      <c r="S452" s="7" t="inlineStr">
        <is>
          <t>Goods movements for confirmations</t>
        </is>
      </c>
      <c r="T452" s="7" t="inlineStr">
        <is>
          <t>7. פקודות עבודה (פק"ע)</t>
        </is>
      </c>
      <c r="U452" s="7" t="inlineStr">
        <is>
          <t>A40</t>
        </is>
      </c>
      <c r="V452" s="9">
        <f>HYPERLINK("#'"&amp;T452&amp;"'!"&amp;U452,"➜ פתח")</f>
        <v/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7" t="inlineStr">
        <is>
          <t>טרנזקציה</t>
        </is>
      </c>
      <c r="Q453" s="8" t="inlineStr">
        <is>
          <t>IW42</t>
        </is>
      </c>
      <c r="R453" s="7" t="inlineStr">
        <is>
          <t>תנועות מלאי המקושרות לדיווחי ביצוע</t>
        </is>
      </c>
      <c r="S453" s="7" t="inlineStr">
        <is>
          <t>Goods movements for confirmations</t>
        </is>
      </c>
      <c r="T453" s="7" t="inlineStr">
        <is>
          <t>7. פקודות עבודה (פק"ע)</t>
        </is>
      </c>
      <c r="U453" s="7" t="inlineStr">
        <is>
          <t>A40</t>
        </is>
      </c>
      <c r="V453" s="9">
        <f>HYPERLINK("#'"&amp;T453&amp;"'!"&amp;U453,"➜ פתח")</f>
        <v/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7" t="inlineStr">
        <is>
          <t>פונקציה</t>
        </is>
      </c>
      <c r="Q454" s="8" t="inlineStr">
        <is>
          <t>BAPI_ALM_CONF_CREATE</t>
        </is>
      </c>
      <c r="R454" s="7" t="inlineStr">
        <is>
          <t>יצירת דיווח ביצוע עם תנועות מלאי</t>
        </is>
      </c>
      <c r="S454" s="7" t="inlineStr">
        <is>
          <t>Goods movements for confirmations</t>
        </is>
      </c>
      <c r="T454" s="7" t="inlineStr">
        <is>
          <t>7. פקודות עבודה (פק"ע)</t>
        </is>
      </c>
      <c r="U454" s="7" t="inlineStr">
        <is>
          <t>G40</t>
        </is>
      </c>
      <c r="V454" s="9">
        <f>HYPERLINK("#'"&amp;T454&amp;"'!"&amp;U454,"➜ פתח")</f>
        <v/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7" t="inlineStr">
        <is>
          <t>תוכנית</t>
        </is>
      </c>
      <c r="Q455" s="8" t="inlineStr">
        <is>
          <t>RIAFRU00</t>
        </is>
      </c>
      <c r="R455" s="7" t="inlineStr">
        <is>
          <t>ניתוח דיווחי ביצוע ותנועות נלוות</t>
        </is>
      </c>
      <c r="S455" s="7" t="inlineStr">
        <is>
          <t>Goods movements for confirmations</t>
        </is>
      </c>
      <c r="T455" s="7" t="inlineStr">
        <is>
          <t>7. פקודות עבודה (פק"ע)</t>
        </is>
      </c>
      <c r="U455" s="7" t="inlineStr">
        <is>
          <t>I40</t>
        </is>
      </c>
      <c r="V455" s="9">
        <f>HYPERLINK("#'"&amp;T455&amp;"'!"&amp;U455,"➜ פתח")</f>
        <v/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7" t="inlineStr">
        <is>
          <t>Fiori</t>
        </is>
      </c>
      <c r="Q456" s="8" t="inlineStr">
        <is>
          <t>Confirm Maintenance Order (אמת ID)</t>
        </is>
      </c>
      <c r="R456" s="7" t="inlineStr">
        <is>
          <t>תנועות מלאי המקושרות לדיווחי ביצוע</t>
        </is>
      </c>
      <c r="S456" s="7" t="inlineStr">
        <is>
          <t>Goods movements for confirmations</t>
        </is>
      </c>
      <c r="T456" s="7" t="inlineStr">
        <is>
          <t>7. פקודות עבודה (פק"ע)</t>
        </is>
      </c>
      <c r="U456" s="7" t="inlineStr">
        <is>
          <t>N40</t>
        </is>
      </c>
      <c r="V456" s="9">
        <f>HYPERLINK("#'"&amp;T456&amp;"'!"&amp;U456,"➜ פתח")</f>
        <v/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7" t="inlineStr">
        <is>
          <t>טבלה</t>
        </is>
      </c>
      <c r="Q457" s="8" t="inlineStr">
        <is>
          <t>T003O</t>
        </is>
      </c>
      <c r="R457" s="7" t="inlineStr">
        <is>
          <t>סוגי פקודה (Order Types - Customizing; הוגדר כ-T350)</t>
        </is>
      </c>
      <c r="S457" s="7" t="inlineStr">
        <is>
          <t>Order types (config; correct=T003O, not T350)</t>
        </is>
      </c>
      <c r="T457" s="7" t="inlineStr">
        <is>
          <t>7. פקודות עבודה (פק"ע)</t>
        </is>
      </c>
      <c r="U457" s="7" t="inlineStr">
        <is>
          <t>A45</t>
        </is>
      </c>
      <c r="V457" s="9">
        <f>HYPERLINK("#'"&amp;T457&amp;"'!"&amp;U457,"➜ פתח")</f>
        <v/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7" t="inlineStr">
        <is>
          <t>שדה</t>
        </is>
      </c>
      <c r="Q458" s="8" t="inlineStr">
        <is>
          <t>AUART</t>
        </is>
      </c>
      <c r="R458" s="7" t="inlineStr">
        <is>
          <t>סוג פקודה</t>
        </is>
      </c>
      <c r="S458" s="7" t="inlineStr">
        <is>
          <t>Order type (PM01/PM02/PM03)</t>
        </is>
      </c>
      <c r="T458" s="7" t="inlineStr">
        <is>
          <t>7. פקודות עבודה (פק"ע)</t>
        </is>
      </c>
      <c r="U458" s="7" t="inlineStr">
        <is>
          <t>D46</t>
        </is>
      </c>
      <c r="V458" s="9">
        <f>HYPERLINK("#'"&amp;T458&amp;"'!"&amp;U458,"➜ פתח")</f>
        <v/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7" t="inlineStr">
        <is>
          <t>שדה</t>
        </is>
      </c>
      <c r="Q459" s="8" t="inlineStr">
        <is>
          <t>AUTYP</t>
        </is>
      </c>
      <c r="R459" s="7" t="inlineStr">
        <is>
          <t>קטגוריית פקודה</t>
        </is>
      </c>
      <c r="S459" s="7" t="inlineStr">
        <is>
          <t>Order category (30=PM)</t>
        </is>
      </c>
      <c r="T459" s="7" t="inlineStr">
        <is>
          <t>7. פקודות עבודה (פק"ע)</t>
        </is>
      </c>
      <c r="U459" s="7" t="inlineStr">
        <is>
          <t>D47</t>
        </is>
      </c>
      <c r="V459" s="9">
        <f>HYPERLINK("#'"&amp;T459&amp;"'!"&amp;U459,"➜ פתח")</f>
        <v/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7" t="inlineStr">
        <is>
          <t>שדה</t>
        </is>
      </c>
      <c r="Q460" s="8" t="inlineStr">
        <is>
          <t>STSMA</t>
        </is>
      </c>
      <c r="R460" s="7" t="inlineStr">
        <is>
          <t>פרופיל סטטוס</t>
        </is>
      </c>
      <c r="S460" s="7" t="inlineStr">
        <is>
          <t>Status profile</t>
        </is>
      </c>
      <c r="T460" s="7" t="inlineStr">
        <is>
          <t>7. פקודות עבודה (פק"ע)</t>
        </is>
      </c>
      <c r="U460" s="7" t="inlineStr">
        <is>
          <t>D48</t>
        </is>
      </c>
      <c r="V460" s="9">
        <f>HYPERLINK("#'"&amp;T460&amp;"'!"&amp;U460,"➜ פתח")</f>
        <v/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7" t="inlineStr">
        <is>
          <t>שדה</t>
        </is>
      </c>
      <c r="Q461" s="8" t="inlineStr">
        <is>
          <t>NUMKR</t>
        </is>
      </c>
      <c r="R461" s="7" t="inlineStr">
        <is>
          <t>טווח מספרים</t>
        </is>
      </c>
      <c r="S461" s="7" t="inlineStr">
        <is>
          <t>Number range</t>
        </is>
      </c>
      <c r="T461" s="7" t="inlineStr">
        <is>
          <t>7. פקודות עבודה (פק"ע)</t>
        </is>
      </c>
      <c r="U461" s="7" t="inlineStr">
        <is>
          <t>D49</t>
        </is>
      </c>
      <c r="V461" s="9">
        <f>HYPERLINK("#'"&amp;T461&amp;"'!"&amp;U461,"➜ פתח")</f>
        <v/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7" t="inlineStr">
        <is>
          <t>טרנזקציה</t>
        </is>
      </c>
      <c r="Q462" s="8" t="inlineStr">
        <is>
          <t>SPRO</t>
        </is>
      </c>
      <c r="R462" s="7" t="inlineStr">
        <is>
          <t>סוגי פקודה (Order Types - Customizing; הוגדר כ-T350)</t>
        </is>
      </c>
      <c r="S462" s="7" t="inlineStr">
        <is>
          <t>Order types (config; correct=T003O, not T350)</t>
        </is>
      </c>
      <c r="T462" s="7" t="inlineStr">
        <is>
          <t>7. פקודות עבודה (פק"ע)</t>
        </is>
      </c>
      <c r="U462" s="7" t="inlineStr">
        <is>
          <t>A46</t>
        </is>
      </c>
      <c r="V462" s="9">
        <f>HYPERLINK("#'"&amp;T462&amp;"'!"&amp;U462,"➜ פתח")</f>
        <v/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7" t="inlineStr">
        <is>
          <t>טרנזקציה</t>
        </is>
      </c>
      <c r="Q463" s="8" t="inlineStr">
        <is>
          <t>OIOA</t>
        </is>
      </c>
      <c r="R463" s="7" t="inlineStr">
        <is>
          <t>סוגי פקודה (Order Types - Customizing; הוגדר כ-T350)</t>
        </is>
      </c>
      <c r="S463" s="7" t="inlineStr">
        <is>
          <t>Order types (config; correct=T003O, not T350)</t>
        </is>
      </c>
      <c r="T463" s="7" t="inlineStr">
        <is>
          <t>7. פקודות עבודה (פק"ע)</t>
        </is>
      </c>
      <c r="U463" s="7" t="inlineStr">
        <is>
          <t>A46</t>
        </is>
      </c>
      <c r="V463" s="9">
        <f>HYPERLINK("#'"&amp;T463&amp;"'!"&amp;U463,"➜ פתח")</f>
        <v/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7" t="inlineStr">
        <is>
          <t>טרנזקציה</t>
        </is>
      </c>
      <c r="Q464" s="8" t="inlineStr">
        <is>
          <t>KOT2_OPA</t>
        </is>
      </c>
      <c r="R464" s="7" t="inlineStr">
        <is>
          <t>סוגי פקודה (Order Types - Customizing; הוגדר כ-T350)</t>
        </is>
      </c>
      <c r="S464" s="7" t="inlineStr">
        <is>
          <t>Order types (config; correct=T003O, not T350)</t>
        </is>
      </c>
      <c r="T464" s="7" t="inlineStr">
        <is>
          <t>7. פקודות עבודה (פק"ע)</t>
        </is>
      </c>
      <c r="U464" s="7" t="inlineStr">
        <is>
          <t>A46</t>
        </is>
      </c>
      <c r="V464" s="9">
        <f>HYPERLINK("#'"&amp;T464&amp;"'!"&amp;U464,"➜ פתח")</f>
        <v/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7" t="inlineStr">
        <is>
          <t>פונקציה</t>
        </is>
      </c>
      <c r="Q465" s="8" t="inlineStr">
        <is>
          <t>ORDER_TYPE_READ</t>
        </is>
      </c>
      <c r="R465" s="7" t="inlineStr">
        <is>
          <t>קריאת סוג פקודה והגדרותיו</t>
        </is>
      </c>
      <c r="S465" s="7" t="inlineStr">
        <is>
          <t>Order types (config; correct=T003O, not T350)</t>
        </is>
      </c>
      <c r="T465" s="7" t="inlineStr">
        <is>
          <t>7. פקודות עבודה (פק"ע)</t>
        </is>
      </c>
      <c r="U465" s="7" t="inlineStr">
        <is>
          <t>G46</t>
        </is>
      </c>
      <c r="V465" s="9">
        <f>HYPERLINK("#'"&amp;T465&amp;"'!"&amp;U465,"➜ פתח")</f>
        <v/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7" t="inlineStr">
        <is>
          <t>פונקציה</t>
        </is>
      </c>
      <c r="Q466" s="8" t="inlineStr">
        <is>
          <t>CO_BT_ORDER_TYPE_CHECK</t>
        </is>
      </c>
      <c r="R466" s="7" t="inlineStr">
        <is>
          <t>בדיקת תקינות סוג פקודה</t>
        </is>
      </c>
      <c r="S466" s="7" t="inlineStr">
        <is>
          <t>Order types (config; correct=T003O, not T350)</t>
        </is>
      </c>
      <c r="T466" s="7" t="inlineStr">
        <is>
          <t>7. פקודות עבודה (פק"ע)</t>
        </is>
      </c>
      <c r="U466" s="7" t="inlineStr">
        <is>
          <t>G46</t>
        </is>
      </c>
      <c r="V466" s="9">
        <f>HYPERLINK("#'"&amp;T466&amp;"'!"&amp;U466,"➜ פתח")</f>
        <v/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7" t="inlineStr">
        <is>
          <t>תוכנית</t>
        </is>
      </c>
      <c r="Q467" s="8" t="inlineStr">
        <is>
          <t>RIAUFK20</t>
        </is>
      </c>
      <c r="R467" s="7" t="inlineStr">
        <is>
          <t>ניתוח פק"ע לפי סוג</t>
        </is>
      </c>
      <c r="S467" s="7" t="inlineStr">
        <is>
          <t>Order types (config; correct=T003O, not T350)</t>
        </is>
      </c>
      <c r="T467" s="7" t="inlineStr">
        <is>
          <t>7. פקודות עבודה (פק"ע)</t>
        </is>
      </c>
      <c r="U467" s="7" t="inlineStr">
        <is>
          <t>I46</t>
        </is>
      </c>
      <c r="V467" s="9">
        <f>HYPERLINK("#'"&amp;T467&amp;"'!"&amp;U467,"➜ פתח")</f>
        <v/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7" t="inlineStr">
        <is>
          <t>Fiori</t>
        </is>
      </c>
      <c r="Q468" s="8" t="inlineStr">
        <is>
          <t>אין Fiori ייעודי (Customizing)</t>
        </is>
      </c>
      <c r="R468" s="7" t="inlineStr">
        <is>
          <t>סוגי פקודה (Order Types - Customizing; הוגדר כ-T350)</t>
        </is>
      </c>
      <c r="S468" s="7" t="inlineStr">
        <is>
          <t>Order types (config; correct=T003O, not T350)</t>
        </is>
      </c>
      <c r="T468" s="7" t="inlineStr">
        <is>
          <t>7. פקודות עבודה (פק"ע)</t>
        </is>
      </c>
      <c r="U468" s="7" t="inlineStr">
        <is>
          <t>N46</t>
        </is>
      </c>
      <c r="V468" s="9">
        <f>HYPERLINK("#'"&amp;T468&amp;"'!"&amp;U468,"➜ פתח")</f>
        <v/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7" t="inlineStr">
        <is>
          <t>User Exit</t>
        </is>
      </c>
      <c r="Q469" s="8" t="inlineStr">
        <is>
          <t>IWO10009</t>
        </is>
      </c>
      <c r="R469" s="7" t="inlineStr">
        <is>
          <t>הרחבת לקוח לפק"ע - בדיקות והשלמת שדות בכותרת</t>
        </is>
      </c>
      <c r="S469" s="7" t="inlineStr"/>
      <c r="T469" s="7" t="inlineStr">
        <is>
          <t>7. פקודות עבודה (פק"ע)</t>
        </is>
      </c>
      <c r="U469" s="7" t="inlineStr">
        <is>
          <t>A54</t>
        </is>
      </c>
      <c r="V469" s="9">
        <f>HYPERLINK("#'"&amp;T469&amp;"'!"&amp;U469,"➜ פתח")</f>
        <v/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7" t="inlineStr">
        <is>
          <t>User Exit</t>
        </is>
      </c>
      <c r="Q470" s="8" t="inlineStr">
        <is>
          <t>IWO10002</t>
        </is>
      </c>
      <c r="R470" s="7" t="inlineStr">
        <is>
          <t>בדיקות בעת שמירת פקודת עבודה</t>
        </is>
      </c>
      <c r="S470" s="7" t="inlineStr"/>
      <c r="T470" s="7" t="inlineStr">
        <is>
          <t>7. פקודות עבודה (פק"ע)</t>
        </is>
      </c>
      <c r="U470" s="7" t="inlineStr">
        <is>
          <t>A55</t>
        </is>
      </c>
      <c r="V470" s="9">
        <f>HYPERLINK("#'"&amp;T470&amp;"'!"&amp;U470,"➜ פתח")</f>
        <v/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7" t="inlineStr">
        <is>
          <t>User Exit</t>
        </is>
      </c>
      <c r="Q471" s="8" t="inlineStr">
        <is>
          <t>IWO10012</t>
        </is>
      </c>
      <c r="R471" s="7" t="inlineStr">
        <is>
          <t>בדיקת אישורי עבודה (Permits) בפק"ע</t>
        </is>
      </c>
      <c r="S471" s="7" t="inlineStr"/>
      <c r="T471" s="7" t="inlineStr">
        <is>
          <t>7. פקודות עבודה (פק"ע)</t>
        </is>
      </c>
      <c r="U471" s="7" t="inlineStr">
        <is>
          <t>A56</t>
        </is>
      </c>
      <c r="V471" s="9">
        <f>HYPERLINK("#'"&amp;T471&amp;"'!"&amp;U471,"➜ פתח")</f>
        <v/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7" t="inlineStr">
        <is>
          <t>User Exit</t>
        </is>
      </c>
      <c r="Q472" s="8" t="inlineStr">
        <is>
          <t>IWO10018</t>
        </is>
      </c>
      <c r="R472" s="7" t="inlineStr">
        <is>
          <t>בדיקת/הרחבת רכיבים בפק"ע</t>
        </is>
      </c>
      <c r="S472" s="7" t="inlineStr"/>
      <c r="T472" s="7" t="inlineStr">
        <is>
          <t>7. פקודות עבודה (פק"ע)</t>
        </is>
      </c>
      <c r="U472" s="7" t="inlineStr">
        <is>
          <t>A57</t>
        </is>
      </c>
      <c r="V472" s="9">
        <f>HYPERLINK("#'"&amp;T472&amp;"'!"&amp;U472,"➜ פתח")</f>
        <v/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7" t="inlineStr">
        <is>
          <t>User Exit</t>
        </is>
      </c>
      <c r="Q473" s="8" t="inlineStr">
        <is>
          <t>IWO10024</t>
        </is>
      </c>
      <c r="R473" s="7" t="inlineStr">
        <is>
          <t>הרחבת פעולות (Operations) בפק"ע</t>
        </is>
      </c>
      <c r="S473" s="7" t="inlineStr"/>
      <c r="T473" s="7" t="inlineStr">
        <is>
          <t>7. פקודות עבודה (פק"ע)</t>
        </is>
      </c>
      <c r="U473" s="7" t="inlineStr">
        <is>
          <t>A58</t>
        </is>
      </c>
      <c r="V473" s="9">
        <f>HYPERLINK("#'"&amp;T473&amp;"'!"&amp;U473,"➜ פתח")</f>
        <v/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7" t="inlineStr">
        <is>
          <t>BAdI</t>
        </is>
      </c>
      <c r="Q474" s="8" t="inlineStr">
        <is>
          <t>WORKORDER_UPDATE</t>
        </is>
      </c>
      <c r="R474" s="7" t="inlineStr">
        <is>
          <t>BAdI לעדכון/בדיקת פקודת עבודה (לפני שמירה)</t>
        </is>
      </c>
      <c r="S474" s="7" t="inlineStr"/>
      <c r="T474" s="7" t="inlineStr">
        <is>
          <t>7. פקודות עבודה (פק"ע)</t>
        </is>
      </c>
      <c r="U474" s="7" t="inlineStr">
        <is>
          <t>A59</t>
        </is>
      </c>
      <c r="V474" s="9">
        <f>HYPERLINK("#'"&amp;T474&amp;"'!"&amp;U474,"➜ פתח")</f>
        <v/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7" t="inlineStr">
        <is>
          <t>BAdI</t>
        </is>
      </c>
      <c r="Q475" s="8" t="inlineStr">
        <is>
          <t>WORKORDER_GOODSMVT</t>
        </is>
      </c>
      <c r="R475" s="7" t="inlineStr">
        <is>
          <t>BAdI לתנועות מלאי בפק"ע</t>
        </is>
      </c>
      <c r="S475" s="7" t="inlineStr"/>
      <c r="T475" s="7" t="inlineStr">
        <is>
          <t>7. פקודות עבודה (פק"ע)</t>
        </is>
      </c>
      <c r="U475" s="7" t="inlineStr">
        <is>
          <t>A60</t>
        </is>
      </c>
      <c r="V475" s="9">
        <f>HYPERLINK("#'"&amp;T475&amp;"'!"&amp;U475,"➜ פתח")</f>
        <v/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7" t="inlineStr">
        <is>
          <t>BAdI</t>
        </is>
      </c>
      <c r="Q476" s="8" t="inlineStr">
        <is>
          <t>WORKORDER_INFOSYSTEM</t>
        </is>
      </c>
      <c r="R476" s="7" t="inlineStr">
        <is>
          <t>BAdI לרשימות/דוחות פק"ע (IW38/39)</t>
        </is>
      </c>
      <c r="S476" s="7" t="inlineStr"/>
      <c r="T476" s="7" t="inlineStr">
        <is>
          <t>7. פקודות עבודה (פק"ע)</t>
        </is>
      </c>
      <c r="U476" s="7" t="inlineStr">
        <is>
          <t>A61</t>
        </is>
      </c>
      <c r="V476" s="9">
        <f>HYPERLINK("#'"&amp;T476&amp;"'!"&amp;U476,"➜ פתח")</f>
        <v/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7" t="inlineStr">
        <is>
          <t>טבלה</t>
        </is>
      </c>
      <c r="Q477" s="8" t="inlineStr">
        <is>
          <t>JEST</t>
        </is>
      </c>
      <c r="R477" s="7" t="inlineStr">
        <is>
          <t>סטטוס אובייקט (פעיל/לא פעיל)</t>
        </is>
      </c>
      <c r="S477" s="7" t="inlineStr">
        <is>
          <t>Individual object status</t>
        </is>
      </c>
      <c r="T477" s="7" t="inlineStr">
        <is>
          <t>8. ניהול סטטוסים (Status Mgmt)</t>
        </is>
      </c>
      <c r="U477" s="7" t="inlineStr">
        <is>
          <t>A3</t>
        </is>
      </c>
      <c r="V477" s="9">
        <f>HYPERLINK("#'"&amp;T477&amp;"'!"&amp;U477,"➜ פתח")</f>
        <v/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7" t="inlineStr">
        <is>
          <t>שדה</t>
        </is>
      </c>
      <c r="Q478" s="8" t="inlineStr">
        <is>
          <t>OBJNR</t>
        </is>
      </c>
      <c r="R478" s="7" t="inlineStr">
        <is>
          <t>מפתח אובייקט</t>
        </is>
      </c>
      <c r="S478" s="7" t="inlineStr">
        <is>
          <t>Object number</t>
        </is>
      </c>
      <c r="T478" s="7" t="inlineStr">
        <is>
          <t>8. ניהול סטטוסים (Status Mgmt)</t>
        </is>
      </c>
      <c r="U478" s="7" t="inlineStr">
        <is>
          <t>D4</t>
        </is>
      </c>
      <c r="V478" s="9">
        <f>HYPERLINK("#'"&amp;T478&amp;"'!"&amp;U478,"➜ פתח")</f>
        <v/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7" t="inlineStr">
        <is>
          <t>שדה</t>
        </is>
      </c>
      <c r="Q479" s="8" t="inlineStr">
        <is>
          <t>STAT</t>
        </is>
      </c>
      <c r="R479" s="7" t="inlineStr">
        <is>
          <t>קוד סטטוס</t>
        </is>
      </c>
      <c r="S479" s="7" t="inlineStr">
        <is>
          <t>Status code</t>
        </is>
      </c>
      <c r="T479" s="7" t="inlineStr">
        <is>
          <t>8. ניהול סטטוסים (Status Mgmt)</t>
        </is>
      </c>
      <c r="U479" s="7" t="inlineStr">
        <is>
          <t>D5</t>
        </is>
      </c>
      <c r="V479" s="9">
        <f>HYPERLINK("#'"&amp;T479&amp;"'!"&amp;U479,"➜ פתח")</f>
        <v/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7" t="inlineStr">
        <is>
          <t>שדה</t>
        </is>
      </c>
      <c r="Q480" s="8" t="inlineStr">
        <is>
          <t>INACT</t>
        </is>
      </c>
      <c r="R480" s="7" t="inlineStr">
        <is>
          <t>מחוון לא-פעיל</t>
        </is>
      </c>
      <c r="S480" s="7" t="inlineStr">
        <is>
          <t>Inactive indicator</t>
        </is>
      </c>
      <c r="T480" s="7" t="inlineStr">
        <is>
          <t>8. ניהול סטטוסים (Status Mgmt)</t>
        </is>
      </c>
      <c r="U480" s="7" t="inlineStr">
        <is>
          <t>D6</t>
        </is>
      </c>
      <c r="V480" s="9">
        <f>HYPERLINK("#'"&amp;T480&amp;"'!"&amp;U480,"➜ פתח")</f>
        <v/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7" t="inlineStr">
        <is>
          <t>שדה</t>
        </is>
      </c>
      <c r="Q481" s="8" t="inlineStr">
        <is>
          <t>CHGNR</t>
        </is>
      </c>
      <c r="R481" s="7" t="inlineStr">
        <is>
          <t>מספר שינוי</t>
        </is>
      </c>
      <c r="S481" s="7" t="inlineStr">
        <is>
          <t>Change number</t>
        </is>
      </c>
      <c r="T481" s="7" t="inlineStr">
        <is>
          <t>8. ניהול סטטוסים (Status Mgmt)</t>
        </is>
      </c>
      <c r="U481" s="7" t="inlineStr">
        <is>
          <t>D7</t>
        </is>
      </c>
      <c r="V481" s="9">
        <f>HYPERLINK("#'"&amp;T481&amp;"'!"&amp;U481,"➜ פתח")</f>
        <v/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7" t="inlineStr">
        <is>
          <t>טרנזקציה</t>
        </is>
      </c>
      <c r="Q482" s="8" t="inlineStr">
        <is>
          <t>BS22</t>
        </is>
      </c>
      <c r="R482" s="7" t="inlineStr">
        <is>
          <t>סטטוס אובייקט (פעיל/לא פעיל)</t>
        </is>
      </c>
      <c r="S482" s="7" t="inlineStr">
        <is>
          <t>Individual object status</t>
        </is>
      </c>
      <c r="T482" s="7" t="inlineStr">
        <is>
          <t>8. ניהול סטטוסים (Status Mgmt)</t>
        </is>
      </c>
      <c r="U482" s="7" t="inlineStr">
        <is>
          <t>A4</t>
        </is>
      </c>
      <c r="V482" s="9">
        <f>HYPERLINK("#'"&amp;T482&amp;"'!"&amp;U482,"➜ פתח")</f>
        <v/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7" t="inlineStr">
        <is>
          <t>טרנזקציה</t>
        </is>
      </c>
      <c r="Q483" s="8" t="inlineStr">
        <is>
          <t>BS23</t>
        </is>
      </c>
      <c r="R483" s="7" t="inlineStr">
        <is>
          <t>סטטוס אובייקט (פעיל/לא פעיל)</t>
        </is>
      </c>
      <c r="S483" s="7" t="inlineStr">
        <is>
          <t>Individual object status</t>
        </is>
      </c>
      <c r="T483" s="7" t="inlineStr">
        <is>
          <t>8. ניהול סטטוסים (Status Mgmt)</t>
        </is>
      </c>
      <c r="U483" s="7" t="inlineStr">
        <is>
          <t>A4</t>
        </is>
      </c>
      <c r="V483" s="9">
        <f>HYPERLINK("#'"&amp;T483&amp;"'!"&amp;U483,"➜ פתח")</f>
        <v/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7" t="inlineStr">
        <is>
          <t>טרנזקציה</t>
        </is>
      </c>
      <c r="Q484" s="8" t="inlineStr">
        <is>
          <t>IW33</t>
        </is>
      </c>
      <c r="R484" s="7" t="inlineStr">
        <is>
          <t>סטטוס אובייקט (פעיל/לא פעיל)</t>
        </is>
      </c>
      <c r="S484" s="7" t="inlineStr">
        <is>
          <t>Individual object status</t>
        </is>
      </c>
      <c r="T484" s="7" t="inlineStr">
        <is>
          <t>8. ניהול סטטוסים (Status Mgmt)</t>
        </is>
      </c>
      <c r="U484" s="7" t="inlineStr">
        <is>
          <t>A4</t>
        </is>
      </c>
      <c r="V484" s="9">
        <f>HYPERLINK("#'"&amp;T484&amp;"'!"&amp;U484,"➜ פתח")</f>
        <v/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7" t="inlineStr">
        <is>
          <t>טרנזקציה</t>
        </is>
      </c>
      <c r="Q485" s="8" t="inlineStr">
        <is>
          <t>IE03</t>
        </is>
      </c>
      <c r="R485" s="7" t="inlineStr">
        <is>
          <t>סטטוס אובייקט (פעיל/לא פעיל)</t>
        </is>
      </c>
      <c r="S485" s="7" t="inlineStr">
        <is>
          <t>Individual object status</t>
        </is>
      </c>
      <c r="T485" s="7" t="inlineStr">
        <is>
          <t>8. ניהול סטטוסים (Status Mgmt)</t>
        </is>
      </c>
      <c r="U485" s="7" t="inlineStr">
        <is>
          <t>A4</t>
        </is>
      </c>
      <c r="V485" s="9">
        <f>HYPERLINK("#'"&amp;T485&amp;"'!"&amp;U485,"➜ פתח")</f>
        <v/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7" t="inlineStr">
        <is>
          <t>פונקציה</t>
        </is>
      </c>
      <c r="Q486" s="8" t="inlineStr">
        <is>
          <t>STATUS_READ</t>
        </is>
      </c>
      <c r="R486" s="7" t="inlineStr">
        <is>
          <t>קריאת סטטוסי אובייקט</t>
        </is>
      </c>
      <c r="S486" s="7" t="inlineStr">
        <is>
          <t>Individual object status</t>
        </is>
      </c>
      <c r="T486" s="7" t="inlineStr">
        <is>
          <t>8. ניהול סטטוסים (Status Mgmt)</t>
        </is>
      </c>
      <c r="U486" s="7" t="inlineStr">
        <is>
          <t>G4</t>
        </is>
      </c>
      <c r="V486" s="9">
        <f>HYPERLINK("#'"&amp;T486&amp;"'!"&amp;U486,"➜ פתח")</f>
        <v/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7" t="inlineStr">
        <is>
          <t>פונקציה</t>
        </is>
      </c>
      <c r="Q487" s="8" t="inlineStr">
        <is>
          <t>STATUS_CHANGE_INTERN</t>
        </is>
      </c>
      <c r="R487" s="7" t="inlineStr">
        <is>
          <t>שינוי סטטוס מערכת פנימי</t>
        </is>
      </c>
      <c r="S487" s="7" t="inlineStr">
        <is>
          <t>Individual object status</t>
        </is>
      </c>
      <c r="T487" s="7" t="inlineStr">
        <is>
          <t>8. ניהול סטטוסים (Status Mgmt)</t>
        </is>
      </c>
      <c r="U487" s="7" t="inlineStr">
        <is>
          <t>G4</t>
        </is>
      </c>
      <c r="V487" s="9">
        <f>HYPERLINK("#'"&amp;T487&amp;"'!"&amp;U487,"➜ פתח")</f>
        <v/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7" t="inlineStr">
        <is>
          <t>פונקציה</t>
        </is>
      </c>
      <c r="Q488" s="8" t="inlineStr">
        <is>
          <t>STATUS_CHANGE_EXTERN</t>
        </is>
      </c>
      <c r="R488" s="7" t="inlineStr">
        <is>
          <t>שינוי סטטוס משתמש</t>
        </is>
      </c>
      <c r="S488" s="7" t="inlineStr">
        <is>
          <t>Individual object status</t>
        </is>
      </c>
      <c r="T488" s="7" t="inlineStr">
        <is>
          <t>8. ניהול סטטוסים (Status Mgmt)</t>
        </is>
      </c>
      <c r="U488" s="7" t="inlineStr">
        <is>
          <t>G4</t>
        </is>
      </c>
      <c r="V488" s="9">
        <f>HYPERLINK("#'"&amp;T488&amp;"'!"&amp;U488,"➜ פתח")</f>
        <v/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7" t="inlineStr">
        <is>
          <t>תוכנית</t>
        </is>
      </c>
      <c r="Q489" s="8" t="inlineStr">
        <is>
          <t>RISTAT00</t>
        </is>
      </c>
      <c r="R489" s="7" t="inlineStr">
        <is>
          <t>ניתוח סטטוסים פעילים לאובייקטים</t>
        </is>
      </c>
      <c r="S489" s="7" t="inlineStr">
        <is>
          <t>Individual object status</t>
        </is>
      </c>
      <c r="T489" s="7" t="inlineStr">
        <is>
          <t>8. ניהול סטטוסים (Status Mgmt)</t>
        </is>
      </c>
      <c r="U489" s="7" t="inlineStr">
        <is>
          <t>I4</t>
        </is>
      </c>
      <c r="V489" s="9">
        <f>HYPERLINK("#'"&amp;T489&amp;"'!"&amp;U489,"➜ פתח")</f>
        <v/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7" t="inlineStr">
        <is>
          <t>Fiori</t>
        </is>
      </c>
      <c r="Q490" s="8" t="inlineStr">
        <is>
          <t>מוטמע באפליקציות PM (אין ייעודי)</t>
        </is>
      </c>
      <c r="R490" s="7" t="inlineStr">
        <is>
          <t>סטטוס אובייקט (פעיל/לא פעיל)</t>
        </is>
      </c>
      <c r="S490" s="7" t="inlineStr">
        <is>
          <t>Individual object status</t>
        </is>
      </c>
      <c r="T490" s="7" t="inlineStr">
        <is>
          <t>8. ניהול סטטוסים (Status Mgmt)</t>
        </is>
      </c>
      <c r="U490" s="7" t="inlineStr">
        <is>
          <t>N4</t>
        </is>
      </c>
      <c r="V490" s="9">
        <f>HYPERLINK("#'"&amp;T490&amp;"'!"&amp;U490,"➜ פתח")</f>
        <v/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7" t="inlineStr">
        <is>
          <t>טבלה</t>
        </is>
      </c>
      <c r="Q491" s="8" t="inlineStr">
        <is>
          <t>JSTO</t>
        </is>
      </c>
      <c r="R491" s="7" t="inlineStr">
        <is>
          <t>כותרת אובייקט סטטוס + פרופיל</t>
        </is>
      </c>
      <c r="S491" s="7" t="inlineStr">
        <is>
          <t>Status object header + profile</t>
        </is>
      </c>
      <c r="T491" s="7" t="inlineStr">
        <is>
          <t>8. ניהול סטטוסים (Status Mgmt)</t>
        </is>
      </c>
      <c r="U491" s="7" t="inlineStr">
        <is>
          <t>A9</t>
        </is>
      </c>
      <c r="V491" s="9">
        <f>HYPERLINK("#'"&amp;T491&amp;"'!"&amp;U491,"➜ פתח")</f>
        <v/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7" t="inlineStr">
        <is>
          <t>שדה</t>
        </is>
      </c>
      <c r="Q492" s="8" t="inlineStr">
        <is>
          <t>OBJNR</t>
        </is>
      </c>
      <c r="R492" s="7" t="inlineStr">
        <is>
          <t>מפתח אובייקט</t>
        </is>
      </c>
      <c r="S492" s="7" t="inlineStr">
        <is>
          <t>Object number</t>
        </is>
      </c>
      <c r="T492" s="7" t="inlineStr">
        <is>
          <t>8. ניהול סטטוסים (Status Mgmt)</t>
        </is>
      </c>
      <c r="U492" s="7" t="inlineStr">
        <is>
          <t>D10</t>
        </is>
      </c>
      <c r="V492" s="9">
        <f>HYPERLINK("#'"&amp;T492&amp;"'!"&amp;U492,"➜ פתח")</f>
        <v/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7" t="inlineStr">
        <is>
          <t>שדה</t>
        </is>
      </c>
      <c r="Q493" s="8" t="inlineStr">
        <is>
          <t>STSMA</t>
        </is>
      </c>
      <c r="R493" s="7" t="inlineStr">
        <is>
          <t>פרופיל סטטוס</t>
        </is>
      </c>
      <c r="S493" s="7" t="inlineStr">
        <is>
          <t>Status profile</t>
        </is>
      </c>
      <c r="T493" s="7" t="inlineStr">
        <is>
          <t>8. ניהול סטטוסים (Status Mgmt)</t>
        </is>
      </c>
      <c r="U493" s="7" t="inlineStr">
        <is>
          <t>D11</t>
        </is>
      </c>
      <c r="V493" s="9">
        <f>HYPERLINK("#'"&amp;T493&amp;"'!"&amp;U493,"➜ פתח")</f>
        <v/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7" t="inlineStr">
        <is>
          <t>שדה</t>
        </is>
      </c>
      <c r="Q494" s="8" t="inlineStr">
        <is>
          <t>OBTYP</t>
        </is>
      </c>
      <c r="R494" s="7" t="inlineStr">
        <is>
          <t>סוג אובייקט</t>
        </is>
      </c>
      <c r="S494" s="7" t="inlineStr">
        <is>
          <t>Object type</t>
        </is>
      </c>
      <c r="T494" s="7" t="inlineStr">
        <is>
          <t>8. ניהול סטטוסים (Status Mgmt)</t>
        </is>
      </c>
      <c r="U494" s="7" t="inlineStr">
        <is>
          <t>D12</t>
        </is>
      </c>
      <c r="V494" s="9">
        <f>HYPERLINK("#'"&amp;T494&amp;"'!"&amp;U494,"➜ פתח")</f>
        <v/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7" t="inlineStr">
        <is>
          <t>שדה</t>
        </is>
      </c>
      <c r="Q495" s="8" t="inlineStr">
        <is>
          <t>CHGKZ</t>
        </is>
      </c>
      <c r="R495" s="7" t="inlineStr">
        <is>
          <t>מחוון שינוי</t>
        </is>
      </c>
      <c r="S495" s="7" t="inlineStr">
        <is>
          <t>Change flag</t>
        </is>
      </c>
      <c r="T495" s="7" t="inlineStr">
        <is>
          <t>8. ניהול סטטוסים (Status Mgmt)</t>
        </is>
      </c>
      <c r="U495" s="7" t="inlineStr">
        <is>
          <t>D13</t>
        </is>
      </c>
      <c r="V495" s="9">
        <f>HYPERLINK("#'"&amp;T495&amp;"'!"&amp;U495,"➜ פתח")</f>
        <v/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7" t="inlineStr">
        <is>
          <t>טרנזקציה</t>
        </is>
      </c>
      <c r="Q496" s="8" t="inlineStr">
        <is>
          <t>BS02</t>
        </is>
      </c>
      <c r="R496" s="7" t="inlineStr">
        <is>
          <t>כותרת אובייקט סטטוס + פרופיל</t>
        </is>
      </c>
      <c r="S496" s="7" t="inlineStr">
        <is>
          <t>Status object header + profile</t>
        </is>
      </c>
      <c r="T496" s="7" t="inlineStr">
        <is>
          <t>8. ניהול סטטוסים (Status Mgmt)</t>
        </is>
      </c>
      <c r="U496" s="7" t="inlineStr">
        <is>
          <t>A10</t>
        </is>
      </c>
      <c r="V496" s="9">
        <f>HYPERLINK("#'"&amp;T496&amp;"'!"&amp;U496,"➜ פתח")</f>
        <v/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7" t="inlineStr">
        <is>
          <t>טרנזקציה</t>
        </is>
      </c>
      <c r="Q497" s="8" t="inlineStr">
        <is>
          <t>BS03</t>
        </is>
      </c>
      <c r="R497" s="7" t="inlineStr">
        <is>
          <t>כותרת אובייקט סטטוס + פרופיל</t>
        </is>
      </c>
      <c r="S497" s="7" t="inlineStr">
        <is>
          <t>Status object header + profile</t>
        </is>
      </c>
      <c r="T497" s="7" t="inlineStr">
        <is>
          <t>8. ניהול סטטוסים (Status Mgmt)</t>
        </is>
      </c>
      <c r="U497" s="7" t="inlineStr">
        <is>
          <t>A10</t>
        </is>
      </c>
      <c r="V497" s="9">
        <f>HYPERLINK("#'"&amp;T497&amp;"'!"&amp;U497,"➜ פתח")</f>
        <v/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7" t="inlineStr">
        <is>
          <t>טרנזקציה</t>
        </is>
      </c>
      <c r="Q498" s="8" t="inlineStr">
        <is>
          <t>OIBS</t>
        </is>
      </c>
      <c r="R498" s="7" t="inlineStr">
        <is>
          <t>כותרת אובייקט סטטוס + פרופיל</t>
        </is>
      </c>
      <c r="S498" s="7" t="inlineStr">
        <is>
          <t>Status object header + profile</t>
        </is>
      </c>
      <c r="T498" s="7" t="inlineStr">
        <is>
          <t>8. ניהול סטטוסים (Status Mgmt)</t>
        </is>
      </c>
      <c r="U498" s="7" t="inlineStr">
        <is>
          <t>A10</t>
        </is>
      </c>
      <c r="V498" s="9">
        <f>HYPERLINK("#'"&amp;T498&amp;"'!"&amp;U498,"➜ פתח")</f>
        <v/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7" t="inlineStr">
        <is>
          <t>פונקציה</t>
        </is>
      </c>
      <c r="Q499" s="8" t="inlineStr">
        <is>
          <t>STATUS_OBJECT_CREATE</t>
        </is>
      </c>
      <c r="R499" s="7" t="inlineStr">
        <is>
          <t>יצירת אובייקט סטטוס</t>
        </is>
      </c>
      <c r="S499" s="7" t="inlineStr">
        <is>
          <t>Status object header + profile</t>
        </is>
      </c>
      <c r="T499" s="7" t="inlineStr">
        <is>
          <t>8. ניהול סטטוסים (Status Mgmt)</t>
        </is>
      </c>
      <c r="U499" s="7" t="inlineStr">
        <is>
          <t>G10</t>
        </is>
      </c>
      <c r="V499" s="9">
        <f>HYPERLINK("#'"&amp;T499&amp;"'!"&amp;U499,"➜ פתח")</f>
        <v/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7" t="inlineStr">
        <is>
          <t>פונקציה</t>
        </is>
      </c>
      <c r="Q500" s="8" t="inlineStr">
        <is>
          <t>STATUS_PROFILE_READ</t>
        </is>
      </c>
      <c r="R500" s="7" t="inlineStr">
        <is>
          <t>קריאת פרופיל סטטוס</t>
        </is>
      </c>
      <c r="S500" s="7" t="inlineStr">
        <is>
          <t>Status object header + profile</t>
        </is>
      </c>
      <c r="T500" s="7" t="inlineStr">
        <is>
          <t>8. ניהול סטטוסים (Status Mgmt)</t>
        </is>
      </c>
      <c r="U500" s="7" t="inlineStr">
        <is>
          <t>G10</t>
        </is>
      </c>
      <c r="V500" s="9">
        <f>HYPERLINK("#'"&amp;T500&amp;"'!"&amp;U500,"➜ פתח")</f>
        <v/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7" t="inlineStr">
        <is>
          <t>תוכנית</t>
        </is>
      </c>
      <c r="Q501" s="8" t="inlineStr">
        <is>
          <t>RIBS0200</t>
        </is>
      </c>
      <c r="R501" s="7" t="inlineStr">
        <is>
          <t>סקירת פרופילי סטטוס וחסימות</t>
        </is>
      </c>
      <c r="S501" s="7" t="inlineStr">
        <is>
          <t>Status object header + profile</t>
        </is>
      </c>
      <c r="T501" s="7" t="inlineStr">
        <is>
          <t>8. ניהול סטטוסים (Status Mgmt)</t>
        </is>
      </c>
      <c r="U501" s="7" t="inlineStr">
        <is>
          <t>I10</t>
        </is>
      </c>
      <c r="V501" s="9">
        <f>HYPERLINK("#'"&amp;T501&amp;"'!"&amp;U501,"➜ פתח")</f>
        <v/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7" t="inlineStr">
        <is>
          <t>Fiori</t>
        </is>
      </c>
      <c r="Q502" s="8" t="inlineStr">
        <is>
          <t>מוטמע באפליקציות PM (אין ייעודי)</t>
        </is>
      </c>
      <c r="R502" s="7" t="inlineStr">
        <is>
          <t>כותרת אובייקט סטטוס + פרופיל</t>
        </is>
      </c>
      <c r="S502" s="7" t="inlineStr">
        <is>
          <t>Status object header + profile</t>
        </is>
      </c>
      <c r="T502" s="7" t="inlineStr">
        <is>
          <t>8. ניהול סטטוסים (Status Mgmt)</t>
        </is>
      </c>
      <c r="U502" s="7" t="inlineStr">
        <is>
          <t>N10</t>
        </is>
      </c>
      <c r="V502" s="9">
        <f>HYPERLINK("#'"&amp;T502&amp;"'!"&amp;U502,"➜ פתח")</f>
        <v/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7" t="inlineStr">
        <is>
          <t>טבלה</t>
        </is>
      </c>
      <c r="Q503" s="8" t="inlineStr">
        <is>
          <t>TJ02T</t>
        </is>
      </c>
      <c r="R503" s="7" t="inlineStr">
        <is>
          <t>טקסטים של סטטוסי מערכת</t>
        </is>
      </c>
      <c r="S503" s="7" t="inlineStr">
        <is>
          <t>System status texts</t>
        </is>
      </c>
      <c r="T503" s="7" t="inlineStr">
        <is>
          <t>8. ניהול סטטוסים (Status Mgmt)</t>
        </is>
      </c>
      <c r="U503" s="7" t="inlineStr">
        <is>
          <t>A15</t>
        </is>
      </c>
      <c r="V503" s="9">
        <f>HYPERLINK("#'"&amp;T503&amp;"'!"&amp;U503,"➜ פתח")</f>
        <v/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7" t="inlineStr">
        <is>
          <t>שדה</t>
        </is>
      </c>
      <c r="Q504" s="8" t="inlineStr">
        <is>
          <t>ISTAT</t>
        </is>
      </c>
      <c r="R504" s="7" t="inlineStr">
        <is>
          <t>סטטוס מערכת פנימי</t>
        </is>
      </c>
      <c r="S504" s="7" t="inlineStr">
        <is>
          <t>Internal system status</t>
        </is>
      </c>
      <c r="T504" s="7" t="inlineStr">
        <is>
          <t>8. ניהול סטטוסים (Status Mgmt)</t>
        </is>
      </c>
      <c r="U504" s="7" t="inlineStr">
        <is>
          <t>D16</t>
        </is>
      </c>
      <c r="V504" s="9">
        <f>HYPERLINK("#'"&amp;T504&amp;"'!"&amp;U504,"➜ פתח")</f>
        <v/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7" t="inlineStr">
        <is>
          <t>שדה</t>
        </is>
      </c>
      <c r="Q505" s="8" t="inlineStr">
        <is>
          <t>SPRAS</t>
        </is>
      </c>
      <c r="R505" s="7" t="inlineStr">
        <is>
          <t>שפה</t>
        </is>
      </c>
      <c r="S505" s="7" t="inlineStr">
        <is>
          <t>Language key</t>
        </is>
      </c>
      <c r="T505" s="7" t="inlineStr">
        <is>
          <t>8. ניהול סטטוסים (Status Mgmt)</t>
        </is>
      </c>
      <c r="U505" s="7" t="inlineStr">
        <is>
          <t>D17</t>
        </is>
      </c>
      <c r="V505" s="9">
        <f>HYPERLINK("#'"&amp;T505&amp;"'!"&amp;U505,"➜ פתח")</f>
        <v/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7" t="inlineStr">
        <is>
          <t>שדה</t>
        </is>
      </c>
      <c r="Q506" s="8" t="inlineStr">
        <is>
          <t>TXT04</t>
        </is>
      </c>
      <c r="R506" s="7" t="inlineStr">
        <is>
          <t>קוד סטטוס מקוצר</t>
        </is>
      </c>
      <c r="S506" s="7" t="inlineStr">
        <is>
          <t>Status code (CRTD/REL/TECO/CLSD)</t>
        </is>
      </c>
      <c r="T506" s="7" t="inlineStr">
        <is>
          <t>8. ניהול סטטוסים (Status Mgmt)</t>
        </is>
      </c>
      <c r="U506" s="7" t="inlineStr">
        <is>
          <t>D18</t>
        </is>
      </c>
      <c r="V506" s="9">
        <f>HYPERLINK("#'"&amp;T506&amp;"'!"&amp;U506,"➜ פתח")</f>
        <v/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7" t="inlineStr">
        <is>
          <t>שדה</t>
        </is>
      </c>
      <c r="Q507" s="8" t="inlineStr">
        <is>
          <t>TXT30</t>
        </is>
      </c>
      <c r="R507" s="7" t="inlineStr">
        <is>
          <t>תיאור ארוך</t>
        </is>
      </c>
      <c r="S507" s="7" t="inlineStr">
        <is>
          <t>Status long text</t>
        </is>
      </c>
      <c r="T507" s="7" t="inlineStr">
        <is>
          <t>8. ניהול סטטוסים (Status Mgmt)</t>
        </is>
      </c>
      <c r="U507" s="7" t="inlineStr">
        <is>
          <t>D19</t>
        </is>
      </c>
      <c r="V507" s="9">
        <f>HYPERLINK("#'"&amp;T507&amp;"'!"&amp;U507,"➜ פתח")</f>
        <v/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7" t="inlineStr">
        <is>
          <t>טרנזקציה</t>
        </is>
      </c>
      <c r="Q508" s="8" t="inlineStr">
        <is>
          <t>BS23</t>
        </is>
      </c>
      <c r="R508" s="7" t="inlineStr">
        <is>
          <t>טקסטים של סטטוסי מערכת</t>
        </is>
      </c>
      <c r="S508" s="7" t="inlineStr">
        <is>
          <t>System status texts</t>
        </is>
      </c>
      <c r="T508" s="7" t="inlineStr">
        <is>
          <t>8. ניהול סטטוסים (Status Mgmt)</t>
        </is>
      </c>
      <c r="U508" s="7" t="inlineStr">
        <is>
          <t>A16</t>
        </is>
      </c>
      <c r="V508" s="9">
        <f>HYPERLINK("#'"&amp;T508&amp;"'!"&amp;U508,"➜ פתח")</f>
        <v/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7" t="inlineStr">
        <is>
          <t>טרנזקציה</t>
        </is>
      </c>
      <c r="Q509" s="8" t="inlineStr">
        <is>
          <t>BS22</t>
        </is>
      </c>
      <c r="R509" s="7" t="inlineStr">
        <is>
          <t>טקסטים של סטטוסי מערכת</t>
        </is>
      </c>
      <c r="S509" s="7" t="inlineStr">
        <is>
          <t>System status texts</t>
        </is>
      </c>
      <c r="T509" s="7" t="inlineStr">
        <is>
          <t>8. ניהול סטטוסים (Status Mgmt)</t>
        </is>
      </c>
      <c r="U509" s="7" t="inlineStr">
        <is>
          <t>A16</t>
        </is>
      </c>
      <c r="V509" s="9">
        <f>HYPERLINK("#'"&amp;T509&amp;"'!"&amp;U509,"➜ פתח")</f>
        <v/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7" t="inlineStr">
        <is>
          <t>פונקציה</t>
        </is>
      </c>
      <c r="Q510" s="8" t="inlineStr">
        <is>
          <t>STATUS_TEXT_READ</t>
        </is>
      </c>
      <c r="R510" s="7" t="inlineStr">
        <is>
          <t>קריאת טקסט סטטוס מערכת</t>
        </is>
      </c>
      <c r="S510" s="7" t="inlineStr">
        <is>
          <t>System status texts</t>
        </is>
      </c>
      <c r="T510" s="7" t="inlineStr">
        <is>
          <t>8. ניהול סטטוסים (Status Mgmt)</t>
        </is>
      </c>
      <c r="U510" s="7" t="inlineStr">
        <is>
          <t>G16</t>
        </is>
      </c>
      <c r="V510" s="9">
        <f>HYPERLINK("#'"&amp;T510&amp;"'!"&amp;U510,"➜ פתח")</f>
        <v/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7" t="inlineStr">
        <is>
          <t>תוכנית</t>
        </is>
      </c>
      <c r="Q511" s="8" t="inlineStr">
        <is>
          <t>RISTAT00</t>
        </is>
      </c>
      <c r="R511" s="7" t="inlineStr">
        <is>
          <t>פענוח קודי סטטוס בדוחות</t>
        </is>
      </c>
      <c r="S511" s="7" t="inlineStr">
        <is>
          <t>System status texts</t>
        </is>
      </c>
      <c r="T511" s="7" t="inlineStr">
        <is>
          <t>8. ניהול סטטוסים (Status Mgmt)</t>
        </is>
      </c>
      <c r="U511" s="7" t="inlineStr">
        <is>
          <t>I16</t>
        </is>
      </c>
      <c r="V511" s="9">
        <f>HYPERLINK("#'"&amp;T511&amp;"'!"&amp;U511,"➜ פתח")</f>
        <v/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7" t="inlineStr">
        <is>
          <t>Fiori</t>
        </is>
      </c>
      <c r="Q512" s="8" t="inlineStr">
        <is>
          <t>מוטמע (אין ייעודי)</t>
        </is>
      </c>
      <c r="R512" s="7" t="inlineStr">
        <is>
          <t>טקסטים של סטטוסי מערכת</t>
        </is>
      </c>
      <c r="S512" s="7" t="inlineStr">
        <is>
          <t>System status texts</t>
        </is>
      </c>
      <c r="T512" s="7" t="inlineStr">
        <is>
          <t>8. ניהול סטטוסים (Status Mgmt)</t>
        </is>
      </c>
      <c r="U512" s="7" t="inlineStr">
        <is>
          <t>N16</t>
        </is>
      </c>
      <c r="V512" s="9">
        <f>HYPERLINK("#'"&amp;T512&amp;"'!"&amp;U512,"➜ פתח")</f>
        <v/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7" t="inlineStr">
        <is>
          <t>טבלה</t>
        </is>
      </c>
      <c r="Q513" s="8" t="inlineStr">
        <is>
          <t>TJ30T</t>
        </is>
      </c>
      <c r="R513" s="7" t="inlineStr">
        <is>
          <t>טקסטים של סטטוסי משתמש</t>
        </is>
      </c>
      <c r="S513" s="7" t="inlineStr">
        <is>
          <t>User status texts</t>
        </is>
      </c>
      <c r="T513" s="7" t="inlineStr">
        <is>
          <t>8. ניהול סטטוסים (Status Mgmt)</t>
        </is>
      </c>
      <c r="U513" s="7" t="inlineStr">
        <is>
          <t>A21</t>
        </is>
      </c>
      <c r="V513" s="9">
        <f>HYPERLINK("#'"&amp;T513&amp;"'!"&amp;U513,"➜ פתח")</f>
        <v/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7" t="inlineStr">
        <is>
          <t>שדה</t>
        </is>
      </c>
      <c r="Q514" s="8" t="inlineStr">
        <is>
          <t>STSMA</t>
        </is>
      </c>
      <c r="R514" s="7" t="inlineStr">
        <is>
          <t>פרופיל סטטוס</t>
        </is>
      </c>
      <c r="S514" s="7" t="inlineStr">
        <is>
          <t>Status profile</t>
        </is>
      </c>
      <c r="T514" s="7" t="inlineStr">
        <is>
          <t>8. ניהול סטטוסים (Status Mgmt)</t>
        </is>
      </c>
      <c r="U514" s="7" t="inlineStr">
        <is>
          <t>D22</t>
        </is>
      </c>
      <c r="V514" s="9">
        <f>HYPERLINK("#'"&amp;T514&amp;"'!"&amp;U514,"➜ פתח")</f>
        <v/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7" t="inlineStr">
        <is>
          <t>שדה</t>
        </is>
      </c>
      <c r="Q515" s="8" t="inlineStr">
        <is>
          <t>ESTAT</t>
        </is>
      </c>
      <c r="R515" s="7" t="inlineStr">
        <is>
          <t>סטטוס משתמש</t>
        </is>
      </c>
      <c r="S515" s="7" t="inlineStr">
        <is>
          <t>User status</t>
        </is>
      </c>
      <c r="T515" s="7" t="inlineStr">
        <is>
          <t>8. ניהול סטטוסים (Status Mgmt)</t>
        </is>
      </c>
      <c r="U515" s="7" t="inlineStr">
        <is>
          <t>D23</t>
        </is>
      </c>
      <c r="V515" s="9">
        <f>HYPERLINK("#'"&amp;T515&amp;"'!"&amp;U515,"➜ פתח")</f>
        <v/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7" t="inlineStr">
        <is>
          <t>שדה</t>
        </is>
      </c>
      <c r="Q516" s="8" t="inlineStr">
        <is>
          <t>SPRAS</t>
        </is>
      </c>
      <c r="R516" s="7" t="inlineStr">
        <is>
          <t>שפה</t>
        </is>
      </c>
      <c r="S516" s="7" t="inlineStr">
        <is>
          <t>Language key</t>
        </is>
      </c>
      <c r="T516" s="7" t="inlineStr">
        <is>
          <t>8. ניהול סטטוסים (Status Mgmt)</t>
        </is>
      </c>
      <c r="U516" s="7" t="inlineStr">
        <is>
          <t>D24</t>
        </is>
      </c>
      <c r="V516" s="9">
        <f>HYPERLINK("#'"&amp;T516&amp;"'!"&amp;U516,"➜ פתח")</f>
        <v/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7" t="inlineStr">
        <is>
          <t>שדה</t>
        </is>
      </c>
      <c r="Q517" s="8" t="inlineStr">
        <is>
          <t>TXT04</t>
        </is>
      </c>
      <c r="R517" s="7" t="inlineStr">
        <is>
          <t>קוד מקוצר</t>
        </is>
      </c>
      <c r="S517" s="7" t="inlineStr">
        <is>
          <t>User status short code</t>
        </is>
      </c>
      <c r="T517" s="7" t="inlineStr">
        <is>
          <t>8. ניהול סטטוסים (Status Mgmt)</t>
        </is>
      </c>
      <c r="U517" s="7" t="inlineStr">
        <is>
          <t>D25</t>
        </is>
      </c>
      <c r="V517" s="9">
        <f>HYPERLINK("#'"&amp;T517&amp;"'!"&amp;U517,"➜ פתח")</f>
        <v/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7" t="inlineStr">
        <is>
          <t>שדה</t>
        </is>
      </c>
      <c r="Q518" s="8" t="inlineStr">
        <is>
          <t>TXT30</t>
        </is>
      </c>
      <c r="R518" s="7" t="inlineStr">
        <is>
          <t>תיאור סטטוס משתמש</t>
        </is>
      </c>
      <c r="S518" s="7" t="inlineStr">
        <is>
          <t>User status text</t>
        </is>
      </c>
      <c r="T518" s="7" t="inlineStr">
        <is>
          <t>8. ניהול סטטוסים (Status Mgmt)</t>
        </is>
      </c>
      <c r="U518" s="7" t="inlineStr">
        <is>
          <t>D26</t>
        </is>
      </c>
      <c r="V518" s="9">
        <f>HYPERLINK("#'"&amp;T518&amp;"'!"&amp;U518,"➜ פתח")</f>
        <v/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7" t="inlineStr">
        <is>
          <t>טרנזקציה</t>
        </is>
      </c>
      <c r="Q519" s="8" t="inlineStr">
        <is>
          <t>BS02</t>
        </is>
      </c>
      <c r="R519" s="7" t="inlineStr">
        <is>
          <t>טקסטים של סטטוסי משתמש</t>
        </is>
      </c>
      <c r="S519" s="7" t="inlineStr">
        <is>
          <t>User status texts</t>
        </is>
      </c>
      <c r="T519" s="7" t="inlineStr">
        <is>
          <t>8. ניהול סטטוסים (Status Mgmt)</t>
        </is>
      </c>
      <c r="U519" s="7" t="inlineStr">
        <is>
          <t>A22</t>
        </is>
      </c>
      <c r="V519" s="9">
        <f>HYPERLINK("#'"&amp;T519&amp;"'!"&amp;U519,"➜ פתח")</f>
        <v/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7" t="inlineStr">
        <is>
          <t>טרנזקציה</t>
        </is>
      </c>
      <c r="Q520" s="8" t="inlineStr">
        <is>
          <t>BS03</t>
        </is>
      </c>
      <c r="R520" s="7" t="inlineStr">
        <is>
          <t>טקסטים של סטטוסי משתמש</t>
        </is>
      </c>
      <c r="S520" s="7" t="inlineStr">
        <is>
          <t>User status texts</t>
        </is>
      </c>
      <c r="T520" s="7" t="inlineStr">
        <is>
          <t>8. ניהול סטטוסים (Status Mgmt)</t>
        </is>
      </c>
      <c r="U520" s="7" t="inlineStr">
        <is>
          <t>A22</t>
        </is>
      </c>
      <c r="V520" s="9">
        <f>HYPERLINK("#'"&amp;T520&amp;"'!"&amp;U520,"➜ פתח")</f>
        <v/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7" t="inlineStr">
        <is>
          <t>פונקציה</t>
        </is>
      </c>
      <c r="Q521" s="8" t="inlineStr">
        <is>
          <t>USER_STATUS_TEXT_READ</t>
        </is>
      </c>
      <c r="R521" s="7" t="inlineStr">
        <is>
          <t>קריאת טקסט סטטוס משתמש</t>
        </is>
      </c>
      <c r="S521" s="7" t="inlineStr">
        <is>
          <t>User status texts</t>
        </is>
      </c>
      <c r="T521" s="7" t="inlineStr">
        <is>
          <t>8. ניהול סטטוסים (Status Mgmt)</t>
        </is>
      </c>
      <c r="U521" s="7" t="inlineStr">
        <is>
          <t>G22</t>
        </is>
      </c>
      <c r="V521" s="9">
        <f>HYPERLINK("#'"&amp;T521&amp;"'!"&amp;U521,"➜ פתח")</f>
        <v/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7" t="inlineStr">
        <is>
          <t>תוכנית</t>
        </is>
      </c>
      <c r="Q522" s="8" t="inlineStr">
        <is>
          <t>RIBS0200</t>
        </is>
      </c>
      <c r="R522" s="7" t="inlineStr">
        <is>
          <t>סקירת סטטוסי משתמש בפרופיל</t>
        </is>
      </c>
      <c r="S522" s="7" t="inlineStr">
        <is>
          <t>User status texts</t>
        </is>
      </c>
      <c r="T522" s="7" t="inlineStr">
        <is>
          <t>8. ניהול סטטוסים (Status Mgmt)</t>
        </is>
      </c>
      <c r="U522" s="7" t="inlineStr">
        <is>
          <t>I22</t>
        </is>
      </c>
      <c r="V522" s="9">
        <f>HYPERLINK("#'"&amp;T522&amp;"'!"&amp;U522,"➜ פתח")</f>
        <v/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7" t="inlineStr">
        <is>
          <t>Fiori</t>
        </is>
      </c>
      <c r="Q523" s="8" t="inlineStr">
        <is>
          <t>מוטמע (אין ייעודי)</t>
        </is>
      </c>
      <c r="R523" s="7" t="inlineStr">
        <is>
          <t>טקסטים של סטטוסי משתמש</t>
        </is>
      </c>
      <c r="S523" s="7" t="inlineStr">
        <is>
          <t>User status texts</t>
        </is>
      </c>
      <c r="T523" s="7" t="inlineStr">
        <is>
          <t>8. ניהול סטטוסים (Status Mgmt)</t>
        </is>
      </c>
      <c r="U523" s="7" t="inlineStr">
        <is>
          <t>N22</t>
        </is>
      </c>
      <c r="V523" s="9">
        <f>HYPERLINK("#'"&amp;T523&amp;"'!"&amp;U523,"➜ פתח")</f>
        <v/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7" t="inlineStr">
        <is>
          <t>טבלה</t>
        </is>
      </c>
      <c r="Q524" s="8" t="inlineStr">
        <is>
          <t>TJ30</t>
        </is>
      </c>
      <c r="R524" s="7" t="inlineStr">
        <is>
          <t>סטטוסי משתמש בפרופיל (User Status - לתהליכי CBC)</t>
        </is>
      </c>
      <c r="S524" s="7" t="inlineStr">
        <is>
          <t>User statuses within status profile (workflow control)</t>
        </is>
      </c>
      <c r="T524" s="7" t="inlineStr">
        <is>
          <t>8. ניהול סטטוסים (Status Mgmt)</t>
        </is>
      </c>
      <c r="U524" s="7" t="inlineStr">
        <is>
          <t>A28</t>
        </is>
      </c>
      <c r="V524" s="9">
        <f>HYPERLINK("#'"&amp;T524&amp;"'!"&amp;U524,"➜ פתח")</f>
        <v/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7" t="inlineStr">
        <is>
          <t>שדה</t>
        </is>
      </c>
      <c r="Q525" s="8" t="inlineStr">
        <is>
          <t>STSMA</t>
        </is>
      </c>
      <c r="R525" s="7" t="inlineStr">
        <is>
          <t>פרופיל סטטוס</t>
        </is>
      </c>
      <c r="S525" s="7" t="inlineStr">
        <is>
          <t>Status profile</t>
        </is>
      </c>
      <c r="T525" s="7" t="inlineStr">
        <is>
          <t>8. ניהול סטטוסים (Status Mgmt)</t>
        </is>
      </c>
      <c r="U525" s="7" t="inlineStr">
        <is>
          <t>D29</t>
        </is>
      </c>
      <c r="V525" s="9">
        <f>HYPERLINK("#'"&amp;T525&amp;"'!"&amp;U525,"➜ פתח")</f>
        <v/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7" t="inlineStr">
        <is>
          <t>שדה</t>
        </is>
      </c>
      <c r="Q526" s="8" t="inlineStr">
        <is>
          <t>ESTAT</t>
        </is>
      </c>
      <c r="R526" s="7" t="inlineStr">
        <is>
          <t>סטטוס משתמש</t>
        </is>
      </c>
      <c r="S526" s="7" t="inlineStr">
        <is>
          <t>User status</t>
        </is>
      </c>
      <c r="T526" s="7" t="inlineStr">
        <is>
          <t>8. ניהול סטטוסים (Status Mgmt)</t>
        </is>
      </c>
      <c r="U526" s="7" t="inlineStr">
        <is>
          <t>D30</t>
        </is>
      </c>
      <c r="V526" s="9">
        <f>HYPERLINK("#'"&amp;T526&amp;"'!"&amp;U526,"➜ פתח")</f>
        <v/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7" t="inlineStr">
        <is>
          <t>שדה</t>
        </is>
      </c>
      <c r="Q527" s="8" t="inlineStr">
        <is>
          <t>TXT04</t>
        </is>
      </c>
      <c r="R527" s="7" t="inlineStr">
        <is>
          <t>קוד מקוצר</t>
        </is>
      </c>
      <c r="S527" s="7" t="inlineStr">
        <is>
          <t>User status short code</t>
        </is>
      </c>
      <c r="T527" s="7" t="inlineStr">
        <is>
          <t>8. ניהול סטטוסים (Status Mgmt)</t>
        </is>
      </c>
      <c r="U527" s="7" t="inlineStr">
        <is>
          <t>D31</t>
        </is>
      </c>
      <c r="V527" s="9">
        <f>HYPERLINK("#'"&amp;T527&amp;"'!"&amp;U527,"➜ פתח")</f>
        <v/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7" t="inlineStr">
        <is>
          <t>שדה</t>
        </is>
      </c>
      <c r="Q528" s="8" t="inlineStr">
        <is>
          <t>ANWND</t>
        </is>
      </c>
      <c r="R528" s="7" t="inlineStr">
        <is>
          <t>יישום (PM)</t>
        </is>
      </c>
      <c r="S528" s="7" t="inlineStr">
        <is>
          <t>Application (PM=order/notif.)</t>
        </is>
      </c>
      <c r="T528" s="7" t="inlineStr">
        <is>
          <t>8. ניהול סטטוסים (Status Mgmt)</t>
        </is>
      </c>
      <c r="U528" s="7" t="inlineStr">
        <is>
          <t>D32</t>
        </is>
      </c>
      <c r="V528" s="9">
        <f>HYPERLINK("#'"&amp;T528&amp;"'!"&amp;U528,"➜ פתח")</f>
        <v/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7" t="inlineStr">
        <is>
          <t>שדה</t>
        </is>
      </c>
      <c r="Q529" s="8" t="inlineStr">
        <is>
          <t>VORNR</t>
        </is>
      </c>
      <c r="R529" s="7" t="inlineStr">
        <is>
          <t>מספר סדר סטטוס</t>
        </is>
      </c>
      <c r="S529" s="7" t="inlineStr">
        <is>
          <t>Status sequence number</t>
        </is>
      </c>
      <c r="T529" s="7" t="inlineStr">
        <is>
          <t>8. ניהול סטטוסים (Status Mgmt)</t>
        </is>
      </c>
      <c r="U529" s="7" t="inlineStr">
        <is>
          <t>D33</t>
        </is>
      </c>
      <c r="V529" s="9">
        <f>HYPERLINK("#'"&amp;T529&amp;"'!"&amp;U529,"➜ פתח")</f>
        <v/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7" t="inlineStr">
        <is>
          <t>טרנזקציה</t>
        </is>
      </c>
      <c r="Q530" s="8" t="inlineStr">
        <is>
          <t>BS02</t>
        </is>
      </c>
      <c r="R530" s="7" t="inlineStr">
        <is>
          <t>סטטוסי משתמש בפרופיל (User Status - לתהליכי CBC)</t>
        </is>
      </c>
      <c r="S530" s="7" t="inlineStr">
        <is>
          <t>User statuses within status profile (workflow control)</t>
        </is>
      </c>
      <c r="T530" s="7" t="inlineStr">
        <is>
          <t>8. ניהול סטטוסים (Status Mgmt)</t>
        </is>
      </c>
      <c r="U530" s="7" t="inlineStr">
        <is>
          <t>A29</t>
        </is>
      </c>
      <c r="V530" s="9">
        <f>HYPERLINK("#'"&amp;T530&amp;"'!"&amp;U530,"➜ פתח")</f>
        <v/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7" t="inlineStr">
        <is>
          <t>טרנזקציה</t>
        </is>
      </c>
      <c r="Q531" s="8" t="inlineStr">
        <is>
          <t>BS03</t>
        </is>
      </c>
      <c r="R531" s="7" t="inlineStr">
        <is>
          <t>סטטוסי משתמש בפרופיל (User Status - לתהליכי CBC)</t>
        </is>
      </c>
      <c r="S531" s="7" t="inlineStr">
        <is>
          <t>User statuses within status profile (workflow control)</t>
        </is>
      </c>
      <c r="T531" s="7" t="inlineStr">
        <is>
          <t>8. ניהול סטטוסים (Status Mgmt)</t>
        </is>
      </c>
      <c r="U531" s="7" t="inlineStr">
        <is>
          <t>A29</t>
        </is>
      </c>
      <c r="V531" s="9">
        <f>HYPERLINK("#'"&amp;T531&amp;"'!"&amp;U531,"➜ פתח")</f>
        <v/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7" t="inlineStr">
        <is>
          <t>טרנזקציה</t>
        </is>
      </c>
      <c r="Q532" s="8" t="inlineStr">
        <is>
          <t>OIBS</t>
        </is>
      </c>
      <c r="R532" s="7" t="inlineStr">
        <is>
          <t>סטטוסי משתמש בפרופיל (User Status - לתהליכי CBC)</t>
        </is>
      </c>
      <c r="S532" s="7" t="inlineStr">
        <is>
          <t>User statuses within status profile (workflow control)</t>
        </is>
      </c>
      <c r="T532" s="7" t="inlineStr">
        <is>
          <t>8. ניהול סטטוסים (Status Mgmt)</t>
        </is>
      </c>
      <c r="U532" s="7" t="inlineStr">
        <is>
          <t>A29</t>
        </is>
      </c>
      <c r="V532" s="9">
        <f>HYPERLINK("#'"&amp;T532&amp;"'!"&amp;U532,"➜ פתח")</f>
        <v/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7" t="inlineStr">
        <is>
          <t>פונקציה</t>
        </is>
      </c>
      <c r="Q533" s="8" t="inlineStr">
        <is>
          <t>STATUS_USER_CHANGE</t>
        </is>
      </c>
      <c r="R533" s="7" t="inlineStr">
        <is>
          <t>שינוי סטטוס משתמש</t>
        </is>
      </c>
      <c r="S533" s="7" t="inlineStr">
        <is>
          <t>User statuses within status profile (workflow control)</t>
        </is>
      </c>
      <c r="T533" s="7" t="inlineStr">
        <is>
          <t>8. ניהול סטטוסים (Status Mgmt)</t>
        </is>
      </c>
      <c r="U533" s="7" t="inlineStr">
        <is>
          <t>G29</t>
        </is>
      </c>
      <c r="V533" s="9">
        <f>HYPERLINK("#'"&amp;T533&amp;"'!"&amp;U533,"➜ פתח")</f>
        <v/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7" t="inlineStr">
        <is>
          <t>פונקציה</t>
        </is>
      </c>
      <c r="Q534" s="8" t="inlineStr">
        <is>
          <t>STATUS_PROFILE_READ</t>
        </is>
      </c>
      <c r="R534" s="7" t="inlineStr">
        <is>
          <t>קריאת פרופיל וסטטוסי המשתמש</t>
        </is>
      </c>
      <c r="S534" s="7" t="inlineStr">
        <is>
          <t>User statuses within status profile (workflow control)</t>
        </is>
      </c>
      <c r="T534" s="7" t="inlineStr">
        <is>
          <t>8. ניהול סטטוסים (Status Mgmt)</t>
        </is>
      </c>
      <c r="U534" s="7" t="inlineStr">
        <is>
          <t>G29</t>
        </is>
      </c>
      <c r="V534" s="9">
        <f>HYPERLINK("#'"&amp;T534&amp;"'!"&amp;U534,"➜ פתח")</f>
        <v/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7" t="inlineStr">
        <is>
          <t>תוכנית</t>
        </is>
      </c>
      <c r="Q535" s="8" t="inlineStr">
        <is>
          <t>RIBS0200</t>
        </is>
      </c>
      <c r="R535" s="7" t="inlineStr">
        <is>
          <t>סקירת פרופילי סטטוס וחסימות תהליך</t>
        </is>
      </c>
      <c r="S535" s="7" t="inlineStr">
        <is>
          <t>User statuses within status profile (workflow control)</t>
        </is>
      </c>
      <c r="T535" s="7" t="inlineStr">
        <is>
          <t>8. ניהול סטטוסים (Status Mgmt)</t>
        </is>
      </c>
      <c r="U535" s="7" t="inlineStr">
        <is>
          <t>I29</t>
        </is>
      </c>
      <c r="V535" s="9">
        <f>HYPERLINK("#'"&amp;T535&amp;"'!"&amp;U535,"➜ פתח")</f>
        <v/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7" t="inlineStr">
        <is>
          <t>Fiori</t>
        </is>
      </c>
      <c r="Q536" s="8" t="inlineStr">
        <is>
          <t>מוטמע באפליקציות PM (אין ייעודי)</t>
        </is>
      </c>
      <c r="R536" s="7" t="inlineStr">
        <is>
          <t>סטטוסי משתמש בפרופיל (User Status - לתהליכי CBC)</t>
        </is>
      </c>
      <c r="S536" s="7" t="inlineStr">
        <is>
          <t>User statuses within status profile (workflow control)</t>
        </is>
      </c>
      <c r="T536" s="7" t="inlineStr">
        <is>
          <t>8. ניהול סטטוסים (Status Mgmt)</t>
        </is>
      </c>
      <c r="U536" s="7" t="inlineStr">
        <is>
          <t>N29</t>
        </is>
      </c>
      <c r="V536" s="9">
        <f>HYPERLINK("#'"&amp;T536&amp;"'!"&amp;U536,"➜ פתח")</f>
        <v/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7" t="inlineStr">
        <is>
          <t>User Exit</t>
        </is>
      </c>
      <c r="Q537" s="8" t="inlineStr">
        <is>
          <t>STATUS (BS02/BS22)</t>
        </is>
      </c>
      <c r="R537" s="7" t="inlineStr">
        <is>
          <t>סטטוס משתמש מוגדר בפרופיל ולא דרך user-exit ייעודי</t>
        </is>
      </c>
      <c r="S537" s="7" t="inlineStr"/>
      <c r="T537" s="7" t="inlineStr">
        <is>
          <t>8. ניהול סטטוסים (Status Mgmt)</t>
        </is>
      </c>
      <c r="U537" s="7" t="inlineStr">
        <is>
          <t>A38</t>
        </is>
      </c>
      <c r="V537" s="9">
        <f>HYPERLINK("#'"&amp;T537&amp;"'!"&amp;U537,"➜ פתח")</f>
        <v/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7" t="inlineStr">
        <is>
          <t>BAdI</t>
        </is>
      </c>
      <c r="Q538" s="8" t="inlineStr">
        <is>
          <t>BADI_STATUS_MANAGEMENT</t>
        </is>
      </c>
      <c r="R538" s="7" t="inlineStr">
        <is>
          <t>הרחבת לוגיקת סטטוס (אמת שם ב-SE18)</t>
        </is>
      </c>
      <c r="S538" s="7" t="inlineStr"/>
      <c r="T538" s="7" t="inlineStr">
        <is>
          <t>8. ניהול סטטוסים (Status Mgmt)</t>
        </is>
      </c>
      <c r="U538" s="7" t="inlineStr">
        <is>
          <t>A39</t>
        </is>
      </c>
      <c r="V538" s="9">
        <f>HYPERLINK("#'"&amp;T538&amp;"'!"&amp;U538,"➜ פתח")</f>
        <v/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7" t="inlineStr">
        <is>
          <t>טבלה</t>
        </is>
      </c>
      <c r="Q539" s="8" t="inlineStr">
        <is>
          <t>RESB</t>
        </is>
      </c>
      <c r="R539" s="7" t="inlineStr">
        <is>
          <t>הזמנת רכיבים (Reservation)</t>
        </is>
      </c>
      <c r="S539" s="7" t="inlineStr">
        <is>
          <t>Reservation / dependent requirements</t>
        </is>
      </c>
      <c r="T539" s="7" t="inlineStr">
        <is>
          <t>9. אינטגרציית מלאי ורכש (PM-MM)</t>
        </is>
      </c>
      <c r="U539" s="7" t="inlineStr">
        <is>
          <t>A3</t>
        </is>
      </c>
      <c r="V539" s="9">
        <f>HYPERLINK("#'"&amp;T539&amp;"'!"&amp;U539,"➜ פתח")</f>
        <v/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7" t="inlineStr">
        <is>
          <t>שדה</t>
        </is>
      </c>
      <c r="Q540" s="8" t="inlineStr">
        <is>
          <t>RSNUM</t>
        </is>
      </c>
      <c r="R540" s="7" t="inlineStr">
        <is>
          <t>מספר הזמנה</t>
        </is>
      </c>
      <c r="S540" s="7" t="inlineStr">
        <is>
          <t>Reservation number</t>
        </is>
      </c>
      <c r="T540" s="7" t="inlineStr">
        <is>
          <t>9. אינטגרציית מלאי ורכש (PM-MM)</t>
        </is>
      </c>
      <c r="U540" s="7" t="inlineStr">
        <is>
          <t>D4</t>
        </is>
      </c>
      <c r="V540" s="9">
        <f>HYPERLINK("#'"&amp;T540&amp;"'!"&amp;U540,"➜ פתח")</f>
        <v/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7" t="inlineStr">
        <is>
          <t>שדה</t>
        </is>
      </c>
      <c r="Q541" s="8" t="inlineStr">
        <is>
          <t>RSPOS</t>
        </is>
      </c>
      <c r="R541" s="7" t="inlineStr">
        <is>
          <t>פריט הזמנה</t>
        </is>
      </c>
      <c r="S541" s="7" t="inlineStr">
        <is>
          <t>Reservation item</t>
        </is>
      </c>
      <c r="T541" s="7" t="inlineStr">
        <is>
          <t>9. אינטגרציית מלאי ורכש (PM-MM)</t>
        </is>
      </c>
      <c r="U541" s="7" t="inlineStr">
        <is>
          <t>D5</t>
        </is>
      </c>
      <c r="V541" s="9">
        <f>HYPERLINK("#'"&amp;T541&amp;"'!"&amp;U541,"➜ פתח")</f>
        <v/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7" t="inlineStr">
        <is>
          <t>שדה</t>
        </is>
      </c>
      <c r="Q542" s="8" t="inlineStr">
        <is>
          <t>MATNR</t>
        </is>
      </c>
      <c r="R542" s="7" t="inlineStr">
        <is>
          <t>חומר רכיב</t>
        </is>
      </c>
      <c r="S542" s="7" t="inlineStr">
        <is>
          <t>Component material</t>
        </is>
      </c>
      <c r="T542" s="7" t="inlineStr">
        <is>
          <t>9. אינטגרציית מלאי ורכש (PM-MM)</t>
        </is>
      </c>
      <c r="U542" s="7" t="inlineStr">
        <is>
          <t>D6</t>
        </is>
      </c>
      <c r="V542" s="9">
        <f>HYPERLINK("#'"&amp;T542&amp;"'!"&amp;U542,"➜ פתח")</f>
        <v/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7" t="inlineStr">
        <is>
          <t>שדה</t>
        </is>
      </c>
      <c r="Q543" s="8" t="inlineStr">
        <is>
          <t>BDMNG</t>
        </is>
      </c>
      <c r="R543" s="7" t="inlineStr">
        <is>
          <t>כמות נדרשת</t>
        </is>
      </c>
      <c r="S543" s="7" t="inlineStr">
        <is>
          <t>Requirement quantity</t>
        </is>
      </c>
      <c r="T543" s="7" t="inlineStr">
        <is>
          <t>9. אינטגרציית מלאי ורכש (PM-MM)</t>
        </is>
      </c>
      <c r="U543" s="7" t="inlineStr">
        <is>
          <t>D7</t>
        </is>
      </c>
      <c r="V543" s="9">
        <f>HYPERLINK("#'"&amp;T543&amp;"'!"&amp;U543,"➜ פתח")</f>
        <v/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7" t="inlineStr">
        <is>
          <t>שדה</t>
        </is>
      </c>
      <c r="Q544" s="8" t="inlineStr">
        <is>
          <t>ENMNG</t>
        </is>
      </c>
      <c r="R544" s="7" t="inlineStr">
        <is>
          <t>כמות שנפלטה</t>
        </is>
      </c>
      <c r="S544" s="7" t="inlineStr">
        <is>
          <t>Quantity withdrawn</t>
        </is>
      </c>
      <c r="T544" s="7" t="inlineStr">
        <is>
          <t>9. אינטגרציית מלאי ורכש (PM-MM)</t>
        </is>
      </c>
      <c r="U544" s="7" t="inlineStr">
        <is>
          <t>D8</t>
        </is>
      </c>
      <c r="V544" s="9">
        <f>HYPERLINK("#'"&amp;T544&amp;"'!"&amp;U544,"➜ פתח")</f>
        <v/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7" t="inlineStr">
        <is>
          <t>שדה</t>
        </is>
      </c>
      <c r="Q545" s="8" t="inlineStr">
        <is>
          <t>AUFNR</t>
        </is>
      </c>
      <c r="R545" s="7" t="inlineStr">
        <is>
          <t>פק"ע מחויבת</t>
        </is>
      </c>
      <c r="S545" s="7" t="inlineStr">
        <is>
          <t>Order (account assignment)</t>
        </is>
      </c>
      <c r="T545" s="7" t="inlineStr">
        <is>
          <t>9. אינטגרציית מלאי ורכש (PM-MM)</t>
        </is>
      </c>
      <c r="U545" s="7" t="inlineStr">
        <is>
          <t>D9</t>
        </is>
      </c>
      <c r="V545" s="9">
        <f>HYPERLINK("#'"&amp;T545&amp;"'!"&amp;U545,"➜ פתח")</f>
        <v/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7" t="inlineStr">
        <is>
          <t>טרנזקציה</t>
        </is>
      </c>
      <c r="Q546" s="8" t="inlineStr">
        <is>
          <t>MB1A</t>
        </is>
      </c>
      <c r="R546" s="7" t="inlineStr">
        <is>
          <t>הזמנת רכיבים (Reservation)</t>
        </is>
      </c>
      <c r="S546" s="7" t="inlineStr">
        <is>
          <t>Reservation / dependent requirements</t>
        </is>
      </c>
      <c r="T546" s="7" t="inlineStr">
        <is>
          <t>9. אינטגרציית מלאי ורכש (PM-MM)</t>
        </is>
      </c>
      <c r="U546" s="7" t="inlineStr">
        <is>
          <t>A4</t>
        </is>
      </c>
      <c r="V546" s="9">
        <f>HYPERLINK("#'"&amp;T546&amp;"'!"&amp;U546,"➜ פתח")</f>
        <v/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7" t="inlineStr">
        <is>
          <t>טרנזקציה</t>
        </is>
      </c>
      <c r="Q547" s="8" t="inlineStr">
        <is>
          <t>MIGO</t>
        </is>
      </c>
      <c r="R547" s="7" t="inlineStr">
        <is>
          <t>הזמנת רכיבים (Reservation)</t>
        </is>
      </c>
      <c r="S547" s="7" t="inlineStr">
        <is>
          <t>Reservation / dependent requirements</t>
        </is>
      </c>
      <c r="T547" s="7" t="inlineStr">
        <is>
          <t>9. אינטגרציית מלאי ורכש (PM-MM)</t>
        </is>
      </c>
      <c r="U547" s="7" t="inlineStr">
        <is>
          <t>A4</t>
        </is>
      </c>
      <c r="V547" s="9">
        <f>HYPERLINK("#'"&amp;T547&amp;"'!"&amp;U547,"➜ פתח")</f>
        <v/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7" t="inlineStr">
        <is>
          <t>טרנזקציה</t>
        </is>
      </c>
      <c r="Q548" s="8" t="inlineStr">
        <is>
          <t>MB21</t>
        </is>
      </c>
      <c r="R548" s="7" t="inlineStr">
        <is>
          <t>הזמנת רכיבים (Reservation)</t>
        </is>
      </c>
      <c r="S548" s="7" t="inlineStr">
        <is>
          <t>Reservation / dependent requirements</t>
        </is>
      </c>
      <c r="T548" s="7" t="inlineStr">
        <is>
          <t>9. אינטגרציית מלאי ורכש (PM-MM)</t>
        </is>
      </c>
      <c r="U548" s="7" t="inlineStr">
        <is>
          <t>A4</t>
        </is>
      </c>
      <c r="V548" s="9">
        <f>HYPERLINK("#'"&amp;T548&amp;"'!"&amp;U548,"➜ פתח")</f>
        <v/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7" t="inlineStr">
        <is>
          <t>טרנזקציה</t>
        </is>
      </c>
      <c r="Q549" s="8" t="inlineStr">
        <is>
          <t>IW32</t>
        </is>
      </c>
      <c r="R549" s="7" t="inlineStr">
        <is>
          <t>הזמנת רכיבים (Reservation)</t>
        </is>
      </c>
      <c r="S549" s="7" t="inlineStr">
        <is>
          <t>Reservation / dependent requirements</t>
        </is>
      </c>
      <c r="T549" s="7" t="inlineStr">
        <is>
          <t>9. אינטגרציית מלאי ורכש (PM-MM)</t>
        </is>
      </c>
      <c r="U549" s="7" t="inlineStr">
        <is>
          <t>A4</t>
        </is>
      </c>
      <c r="V549" s="9">
        <f>HYPERLINK("#'"&amp;T549&amp;"'!"&amp;U549,"➜ פתח")</f>
        <v/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7" t="inlineStr">
        <is>
          <t>פונקציה</t>
        </is>
      </c>
      <c r="Q550" s="8" t="inlineStr">
        <is>
          <t>BAPI_RESERVATION_CREATE1</t>
        </is>
      </c>
      <c r="R550" s="7" t="inlineStr">
        <is>
          <t>יצירת הזמנת מלאי</t>
        </is>
      </c>
      <c r="S550" s="7" t="inlineStr">
        <is>
          <t>Reservation / dependent requirements</t>
        </is>
      </c>
      <c r="T550" s="7" t="inlineStr">
        <is>
          <t>9. אינטגרציית מלאי ורכש (PM-MM)</t>
        </is>
      </c>
      <c r="U550" s="7" t="inlineStr">
        <is>
          <t>G4</t>
        </is>
      </c>
      <c r="V550" s="9">
        <f>HYPERLINK("#'"&amp;T550&amp;"'!"&amp;U550,"➜ פתח")</f>
        <v/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7" t="inlineStr">
        <is>
          <t>פונקציה</t>
        </is>
      </c>
      <c r="Q551" s="8" t="inlineStr">
        <is>
          <t>BAPI_GOODSMVT_CREATE</t>
        </is>
      </c>
      <c r="R551" s="7" t="inlineStr">
        <is>
          <t>רישום פליטת חומר (261)</t>
        </is>
      </c>
      <c r="S551" s="7" t="inlineStr">
        <is>
          <t>Reservation / dependent requirements</t>
        </is>
      </c>
      <c r="T551" s="7" t="inlineStr">
        <is>
          <t>9. אינטגרציית מלאי ורכש (PM-MM)</t>
        </is>
      </c>
      <c r="U551" s="7" t="inlineStr">
        <is>
          <t>G4</t>
        </is>
      </c>
      <c r="V551" s="9">
        <f>HYPERLINK("#'"&amp;T551&amp;"'!"&amp;U551,"➜ פתח")</f>
        <v/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7" t="inlineStr">
        <is>
          <t>פונקציה</t>
        </is>
      </c>
      <c r="Q552" s="8" t="inlineStr">
        <is>
          <t>RESERVATION_READ</t>
        </is>
      </c>
      <c r="R552" s="7" t="inlineStr">
        <is>
          <t>קריאת הזמנת רכיבים</t>
        </is>
      </c>
      <c r="S552" s="7" t="inlineStr">
        <is>
          <t>Reservation / dependent requirements</t>
        </is>
      </c>
      <c r="T552" s="7" t="inlineStr">
        <is>
          <t>9. אינטגרציית מלאי ורכש (PM-MM)</t>
        </is>
      </c>
      <c r="U552" s="7" t="inlineStr">
        <is>
          <t>G4</t>
        </is>
      </c>
      <c r="V552" s="9">
        <f>HYPERLINK("#'"&amp;T552&amp;"'!"&amp;U552,"➜ פתח")</f>
        <v/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7" t="inlineStr">
        <is>
          <t>תוכנית</t>
        </is>
      </c>
      <c r="Q553" s="8" t="inlineStr">
        <is>
          <t>RM07RESL</t>
        </is>
      </c>
      <c r="R553" s="7" t="inlineStr">
        <is>
          <t>דוח הזמנות מלאי פתוחות</t>
        </is>
      </c>
      <c r="S553" s="7" t="inlineStr">
        <is>
          <t>Reservation / dependent requirements</t>
        </is>
      </c>
      <c r="T553" s="7" t="inlineStr">
        <is>
          <t>9. אינטגרציית מלאי ורכש (PM-MM)</t>
        </is>
      </c>
      <c r="U553" s="7" t="inlineStr">
        <is>
          <t>I4</t>
        </is>
      </c>
      <c r="V553" s="9">
        <f>HYPERLINK("#'"&amp;T553&amp;"'!"&amp;U553,"➜ פתח")</f>
        <v/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7" t="inlineStr">
        <is>
          <t>Fiori</t>
        </is>
      </c>
      <c r="Q554" s="8" t="inlineStr">
        <is>
          <t>Post Goods Movement / MIGO (אמת ID)</t>
        </is>
      </c>
      <c r="R554" s="7" t="inlineStr">
        <is>
          <t>הזמנת רכיבים (Reservation)</t>
        </is>
      </c>
      <c r="S554" s="7" t="inlineStr">
        <is>
          <t>Reservation / dependent requirements</t>
        </is>
      </c>
      <c r="T554" s="7" t="inlineStr">
        <is>
          <t>9. אינטגרציית מלאי ורכש (PM-MM)</t>
        </is>
      </c>
      <c r="U554" s="7" t="inlineStr">
        <is>
          <t>N4</t>
        </is>
      </c>
      <c r="V554" s="9">
        <f>HYPERLINK("#'"&amp;T554&amp;"'!"&amp;U554,"➜ פתח")</f>
        <v/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7" t="inlineStr">
        <is>
          <t>טבלה</t>
        </is>
      </c>
      <c r="Q555" s="8" t="inlineStr">
        <is>
          <t>EBAN</t>
        </is>
      </c>
      <c r="R555" s="7" t="inlineStr">
        <is>
          <t>דרישת רכש (Purchase Requisition)</t>
        </is>
      </c>
      <c r="S555" s="7" t="inlineStr">
        <is>
          <t>Purchase requisition</t>
        </is>
      </c>
      <c r="T555" s="7" t="inlineStr">
        <is>
          <t>9. אינטגרציית מלאי ורכש (PM-MM)</t>
        </is>
      </c>
      <c r="U555" s="7" t="inlineStr">
        <is>
          <t>A11</t>
        </is>
      </c>
      <c r="V555" s="9">
        <f>HYPERLINK("#'"&amp;T555&amp;"'!"&amp;U555,"➜ פתח")</f>
        <v/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7" t="inlineStr">
        <is>
          <t>שדה</t>
        </is>
      </c>
      <c r="Q556" s="8" t="inlineStr">
        <is>
          <t>BANFN</t>
        </is>
      </c>
      <c r="R556" s="7" t="inlineStr">
        <is>
          <t>מספר דרישת רכש</t>
        </is>
      </c>
      <c r="S556" s="7" t="inlineStr">
        <is>
          <t>Purchase requisition number</t>
        </is>
      </c>
      <c r="T556" s="7" t="inlineStr">
        <is>
          <t>9. אינטגרציית מלאי ורכש (PM-MM)</t>
        </is>
      </c>
      <c r="U556" s="7" t="inlineStr">
        <is>
          <t>D12</t>
        </is>
      </c>
      <c r="V556" s="9">
        <f>HYPERLINK("#'"&amp;T556&amp;"'!"&amp;U556,"➜ פתח")</f>
        <v/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7" t="inlineStr">
        <is>
          <t>שדה</t>
        </is>
      </c>
      <c r="Q557" s="8" t="inlineStr">
        <is>
          <t>BNFPO</t>
        </is>
      </c>
      <c r="R557" s="7" t="inlineStr">
        <is>
          <t>פריט דרישה</t>
        </is>
      </c>
      <c r="S557" s="7" t="inlineStr">
        <is>
          <t>Requisition item</t>
        </is>
      </c>
      <c r="T557" s="7" t="inlineStr">
        <is>
          <t>9. אינטגרציית מלאי ורכש (PM-MM)</t>
        </is>
      </c>
      <c r="U557" s="7" t="inlineStr">
        <is>
          <t>D13</t>
        </is>
      </c>
      <c r="V557" s="9">
        <f>HYPERLINK("#'"&amp;T557&amp;"'!"&amp;U557,"➜ פתח")</f>
        <v/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7" t="inlineStr">
        <is>
          <t>שדה</t>
        </is>
      </c>
      <c r="Q558" s="8" t="inlineStr">
        <is>
          <t>MATNR</t>
        </is>
      </c>
      <c r="R558" s="7" t="inlineStr">
        <is>
          <t>חומר</t>
        </is>
      </c>
      <c r="S558" s="7" t="inlineStr">
        <is>
          <t>Material</t>
        </is>
      </c>
      <c r="T558" s="7" t="inlineStr">
        <is>
          <t>9. אינטגרציית מלאי ורכש (PM-MM)</t>
        </is>
      </c>
      <c r="U558" s="7" t="inlineStr">
        <is>
          <t>D14</t>
        </is>
      </c>
      <c r="V558" s="9">
        <f>HYPERLINK("#'"&amp;T558&amp;"'!"&amp;U558,"➜ פתח")</f>
        <v/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7" t="inlineStr">
        <is>
          <t>שדה</t>
        </is>
      </c>
      <c r="Q559" s="8" t="inlineStr">
        <is>
          <t>KNTTP</t>
        </is>
      </c>
      <c r="R559" s="7" t="inlineStr">
        <is>
          <t>סוג חיוב</t>
        </is>
      </c>
      <c r="S559" s="7" t="inlineStr">
        <is>
          <t>Account assignment cat. (F=order)</t>
        </is>
      </c>
      <c r="T559" s="7" t="inlineStr">
        <is>
          <t>9. אינטגרציית מלאי ורכש (PM-MM)</t>
        </is>
      </c>
      <c r="U559" s="7" t="inlineStr">
        <is>
          <t>D15</t>
        </is>
      </c>
      <c r="V559" s="9">
        <f>HYPERLINK("#'"&amp;T559&amp;"'!"&amp;U559,"➜ פתח")</f>
        <v/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7" t="inlineStr">
        <is>
          <t>שדה</t>
        </is>
      </c>
      <c r="Q560" s="8" t="inlineStr">
        <is>
          <t>MENGE</t>
        </is>
      </c>
      <c r="R560" s="7" t="inlineStr">
        <is>
          <t>כמות</t>
        </is>
      </c>
      <c r="S560" s="7" t="inlineStr">
        <is>
          <t>Requisition quantity</t>
        </is>
      </c>
      <c r="T560" s="7" t="inlineStr">
        <is>
          <t>9. אינטגרציית מלאי ורכש (PM-MM)</t>
        </is>
      </c>
      <c r="U560" s="7" t="inlineStr">
        <is>
          <t>D16</t>
        </is>
      </c>
      <c r="V560" s="9">
        <f>HYPERLINK("#'"&amp;T560&amp;"'!"&amp;U560,"➜ פתח")</f>
        <v/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7" t="inlineStr">
        <is>
          <t>טרנזקציה</t>
        </is>
      </c>
      <c r="Q561" s="8" t="inlineStr">
        <is>
          <t>ME51N</t>
        </is>
      </c>
      <c r="R561" s="7" t="inlineStr">
        <is>
          <t>דרישת רכש (Purchase Requisition)</t>
        </is>
      </c>
      <c r="S561" s="7" t="inlineStr">
        <is>
          <t>Purchase requisition</t>
        </is>
      </c>
      <c r="T561" s="7" t="inlineStr">
        <is>
          <t>9. אינטגרציית מלאי ורכש (PM-MM)</t>
        </is>
      </c>
      <c r="U561" s="7" t="inlineStr">
        <is>
          <t>A12</t>
        </is>
      </c>
      <c r="V561" s="9">
        <f>HYPERLINK("#'"&amp;T561&amp;"'!"&amp;U561,"➜ פתח")</f>
        <v/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7" t="inlineStr">
        <is>
          <t>טרנזקציה</t>
        </is>
      </c>
      <c r="Q562" s="8" t="inlineStr">
        <is>
          <t>ME52N</t>
        </is>
      </c>
      <c r="R562" s="7" t="inlineStr">
        <is>
          <t>דרישת רכש (Purchase Requisition)</t>
        </is>
      </c>
      <c r="S562" s="7" t="inlineStr">
        <is>
          <t>Purchase requisition</t>
        </is>
      </c>
      <c r="T562" s="7" t="inlineStr">
        <is>
          <t>9. אינטגרציית מלאי ורכש (PM-MM)</t>
        </is>
      </c>
      <c r="U562" s="7" t="inlineStr">
        <is>
          <t>A12</t>
        </is>
      </c>
      <c r="V562" s="9">
        <f>HYPERLINK("#'"&amp;T562&amp;"'!"&amp;U562,"➜ פתח")</f>
        <v/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7" t="inlineStr">
        <is>
          <t>טרנזקציה</t>
        </is>
      </c>
      <c r="Q563" s="8" t="inlineStr">
        <is>
          <t>ME53N</t>
        </is>
      </c>
      <c r="R563" s="7" t="inlineStr">
        <is>
          <t>דרישת רכש (Purchase Requisition)</t>
        </is>
      </c>
      <c r="S563" s="7" t="inlineStr">
        <is>
          <t>Purchase requisition</t>
        </is>
      </c>
      <c r="T563" s="7" t="inlineStr">
        <is>
          <t>9. אינטגרציית מלאי ורכש (PM-MM)</t>
        </is>
      </c>
      <c r="U563" s="7" t="inlineStr">
        <is>
          <t>A12</t>
        </is>
      </c>
      <c r="V563" s="9">
        <f>HYPERLINK("#'"&amp;T563&amp;"'!"&amp;U563,"➜ פתח")</f>
        <v/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7" t="inlineStr">
        <is>
          <t>טרנזקציה</t>
        </is>
      </c>
      <c r="Q564" s="8" t="inlineStr">
        <is>
          <t>ME57</t>
        </is>
      </c>
      <c r="R564" s="7" t="inlineStr">
        <is>
          <t>דרישת רכש (Purchase Requisition)</t>
        </is>
      </c>
      <c r="S564" s="7" t="inlineStr">
        <is>
          <t>Purchase requisition</t>
        </is>
      </c>
      <c r="T564" s="7" t="inlineStr">
        <is>
          <t>9. אינטגרציית מלאי ורכש (PM-MM)</t>
        </is>
      </c>
      <c r="U564" s="7" t="inlineStr">
        <is>
          <t>A12</t>
        </is>
      </c>
      <c r="V564" s="9">
        <f>HYPERLINK("#'"&amp;T564&amp;"'!"&amp;U564,"➜ פתח")</f>
        <v/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7" t="inlineStr">
        <is>
          <t>פונקציה</t>
        </is>
      </c>
      <c r="Q565" s="8" t="inlineStr">
        <is>
          <t>BAPI_PR_CREATE</t>
        </is>
      </c>
      <c r="R565" s="7" t="inlineStr">
        <is>
          <t>יצירת דרישת רכש</t>
        </is>
      </c>
      <c r="S565" s="7" t="inlineStr">
        <is>
          <t>Purchase requisition</t>
        </is>
      </c>
      <c r="T565" s="7" t="inlineStr">
        <is>
          <t>9. אינטגרציית מלאי ורכש (PM-MM)</t>
        </is>
      </c>
      <c r="U565" s="7" t="inlineStr">
        <is>
          <t>G12</t>
        </is>
      </c>
      <c r="V565" s="9">
        <f>HYPERLINK("#'"&amp;T565&amp;"'!"&amp;U565,"➜ פתח")</f>
        <v/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7" t="inlineStr">
        <is>
          <t>פונקציה</t>
        </is>
      </c>
      <c r="Q566" s="8" t="inlineStr">
        <is>
          <t>BAPI_REQUISITION_GETDETAIL</t>
        </is>
      </c>
      <c r="R566" s="7" t="inlineStr">
        <is>
          <t>שליפת פרטי דרישת רכש</t>
        </is>
      </c>
      <c r="S566" s="7" t="inlineStr">
        <is>
          <t>Purchase requisition</t>
        </is>
      </c>
      <c r="T566" s="7" t="inlineStr">
        <is>
          <t>9. אינטגרציית מלאי ורכש (PM-MM)</t>
        </is>
      </c>
      <c r="U566" s="7" t="inlineStr">
        <is>
          <t>G12</t>
        </is>
      </c>
      <c r="V566" s="9">
        <f>HYPERLINK("#'"&amp;T566&amp;"'!"&amp;U566,"➜ פתח")</f>
        <v/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7" t="inlineStr">
        <is>
          <t>תוכנית</t>
        </is>
      </c>
      <c r="Q567" s="8" t="inlineStr">
        <is>
          <t>RM06BANF</t>
        </is>
      </c>
      <c r="R567" s="7" t="inlineStr">
        <is>
          <t>דוח דרישות רכש פתוחות</t>
        </is>
      </c>
      <c r="S567" s="7" t="inlineStr">
        <is>
          <t>Purchase requisition</t>
        </is>
      </c>
      <c r="T567" s="7" t="inlineStr">
        <is>
          <t>9. אינטגרציית מלאי ורכש (PM-MM)</t>
        </is>
      </c>
      <c r="U567" s="7" t="inlineStr">
        <is>
          <t>I12</t>
        </is>
      </c>
      <c r="V567" s="9">
        <f>HYPERLINK("#'"&amp;T567&amp;"'!"&amp;U567,"➜ פתח")</f>
        <v/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7" t="inlineStr">
        <is>
          <t>Fiori</t>
        </is>
      </c>
      <c r="Q568" s="8" t="inlineStr">
        <is>
          <t>Manage Purchase Requisitions (אמת ID)</t>
        </is>
      </c>
      <c r="R568" s="7" t="inlineStr">
        <is>
          <t>דרישת רכש (Purchase Requisition)</t>
        </is>
      </c>
      <c r="S568" s="7" t="inlineStr">
        <is>
          <t>Purchase requisition</t>
        </is>
      </c>
      <c r="T568" s="7" t="inlineStr">
        <is>
          <t>9. אינטגרציית מלאי ורכש (PM-MM)</t>
        </is>
      </c>
      <c r="U568" s="7" t="inlineStr">
        <is>
          <t>N12</t>
        </is>
      </c>
      <c r="V568" s="9">
        <f>HYPERLINK("#'"&amp;T568&amp;"'!"&amp;U568,"➜ פתח")</f>
        <v/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7" t="inlineStr">
        <is>
          <t>טבלה</t>
        </is>
      </c>
      <c r="Q569" s="8" t="inlineStr">
        <is>
          <t>EBKN</t>
        </is>
      </c>
      <c r="R569" s="7" t="inlineStr">
        <is>
          <t>חיוב דרישת רכש (לפק"ע)</t>
        </is>
      </c>
      <c r="S569" s="7" t="inlineStr">
        <is>
          <t>Requisition account assignment</t>
        </is>
      </c>
      <c r="T569" s="7" t="inlineStr">
        <is>
          <t>9. אינטגרציית מלאי ורכש (PM-MM)</t>
        </is>
      </c>
      <c r="U569" s="7" t="inlineStr">
        <is>
          <t>A18</t>
        </is>
      </c>
      <c r="V569" s="9">
        <f>HYPERLINK("#'"&amp;T569&amp;"'!"&amp;U569,"➜ פתח")</f>
        <v/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7" t="inlineStr">
        <is>
          <t>שדה</t>
        </is>
      </c>
      <c r="Q570" s="8" t="inlineStr">
        <is>
          <t>BANFN</t>
        </is>
      </c>
      <c r="R570" s="7" t="inlineStr">
        <is>
          <t>מספר דרישת רכש</t>
        </is>
      </c>
      <c r="S570" s="7" t="inlineStr">
        <is>
          <t>Purchase requisition number</t>
        </is>
      </c>
      <c r="T570" s="7" t="inlineStr">
        <is>
          <t>9. אינטגרציית מלאי ורכש (PM-MM)</t>
        </is>
      </c>
      <c r="U570" s="7" t="inlineStr">
        <is>
          <t>D19</t>
        </is>
      </c>
      <c r="V570" s="9">
        <f>HYPERLINK("#'"&amp;T570&amp;"'!"&amp;U570,"➜ פתח")</f>
        <v/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7" t="inlineStr">
        <is>
          <t>שדה</t>
        </is>
      </c>
      <c r="Q571" s="8" t="inlineStr">
        <is>
          <t>BNFPO</t>
        </is>
      </c>
      <c r="R571" s="7" t="inlineStr">
        <is>
          <t>פריט דרישה</t>
        </is>
      </c>
      <c r="S571" s="7" t="inlineStr">
        <is>
          <t>Requisition item</t>
        </is>
      </c>
      <c r="T571" s="7" t="inlineStr">
        <is>
          <t>9. אינטגרציית מלאי ורכש (PM-MM)</t>
        </is>
      </c>
      <c r="U571" s="7" t="inlineStr">
        <is>
          <t>D20</t>
        </is>
      </c>
      <c r="V571" s="9">
        <f>HYPERLINK("#'"&amp;T571&amp;"'!"&amp;U571,"➜ פתח")</f>
        <v/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7" t="inlineStr">
        <is>
          <t>שדה</t>
        </is>
      </c>
      <c r="Q572" s="8" t="inlineStr">
        <is>
          <t>AUFNR</t>
        </is>
      </c>
      <c r="R572" s="7" t="inlineStr">
        <is>
          <t>פק"ע מחויבת</t>
        </is>
      </c>
      <c r="S572" s="7" t="inlineStr">
        <is>
          <t>Order (account assignment)</t>
        </is>
      </c>
      <c r="T572" s="7" t="inlineStr">
        <is>
          <t>9. אינטגרציית מלאי ורכש (PM-MM)</t>
        </is>
      </c>
      <c r="U572" s="7" t="inlineStr">
        <is>
          <t>D21</t>
        </is>
      </c>
      <c r="V572" s="9">
        <f>HYPERLINK("#'"&amp;T572&amp;"'!"&amp;U572,"➜ פתח")</f>
        <v/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7" t="inlineStr">
        <is>
          <t>שדה</t>
        </is>
      </c>
      <c r="Q573" s="8" t="inlineStr">
        <is>
          <t>KOSTL</t>
        </is>
      </c>
      <c r="R573" s="7" t="inlineStr">
        <is>
          <t>מרכז עלות</t>
        </is>
      </c>
      <c r="S573" s="7" t="inlineStr">
        <is>
          <t>Cost center</t>
        </is>
      </c>
      <c r="T573" s="7" t="inlineStr">
        <is>
          <t>9. אינטגרציית מלאי ורכש (PM-MM)</t>
        </is>
      </c>
      <c r="U573" s="7" t="inlineStr">
        <is>
          <t>D22</t>
        </is>
      </c>
      <c r="V573" s="9">
        <f>HYPERLINK("#'"&amp;T573&amp;"'!"&amp;U573,"➜ פתח")</f>
        <v/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7" t="inlineStr">
        <is>
          <t>שדה</t>
        </is>
      </c>
      <c r="Q574" s="8" t="inlineStr">
        <is>
          <t>SAKTO</t>
        </is>
      </c>
      <c r="R574" s="7" t="inlineStr">
        <is>
          <t>חשבון ראשי</t>
        </is>
      </c>
      <c r="S574" s="7" t="inlineStr">
        <is>
          <t>G/L account</t>
        </is>
      </c>
      <c r="T574" s="7" t="inlineStr">
        <is>
          <t>9. אינטגרציית מלאי ורכש (PM-MM)</t>
        </is>
      </c>
      <c r="U574" s="7" t="inlineStr">
        <is>
          <t>D23</t>
        </is>
      </c>
      <c r="V574" s="9">
        <f>HYPERLINK("#'"&amp;T574&amp;"'!"&amp;U574,"➜ פתח")</f>
        <v/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7" t="inlineStr">
        <is>
          <t>טרנזקציה</t>
        </is>
      </c>
      <c r="Q575" s="8" t="inlineStr">
        <is>
          <t>ME51N</t>
        </is>
      </c>
      <c r="R575" s="7" t="inlineStr">
        <is>
          <t>חיוב דרישת רכש (לפק"ע)</t>
        </is>
      </c>
      <c r="S575" s="7" t="inlineStr">
        <is>
          <t>Requisition account assignment</t>
        </is>
      </c>
      <c r="T575" s="7" t="inlineStr">
        <is>
          <t>9. אינטגרציית מלאי ורכש (PM-MM)</t>
        </is>
      </c>
      <c r="U575" s="7" t="inlineStr">
        <is>
          <t>A19</t>
        </is>
      </c>
      <c r="V575" s="9">
        <f>HYPERLINK("#'"&amp;T575&amp;"'!"&amp;U575,"➜ פתח")</f>
        <v/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7" t="inlineStr">
        <is>
          <t>טרנזקציה</t>
        </is>
      </c>
      <c r="Q576" s="8" t="inlineStr">
        <is>
          <t>ME52N</t>
        </is>
      </c>
      <c r="R576" s="7" t="inlineStr">
        <is>
          <t>חיוב דרישת רכש (לפק"ע)</t>
        </is>
      </c>
      <c r="S576" s="7" t="inlineStr">
        <is>
          <t>Requisition account assignment</t>
        </is>
      </c>
      <c r="T576" s="7" t="inlineStr">
        <is>
          <t>9. אינטגרציית מלאי ורכש (PM-MM)</t>
        </is>
      </c>
      <c r="U576" s="7" t="inlineStr">
        <is>
          <t>A19</t>
        </is>
      </c>
      <c r="V576" s="9">
        <f>HYPERLINK("#'"&amp;T576&amp;"'!"&amp;U576,"➜ פתח")</f>
        <v/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7" t="inlineStr">
        <is>
          <t>פונקציה</t>
        </is>
      </c>
      <c r="Q577" s="8" t="inlineStr">
        <is>
          <t>ACCOUNT_ASSIGNMENT_READ</t>
        </is>
      </c>
      <c r="R577" s="7" t="inlineStr">
        <is>
          <t>קריאת נתוני חיוב לדרישה</t>
        </is>
      </c>
      <c r="S577" s="7" t="inlineStr">
        <is>
          <t>Requisition account assignment</t>
        </is>
      </c>
      <c r="T577" s="7" t="inlineStr">
        <is>
          <t>9. אינטגרציית מלאי ורכש (PM-MM)</t>
        </is>
      </c>
      <c r="U577" s="7" t="inlineStr">
        <is>
          <t>G19</t>
        </is>
      </c>
      <c r="V577" s="9">
        <f>HYPERLINK("#'"&amp;T577&amp;"'!"&amp;U577,"➜ פתח")</f>
        <v/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7" t="inlineStr">
        <is>
          <t>תוכנית</t>
        </is>
      </c>
      <c r="Q578" s="8" t="inlineStr">
        <is>
          <t>RM06BANF</t>
        </is>
      </c>
      <c r="R578" s="7" t="inlineStr">
        <is>
          <t>דוח דרישות רכש מחויבות לפק"ע</t>
        </is>
      </c>
      <c r="S578" s="7" t="inlineStr">
        <is>
          <t>Requisition account assignment</t>
        </is>
      </c>
      <c r="T578" s="7" t="inlineStr">
        <is>
          <t>9. אינטגרציית מלאי ורכש (PM-MM)</t>
        </is>
      </c>
      <c r="U578" s="7" t="inlineStr">
        <is>
          <t>I19</t>
        </is>
      </c>
      <c r="V578" s="9">
        <f>HYPERLINK("#'"&amp;T578&amp;"'!"&amp;U578,"➜ פתח")</f>
        <v/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7" t="inlineStr">
        <is>
          <t>Fiori</t>
        </is>
      </c>
      <c r="Q579" s="8" t="inlineStr">
        <is>
          <t>Manage Purchase Requisitions (אמת ID)</t>
        </is>
      </c>
      <c r="R579" s="7" t="inlineStr">
        <is>
          <t>חיוב דרישת רכש (לפק"ע)</t>
        </is>
      </c>
      <c r="S579" s="7" t="inlineStr">
        <is>
          <t>Requisition account assignment</t>
        </is>
      </c>
      <c r="T579" s="7" t="inlineStr">
        <is>
          <t>9. אינטגרציית מלאי ורכש (PM-MM)</t>
        </is>
      </c>
      <c r="U579" s="7" t="inlineStr">
        <is>
          <t>N19</t>
        </is>
      </c>
      <c r="V579" s="9">
        <f>HYPERLINK("#'"&amp;T579&amp;"'!"&amp;U579,"➜ פתח")</f>
        <v/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7" t="inlineStr">
        <is>
          <t>טבלה</t>
        </is>
      </c>
      <c r="Q580" s="8" t="inlineStr">
        <is>
          <t>MSEG</t>
        </is>
      </c>
      <c r="R580" s="7" t="inlineStr">
        <is>
          <t>פריטי מסמך חומר (תנועות מלאי)</t>
        </is>
      </c>
      <c r="S580" s="7" t="inlineStr">
        <is>
          <t>Material document items</t>
        </is>
      </c>
      <c r="T580" s="7" t="inlineStr">
        <is>
          <t>9. אינטגרציית מלאי ורכש (PM-MM)</t>
        </is>
      </c>
      <c r="U580" s="7" t="inlineStr">
        <is>
          <t>A25</t>
        </is>
      </c>
      <c r="V580" s="9">
        <f>HYPERLINK("#'"&amp;T580&amp;"'!"&amp;U580,"➜ פתח")</f>
        <v/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7" t="inlineStr">
        <is>
          <t>שדה</t>
        </is>
      </c>
      <c r="Q581" s="8" t="inlineStr">
        <is>
          <t>MBLNR</t>
        </is>
      </c>
      <c r="R581" s="7" t="inlineStr">
        <is>
          <t>מספר מסמך חומר</t>
        </is>
      </c>
      <c r="S581" s="7" t="inlineStr">
        <is>
          <t>Material document number</t>
        </is>
      </c>
      <c r="T581" s="7" t="inlineStr">
        <is>
          <t>9. אינטגרציית מלאי ורכש (PM-MM)</t>
        </is>
      </c>
      <c r="U581" s="7" t="inlineStr">
        <is>
          <t>D26</t>
        </is>
      </c>
      <c r="V581" s="9">
        <f>HYPERLINK("#'"&amp;T581&amp;"'!"&amp;U581,"➜ פתח")</f>
        <v/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7" t="inlineStr">
        <is>
          <t>שדה</t>
        </is>
      </c>
      <c r="Q582" s="8" t="inlineStr">
        <is>
          <t>ZEILE</t>
        </is>
      </c>
      <c r="R582" s="7" t="inlineStr">
        <is>
          <t>פריט מסמך</t>
        </is>
      </c>
      <c r="S582" s="7" t="inlineStr">
        <is>
          <t>Material document item</t>
        </is>
      </c>
      <c r="T582" s="7" t="inlineStr">
        <is>
          <t>9. אינטגרציית מלאי ורכש (PM-MM)</t>
        </is>
      </c>
      <c r="U582" s="7" t="inlineStr">
        <is>
          <t>D27</t>
        </is>
      </c>
      <c r="V582" s="9">
        <f>HYPERLINK("#'"&amp;T582&amp;"'!"&amp;U582,"➜ פתח")</f>
        <v/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7" t="inlineStr">
        <is>
          <t>שדה</t>
        </is>
      </c>
      <c r="Q583" s="8" t="inlineStr">
        <is>
          <t>BWART</t>
        </is>
      </c>
      <c r="R583" s="7" t="inlineStr">
        <is>
          <t>סוג תנועה</t>
        </is>
      </c>
      <c r="S583" s="7" t="inlineStr">
        <is>
          <t>Movement type (261/101)</t>
        </is>
      </c>
      <c r="T583" s="7" t="inlineStr">
        <is>
          <t>9. אינטגרציית מלאי ורכש (PM-MM)</t>
        </is>
      </c>
      <c r="U583" s="7" t="inlineStr">
        <is>
          <t>D28</t>
        </is>
      </c>
      <c r="V583" s="9">
        <f>HYPERLINK("#'"&amp;T583&amp;"'!"&amp;U583,"➜ פתח")</f>
        <v/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7" t="inlineStr">
        <is>
          <t>שדה</t>
        </is>
      </c>
      <c r="Q584" s="8" t="inlineStr">
        <is>
          <t>MATNR</t>
        </is>
      </c>
      <c r="R584" s="7" t="inlineStr">
        <is>
          <t>חומר</t>
        </is>
      </c>
      <c r="S584" s="7" t="inlineStr">
        <is>
          <t>Material</t>
        </is>
      </c>
      <c r="T584" s="7" t="inlineStr">
        <is>
          <t>9. אינטגרציית מלאי ורכש (PM-MM)</t>
        </is>
      </c>
      <c r="U584" s="7" t="inlineStr">
        <is>
          <t>D29</t>
        </is>
      </c>
      <c r="V584" s="9">
        <f>HYPERLINK("#'"&amp;T584&amp;"'!"&amp;U584,"➜ פתח")</f>
        <v/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7" t="inlineStr">
        <is>
          <t>שדה</t>
        </is>
      </c>
      <c r="Q585" s="8" t="inlineStr">
        <is>
          <t>MENGE</t>
        </is>
      </c>
      <c r="R585" s="7" t="inlineStr">
        <is>
          <t>כמות</t>
        </is>
      </c>
      <c r="S585" s="7" t="inlineStr">
        <is>
          <t>Quantity</t>
        </is>
      </c>
      <c r="T585" s="7" t="inlineStr">
        <is>
          <t>9. אינטגרציית מלאי ורכש (PM-MM)</t>
        </is>
      </c>
      <c r="U585" s="7" t="inlineStr">
        <is>
          <t>D30</t>
        </is>
      </c>
      <c r="V585" s="9">
        <f>HYPERLINK("#'"&amp;T585&amp;"'!"&amp;U585,"➜ פתח")</f>
        <v/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7" t="inlineStr">
        <is>
          <t>שדה</t>
        </is>
      </c>
      <c r="Q586" s="8" t="inlineStr">
        <is>
          <t>AUFNR</t>
        </is>
      </c>
      <c r="R586" s="7" t="inlineStr">
        <is>
          <t>פק"ע מחויבת</t>
        </is>
      </c>
      <c r="S586" s="7" t="inlineStr">
        <is>
          <t>Order (account assignment)</t>
        </is>
      </c>
      <c r="T586" s="7" t="inlineStr">
        <is>
          <t>9. אינטגרציית מלאי ורכש (PM-MM)</t>
        </is>
      </c>
      <c r="U586" s="7" t="inlineStr">
        <is>
          <t>D31</t>
        </is>
      </c>
      <c r="V586" s="9">
        <f>HYPERLINK("#'"&amp;T586&amp;"'!"&amp;U586,"➜ פתח")</f>
        <v/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7" t="inlineStr">
        <is>
          <t>טרנזקציה</t>
        </is>
      </c>
      <c r="Q587" s="8" t="inlineStr">
        <is>
          <t>MIGO</t>
        </is>
      </c>
      <c r="R587" s="7" t="inlineStr">
        <is>
          <t>פריטי מסמך חומר (תנועות מלאי)</t>
        </is>
      </c>
      <c r="S587" s="7" t="inlineStr">
        <is>
          <t>Material document items</t>
        </is>
      </c>
      <c r="T587" s="7" t="inlineStr">
        <is>
          <t>9. אינטגרציית מלאי ורכש (PM-MM)</t>
        </is>
      </c>
      <c r="U587" s="7" t="inlineStr">
        <is>
          <t>A26</t>
        </is>
      </c>
      <c r="V587" s="9">
        <f>HYPERLINK("#'"&amp;T587&amp;"'!"&amp;U587,"➜ פתח")</f>
        <v/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7" t="inlineStr">
        <is>
          <t>טרנזקציה</t>
        </is>
      </c>
      <c r="Q588" s="8" t="inlineStr">
        <is>
          <t>MB1A</t>
        </is>
      </c>
      <c r="R588" s="7" t="inlineStr">
        <is>
          <t>פריטי מסמך חומר (תנועות מלאי)</t>
        </is>
      </c>
      <c r="S588" s="7" t="inlineStr">
        <is>
          <t>Material document items</t>
        </is>
      </c>
      <c r="T588" s="7" t="inlineStr">
        <is>
          <t>9. אינטגרציית מלאי ורכש (PM-MM)</t>
        </is>
      </c>
      <c r="U588" s="7" t="inlineStr">
        <is>
          <t>A26</t>
        </is>
      </c>
      <c r="V588" s="9">
        <f>HYPERLINK("#'"&amp;T588&amp;"'!"&amp;U588,"➜ פתח")</f>
        <v/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7" t="inlineStr">
        <is>
          <t>טרנזקציה</t>
        </is>
      </c>
      <c r="Q589" s="8" t="inlineStr">
        <is>
          <t>MB31</t>
        </is>
      </c>
      <c r="R589" s="7" t="inlineStr">
        <is>
          <t>פריטי מסמך חומר (תנועות מלאי)</t>
        </is>
      </c>
      <c r="S589" s="7" t="inlineStr">
        <is>
          <t>Material document items</t>
        </is>
      </c>
      <c r="T589" s="7" t="inlineStr">
        <is>
          <t>9. אינטגרציית מלאי ורכש (PM-MM)</t>
        </is>
      </c>
      <c r="U589" s="7" t="inlineStr">
        <is>
          <t>A26</t>
        </is>
      </c>
      <c r="V589" s="9">
        <f>HYPERLINK("#'"&amp;T589&amp;"'!"&amp;U589,"➜ פתח")</f>
        <v/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7" t="inlineStr">
        <is>
          <t>טרנזקציה</t>
        </is>
      </c>
      <c r="Q590" s="8" t="inlineStr">
        <is>
          <t>MB1C</t>
        </is>
      </c>
      <c r="R590" s="7" t="inlineStr">
        <is>
          <t>פריטי מסמך חומר (תנועות מלאי)</t>
        </is>
      </c>
      <c r="S590" s="7" t="inlineStr">
        <is>
          <t>Material document items</t>
        </is>
      </c>
      <c r="T590" s="7" t="inlineStr">
        <is>
          <t>9. אינטגרציית מלאי ורכש (PM-MM)</t>
        </is>
      </c>
      <c r="U590" s="7" t="inlineStr">
        <is>
          <t>A26</t>
        </is>
      </c>
      <c r="V590" s="9">
        <f>HYPERLINK("#'"&amp;T590&amp;"'!"&amp;U590,"➜ פתח")</f>
        <v/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7" t="inlineStr">
        <is>
          <t>פונקציה</t>
        </is>
      </c>
      <c r="Q591" s="8" t="inlineStr">
        <is>
          <t>BAPI_GOODSMVT_CREATE</t>
        </is>
      </c>
      <c r="R591" s="7" t="inlineStr">
        <is>
          <t>רישום תנועת מלאי</t>
        </is>
      </c>
      <c r="S591" s="7" t="inlineStr">
        <is>
          <t>Material document items</t>
        </is>
      </c>
      <c r="T591" s="7" t="inlineStr">
        <is>
          <t>9. אינטגרציית מלאי ורכש (PM-MM)</t>
        </is>
      </c>
      <c r="U591" s="7" t="inlineStr">
        <is>
          <t>G26</t>
        </is>
      </c>
      <c r="V591" s="9">
        <f>HYPERLINK("#'"&amp;T591&amp;"'!"&amp;U591,"➜ פתח")</f>
        <v/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7" t="inlineStr">
        <is>
          <t>פונקציה</t>
        </is>
      </c>
      <c r="Q592" s="8" t="inlineStr">
        <is>
          <t>BAPI_GOODSMVT_GETITEMS</t>
        </is>
      </c>
      <c r="R592" s="7" t="inlineStr">
        <is>
          <t>שליפת פריטי תנועה</t>
        </is>
      </c>
      <c r="S592" s="7" t="inlineStr">
        <is>
          <t>Material document items</t>
        </is>
      </c>
      <c r="T592" s="7" t="inlineStr">
        <is>
          <t>9. אינטגרציית מלאי ורכש (PM-MM)</t>
        </is>
      </c>
      <c r="U592" s="7" t="inlineStr">
        <is>
          <t>G26</t>
        </is>
      </c>
      <c r="V592" s="9">
        <f>HYPERLINK("#'"&amp;T592&amp;"'!"&amp;U592,"➜ פתח")</f>
        <v/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7" t="inlineStr">
        <is>
          <t>תוכנית</t>
        </is>
      </c>
      <c r="Q593" s="8" t="inlineStr">
        <is>
          <t>RM07DOCS</t>
        </is>
      </c>
      <c r="R593" s="7" t="inlineStr">
        <is>
          <t>דוח מסמכי חומר לפי פק"ע/תנועה</t>
        </is>
      </c>
      <c r="S593" s="7" t="inlineStr">
        <is>
          <t>Material document items</t>
        </is>
      </c>
      <c r="T593" s="7" t="inlineStr">
        <is>
          <t>9. אינטגרציית מלאי ורכש (PM-MM)</t>
        </is>
      </c>
      <c r="U593" s="7" t="inlineStr">
        <is>
          <t>I26</t>
        </is>
      </c>
      <c r="V593" s="9">
        <f>HYPERLINK("#'"&amp;T593&amp;"'!"&amp;U593,"➜ פתח")</f>
        <v/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7" t="inlineStr">
        <is>
          <t>Fiori</t>
        </is>
      </c>
      <c r="Q594" s="8" t="inlineStr">
        <is>
          <t>Post Goods Movement (אמת ID)</t>
        </is>
      </c>
      <c r="R594" s="7" t="inlineStr">
        <is>
          <t>פריטי מסמך חומר (תנועות מלאי)</t>
        </is>
      </c>
      <c r="S594" s="7" t="inlineStr">
        <is>
          <t>Material document items</t>
        </is>
      </c>
      <c r="T594" s="7" t="inlineStr">
        <is>
          <t>9. אינטגרציית מלאי ורכש (PM-MM)</t>
        </is>
      </c>
      <c r="U594" s="7" t="inlineStr">
        <is>
          <t>N26</t>
        </is>
      </c>
      <c r="V594" s="9">
        <f>HYPERLINK("#'"&amp;T594&amp;"'!"&amp;U594,"➜ פתח")</f>
        <v/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7" t="inlineStr">
        <is>
          <t>טבלה</t>
        </is>
      </c>
      <c r="Q595" s="8" t="inlineStr">
        <is>
          <t>MKPF</t>
        </is>
      </c>
      <c r="R595" s="7" t="inlineStr">
        <is>
          <t>כותרת מסמך חומר</t>
        </is>
      </c>
      <c r="S595" s="7" t="inlineStr">
        <is>
          <t>Material document header</t>
        </is>
      </c>
      <c r="T595" s="7" t="inlineStr">
        <is>
          <t>9. אינטגרציית מלאי ורכש (PM-MM)</t>
        </is>
      </c>
      <c r="U595" s="7" t="inlineStr">
        <is>
          <t>A33</t>
        </is>
      </c>
      <c r="V595" s="9">
        <f>HYPERLINK("#'"&amp;T595&amp;"'!"&amp;U595,"➜ פתח")</f>
        <v/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7" t="inlineStr">
        <is>
          <t>שדה</t>
        </is>
      </c>
      <c r="Q596" s="8" t="inlineStr">
        <is>
          <t>MBLNR</t>
        </is>
      </c>
      <c r="R596" s="7" t="inlineStr">
        <is>
          <t>מספר מסמך חומר</t>
        </is>
      </c>
      <c r="S596" s="7" t="inlineStr">
        <is>
          <t>Material document number</t>
        </is>
      </c>
      <c r="T596" s="7" t="inlineStr">
        <is>
          <t>9. אינטגרציית מלאי ורכש (PM-MM)</t>
        </is>
      </c>
      <c r="U596" s="7" t="inlineStr">
        <is>
          <t>D34</t>
        </is>
      </c>
      <c r="V596" s="9">
        <f>HYPERLINK("#'"&amp;T596&amp;"'!"&amp;U596,"➜ פתח")</f>
        <v/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7" t="inlineStr">
        <is>
          <t>שדה</t>
        </is>
      </c>
      <c r="Q597" s="8" t="inlineStr">
        <is>
          <t>MJAHR</t>
        </is>
      </c>
      <c r="R597" s="7" t="inlineStr">
        <is>
          <t>שנת מסמך</t>
        </is>
      </c>
      <c r="S597" s="7" t="inlineStr">
        <is>
          <t>Material document year</t>
        </is>
      </c>
      <c r="T597" s="7" t="inlineStr">
        <is>
          <t>9. אינטגרציית מלאי ורכש (PM-MM)</t>
        </is>
      </c>
      <c r="U597" s="7" t="inlineStr">
        <is>
          <t>D35</t>
        </is>
      </c>
      <c r="V597" s="9">
        <f>HYPERLINK("#'"&amp;T597&amp;"'!"&amp;U597,"➜ פתח")</f>
        <v/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7" t="inlineStr">
        <is>
          <t>שדה</t>
        </is>
      </c>
      <c r="Q598" s="8" t="inlineStr">
        <is>
          <t>BLDAT</t>
        </is>
      </c>
      <c r="R598" s="7" t="inlineStr">
        <is>
          <t>תאריך מסמך</t>
        </is>
      </c>
      <c r="S598" s="7" t="inlineStr">
        <is>
          <t>Document date</t>
        </is>
      </c>
      <c r="T598" s="7" t="inlineStr">
        <is>
          <t>9. אינטגרציית מלאי ורכש (PM-MM)</t>
        </is>
      </c>
      <c r="U598" s="7" t="inlineStr">
        <is>
          <t>D36</t>
        </is>
      </c>
      <c r="V598" s="9">
        <f>HYPERLINK("#'"&amp;T598&amp;"'!"&amp;U598,"➜ פתח")</f>
        <v/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7" t="inlineStr">
        <is>
          <t>שדה</t>
        </is>
      </c>
      <c r="Q599" s="8" t="inlineStr">
        <is>
          <t>BUDAT</t>
        </is>
      </c>
      <c r="R599" s="7" t="inlineStr">
        <is>
          <t>תאריך רישום</t>
        </is>
      </c>
      <c r="S599" s="7" t="inlineStr">
        <is>
          <t>Posting date</t>
        </is>
      </c>
      <c r="T599" s="7" t="inlineStr">
        <is>
          <t>9. אינטגרציית מלאי ורכש (PM-MM)</t>
        </is>
      </c>
      <c r="U599" s="7" t="inlineStr">
        <is>
          <t>D37</t>
        </is>
      </c>
      <c r="V599" s="9">
        <f>HYPERLINK("#'"&amp;T599&amp;"'!"&amp;U599,"➜ פתח")</f>
        <v/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7" t="inlineStr">
        <is>
          <t>שדה</t>
        </is>
      </c>
      <c r="Q600" s="8" t="inlineStr">
        <is>
          <t>USNAM</t>
        </is>
      </c>
      <c r="R600" s="7" t="inlineStr">
        <is>
          <t>משתמש</t>
        </is>
      </c>
      <c r="S600" s="7" t="inlineStr">
        <is>
          <t>User name</t>
        </is>
      </c>
      <c r="T600" s="7" t="inlineStr">
        <is>
          <t>9. אינטגרציית מלאי ורכש (PM-MM)</t>
        </is>
      </c>
      <c r="U600" s="7" t="inlineStr">
        <is>
          <t>D38</t>
        </is>
      </c>
      <c r="V600" s="9">
        <f>HYPERLINK("#'"&amp;T600&amp;"'!"&amp;U600,"➜ פתח")</f>
        <v/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7" t="inlineStr">
        <is>
          <t>טרנזקציה</t>
        </is>
      </c>
      <c r="Q601" s="8" t="inlineStr">
        <is>
          <t>MIGO</t>
        </is>
      </c>
      <c r="R601" s="7" t="inlineStr">
        <is>
          <t>כותרת מסמך חומר</t>
        </is>
      </c>
      <c r="S601" s="7" t="inlineStr">
        <is>
          <t>Material document header</t>
        </is>
      </c>
      <c r="T601" s="7" t="inlineStr">
        <is>
          <t>9. אינטגרציית מלאי ורכש (PM-MM)</t>
        </is>
      </c>
      <c r="U601" s="7" t="inlineStr">
        <is>
          <t>A34</t>
        </is>
      </c>
      <c r="V601" s="9">
        <f>HYPERLINK("#'"&amp;T601&amp;"'!"&amp;U601,"➜ פתח")</f>
        <v/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7" t="inlineStr">
        <is>
          <t>טרנזקציה</t>
        </is>
      </c>
      <c r="Q602" s="8" t="inlineStr">
        <is>
          <t>MB1A</t>
        </is>
      </c>
      <c r="R602" s="7" t="inlineStr">
        <is>
          <t>כותרת מסמך חומר</t>
        </is>
      </c>
      <c r="S602" s="7" t="inlineStr">
        <is>
          <t>Material document header</t>
        </is>
      </c>
      <c r="T602" s="7" t="inlineStr">
        <is>
          <t>9. אינטגרציית מלאי ורכש (PM-MM)</t>
        </is>
      </c>
      <c r="U602" s="7" t="inlineStr">
        <is>
          <t>A34</t>
        </is>
      </c>
      <c r="V602" s="9">
        <f>HYPERLINK("#'"&amp;T602&amp;"'!"&amp;U602,"➜ פתח")</f>
        <v/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7" t="inlineStr">
        <is>
          <t>פונקציה</t>
        </is>
      </c>
      <c r="Q603" s="8" t="inlineStr">
        <is>
          <t>BAPI_GOODSMVT_GETDETAIL</t>
        </is>
      </c>
      <c r="R603" s="7" t="inlineStr">
        <is>
          <t>שליפת פרטי מסמך חומר</t>
        </is>
      </c>
      <c r="S603" s="7" t="inlineStr">
        <is>
          <t>Material document header</t>
        </is>
      </c>
      <c r="T603" s="7" t="inlineStr">
        <is>
          <t>9. אינטגרציית מלאי ורכש (PM-MM)</t>
        </is>
      </c>
      <c r="U603" s="7" t="inlineStr">
        <is>
          <t>G34</t>
        </is>
      </c>
      <c r="V603" s="9">
        <f>HYPERLINK("#'"&amp;T603&amp;"'!"&amp;U603,"➜ פתח")</f>
        <v/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7" t="inlineStr">
        <is>
          <t>תוכנית</t>
        </is>
      </c>
      <c r="Q604" s="8" t="inlineStr">
        <is>
          <t>RM07DOCS</t>
        </is>
      </c>
      <c r="R604" s="7" t="inlineStr">
        <is>
          <t>דוח מסמכי חומר</t>
        </is>
      </c>
      <c r="S604" s="7" t="inlineStr">
        <is>
          <t>Material document header</t>
        </is>
      </c>
      <c r="T604" s="7" t="inlineStr">
        <is>
          <t>9. אינטגרציית מלאי ורכש (PM-MM)</t>
        </is>
      </c>
      <c r="U604" s="7" t="inlineStr">
        <is>
          <t>I34</t>
        </is>
      </c>
      <c r="V604" s="9">
        <f>HYPERLINK("#'"&amp;T604&amp;"'!"&amp;U604,"➜ פתח")</f>
        <v/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7" t="inlineStr">
        <is>
          <t>Fiori</t>
        </is>
      </c>
      <c r="Q605" s="8" t="inlineStr">
        <is>
          <t>Post Goods Movement (אמת ID)</t>
        </is>
      </c>
      <c r="R605" s="7" t="inlineStr">
        <is>
          <t>כותרת מסמך חומר</t>
        </is>
      </c>
      <c r="S605" s="7" t="inlineStr">
        <is>
          <t>Material document header</t>
        </is>
      </c>
      <c r="T605" s="7" t="inlineStr">
        <is>
          <t>9. אינטגרציית מלאי ורכש (PM-MM)</t>
        </is>
      </c>
      <c r="U605" s="7" t="inlineStr">
        <is>
          <t>N34</t>
        </is>
      </c>
      <c r="V605" s="9">
        <f>HYPERLINK("#'"&amp;T605&amp;"'!"&amp;U605,"➜ פתח")</f>
        <v/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7" t="inlineStr">
        <is>
          <t>טבלה</t>
        </is>
      </c>
      <c r="Q606" s="8" t="inlineStr">
        <is>
          <t>BUT000</t>
        </is>
      </c>
      <c r="R606" s="7" t="inlineStr">
        <is>
          <t>רשומת אב שותף עסקי (BP - השפעת מעבר על תפקידי PM)</t>
        </is>
      </c>
      <c r="S606" s="7" t="inlineStr">
        <is>
          <t>Business Partner general data (S/4 transition impact on PM)</t>
        </is>
      </c>
      <c r="T606" s="7" t="inlineStr">
        <is>
          <t>9. אינטגרציית מלאי ורכש (PM-MM)</t>
        </is>
      </c>
      <c r="U606" s="7" t="inlineStr">
        <is>
          <t>A40</t>
        </is>
      </c>
      <c r="V606" s="9">
        <f>HYPERLINK("#'"&amp;T606&amp;"'!"&amp;U606,"➜ פתח")</f>
        <v/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7" t="inlineStr">
        <is>
          <t>שדה</t>
        </is>
      </c>
      <c r="Q607" s="8" t="inlineStr">
        <is>
          <t>PARTNER</t>
        </is>
      </c>
      <c r="R607" s="7" t="inlineStr">
        <is>
          <t>מספר שותף עסקי</t>
        </is>
      </c>
      <c r="S607" s="7" t="inlineStr">
        <is>
          <t>Business partner number</t>
        </is>
      </c>
      <c r="T607" s="7" t="inlineStr">
        <is>
          <t>9. אינטגרציית מלאי ורכש (PM-MM)</t>
        </is>
      </c>
      <c r="U607" s="7" t="inlineStr">
        <is>
          <t>D41</t>
        </is>
      </c>
      <c r="V607" s="9">
        <f>HYPERLINK("#'"&amp;T607&amp;"'!"&amp;U607,"➜ פתח")</f>
        <v/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7" t="inlineStr">
        <is>
          <t>שדה</t>
        </is>
      </c>
      <c r="Q608" s="8" t="inlineStr">
        <is>
          <t>TYPE</t>
        </is>
      </c>
      <c r="R608" s="7" t="inlineStr">
        <is>
          <t>קטגוריית שותף</t>
        </is>
      </c>
      <c r="S608" s="7" t="inlineStr">
        <is>
          <t>BP category (1=person/2=org/3=group)</t>
        </is>
      </c>
      <c r="T608" s="7" t="inlineStr">
        <is>
          <t>9. אינטגרציית מלאי ורכש (PM-MM)</t>
        </is>
      </c>
      <c r="U608" s="7" t="inlineStr">
        <is>
          <t>D42</t>
        </is>
      </c>
      <c r="V608" s="9">
        <f>HYPERLINK("#'"&amp;T608&amp;"'!"&amp;U608,"➜ פתח")</f>
        <v/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7" t="inlineStr">
        <is>
          <t>שדה</t>
        </is>
      </c>
      <c r="Q609" s="8" t="inlineStr">
        <is>
          <t>BU_GROUP</t>
        </is>
      </c>
      <c r="R609" s="7" t="inlineStr">
        <is>
          <t>קבוצת שותף</t>
        </is>
      </c>
      <c r="S609" s="7" t="inlineStr">
        <is>
          <t>BP grouping (number range)</t>
        </is>
      </c>
      <c r="T609" s="7" t="inlineStr">
        <is>
          <t>9. אינטגרציית מלאי ורכש (PM-MM)</t>
        </is>
      </c>
      <c r="U609" s="7" t="inlineStr">
        <is>
          <t>D43</t>
        </is>
      </c>
      <c r="V609" s="9">
        <f>HYPERLINK("#'"&amp;T609&amp;"'!"&amp;U609,"➜ פתח")</f>
        <v/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7" t="inlineStr">
        <is>
          <t>שדה</t>
        </is>
      </c>
      <c r="Q610" s="8" t="inlineStr">
        <is>
          <t>BPKIND</t>
        </is>
      </c>
      <c r="R610" s="7" t="inlineStr">
        <is>
          <t>סוג שותף</t>
        </is>
      </c>
      <c r="S610" s="7" t="inlineStr">
        <is>
          <t>BP type</t>
        </is>
      </c>
      <c r="T610" s="7" t="inlineStr">
        <is>
          <t>9. אינטגרציית מלאי ורכש (PM-MM)</t>
        </is>
      </c>
      <c r="U610" s="7" t="inlineStr">
        <is>
          <t>D44</t>
        </is>
      </c>
      <c r="V610" s="9">
        <f>HYPERLINK("#'"&amp;T610&amp;"'!"&amp;U610,"➜ פתח")</f>
        <v/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7" t="inlineStr">
        <is>
          <t>שדה</t>
        </is>
      </c>
      <c r="Q611" s="8" t="inlineStr">
        <is>
          <t>NAME_ORG1</t>
        </is>
      </c>
      <c r="R611" s="7" t="inlineStr">
        <is>
          <t>שם הארגון</t>
        </is>
      </c>
      <c r="S611" s="7" t="inlineStr">
        <is>
          <t>Organization name</t>
        </is>
      </c>
      <c r="T611" s="7" t="inlineStr">
        <is>
          <t>9. אינטגרציית מלאי ורכש (PM-MM)</t>
        </is>
      </c>
      <c r="U611" s="7" t="inlineStr">
        <is>
          <t>D45</t>
        </is>
      </c>
      <c r="V611" s="9">
        <f>HYPERLINK("#'"&amp;T611&amp;"'!"&amp;U611,"➜ פתח")</f>
        <v/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7" t="inlineStr">
        <is>
          <t>טרנזקציה</t>
        </is>
      </c>
      <c r="Q612" s="8" t="inlineStr">
        <is>
          <t>BP</t>
        </is>
      </c>
      <c r="R612" s="7" t="inlineStr">
        <is>
          <t>רשומת אב שותף עסקי (BP - השפעת מעבר על תפקידי PM)</t>
        </is>
      </c>
      <c r="S612" s="7" t="inlineStr">
        <is>
          <t>Business Partner general data (S/4 transition impact on PM)</t>
        </is>
      </c>
      <c r="T612" s="7" t="inlineStr">
        <is>
          <t>9. אינטגרציית מלאי ורכש (PM-MM)</t>
        </is>
      </c>
      <c r="U612" s="7" t="inlineStr">
        <is>
          <t>A41</t>
        </is>
      </c>
      <c r="V612" s="9">
        <f>HYPERLINK("#'"&amp;T612&amp;"'!"&amp;U612,"➜ פתח")</f>
        <v/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7" t="inlineStr">
        <is>
          <t>טרנזקציה</t>
        </is>
      </c>
      <c r="Q613" s="8" t="inlineStr">
        <is>
          <t>(ECC: XK01</t>
        </is>
      </c>
      <c r="R613" s="7" t="inlineStr">
        <is>
          <t>רשומת אב שותף עסקי (BP - השפעת מעבר על תפקידי PM)</t>
        </is>
      </c>
      <c r="S613" s="7" t="inlineStr">
        <is>
          <t>Business Partner general data (S/4 transition impact on PM)</t>
        </is>
      </c>
      <c r="T613" s="7" t="inlineStr">
        <is>
          <t>9. אינטגרציית מלאי ורכש (PM-MM)</t>
        </is>
      </c>
      <c r="U613" s="7" t="inlineStr">
        <is>
          <t>A41</t>
        </is>
      </c>
      <c r="V613" s="9">
        <f>HYPERLINK("#'"&amp;T613&amp;"'!"&amp;U613,"➜ פתח")</f>
        <v/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7" t="inlineStr">
        <is>
          <t>טרנזקציה</t>
        </is>
      </c>
      <c r="Q614" s="8" t="inlineStr">
        <is>
          <t>MK01 לספקים)</t>
        </is>
      </c>
      <c r="R614" s="7" t="inlineStr">
        <is>
          <t>רשומת אב שותף עסקי (BP - השפעת מעבר על תפקידי PM)</t>
        </is>
      </c>
      <c r="S614" s="7" t="inlineStr">
        <is>
          <t>Business Partner general data (S/4 transition impact on PM)</t>
        </is>
      </c>
      <c r="T614" s="7" t="inlineStr">
        <is>
          <t>9. אינטגרציית מלאי ורכש (PM-MM)</t>
        </is>
      </c>
      <c r="U614" s="7" t="inlineStr">
        <is>
          <t>A41</t>
        </is>
      </c>
      <c r="V614" s="9">
        <f>HYPERLINK("#'"&amp;T614&amp;"'!"&amp;U614,"➜ פתח")</f>
        <v/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7" t="inlineStr">
        <is>
          <t>פונקציה</t>
        </is>
      </c>
      <c r="Q615" s="8" t="inlineStr">
        <is>
          <t>BAPI_BUPA_CREATE_FROM_DATA</t>
        </is>
      </c>
      <c r="R615" s="7" t="inlineStr">
        <is>
          <t>יצירת שותף עסקי</t>
        </is>
      </c>
      <c r="S615" s="7" t="inlineStr">
        <is>
          <t>Business Partner general data (S/4 transition impact on PM)</t>
        </is>
      </c>
      <c r="T615" s="7" t="inlineStr">
        <is>
          <t>9. אינטגרציית מלאי ורכש (PM-MM)</t>
        </is>
      </c>
      <c r="U615" s="7" t="inlineStr">
        <is>
          <t>G41</t>
        </is>
      </c>
      <c r="V615" s="9">
        <f>HYPERLINK("#'"&amp;T615&amp;"'!"&amp;U615,"➜ פתח")</f>
        <v/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7" t="inlineStr">
        <is>
          <t>פונקציה</t>
        </is>
      </c>
      <c r="Q616" s="8" t="inlineStr">
        <is>
          <t>CVI_VENDOR_TO_BP_CONVERT</t>
        </is>
      </c>
      <c r="R616" s="7" t="inlineStr">
        <is>
          <t>המרת ספק ל-BP (CVI)</t>
        </is>
      </c>
      <c r="S616" s="7" t="inlineStr">
        <is>
          <t>Business Partner general data (S/4 transition impact on PM)</t>
        </is>
      </c>
      <c r="T616" s="7" t="inlineStr">
        <is>
          <t>9. אינטגרציית מלאי ורכש (PM-MM)</t>
        </is>
      </c>
      <c r="U616" s="7" t="inlineStr">
        <is>
          <t>G41</t>
        </is>
      </c>
      <c r="V616" s="9">
        <f>HYPERLINK("#'"&amp;T616&amp;"'!"&amp;U616,"➜ פתח")</f>
        <v/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7" t="inlineStr">
        <is>
          <t>תוכנית</t>
        </is>
      </c>
      <c r="Q617" s="8" t="inlineStr">
        <is>
          <t>MDS_LOAD_COCKPIT</t>
        </is>
      </c>
      <c r="R617" s="7" t="inlineStr">
        <is>
          <t>סנכרון Customer/Vendor Integration ל-BP</t>
        </is>
      </c>
      <c r="S617" s="7" t="inlineStr">
        <is>
          <t>Business Partner general data (S/4 transition impact on PM)</t>
        </is>
      </c>
      <c r="T617" s="7" t="inlineStr">
        <is>
          <t>9. אינטגרציית מלאי ורכש (PM-MM)</t>
        </is>
      </c>
      <c r="U617" s="7" t="inlineStr">
        <is>
          <t>I41</t>
        </is>
      </c>
      <c r="V617" s="9">
        <f>HYPERLINK("#'"&amp;T617&amp;"'!"&amp;U617,"➜ פתח")</f>
        <v/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7" t="inlineStr">
        <is>
          <t>Fiori</t>
        </is>
      </c>
      <c r="Q618" s="8" t="inlineStr">
        <is>
          <t>Manage Business Partner Master Data (אמת ID)</t>
        </is>
      </c>
      <c r="R618" s="7" t="inlineStr">
        <is>
          <t>רשומת אב שותף עסקי (BP - השפעת מעבר על תפקידי PM)</t>
        </is>
      </c>
      <c r="S618" s="7" t="inlineStr">
        <is>
          <t>Business Partner general data (S/4 transition impact on PM)</t>
        </is>
      </c>
      <c r="T618" s="7" t="inlineStr">
        <is>
          <t>9. אינטגרציית מלאי ורכש (PM-MM)</t>
        </is>
      </c>
      <c r="U618" s="7" t="inlineStr">
        <is>
          <t>N41</t>
        </is>
      </c>
      <c r="V618" s="9">
        <f>HYPERLINK("#'"&amp;T618&amp;"'!"&amp;U618,"➜ פתח")</f>
        <v/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7" t="inlineStr">
        <is>
          <t>User Exit</t>
        </is>
      </c>
      <c r="Q619" s="8" t="inlineStr">
        <is>
          <t>MB_CF001</t>
        </is>
      </c>
      <c r="R619" s="7" t="inlineStr">
        <is>
          <t>Customer Function לתנועות מלאי (Goods Movement)</t>
        </is>
      </c>
      <c r="S619" s="7" t="inlineStr"/>
      <c r="T619" s="7" t="inlineStr">
        <is>
          <t>9. אינטגרציית מלאי ורכש (PM-MM)</t>
        </is>
      </c>
      <c r="U619" s="7" t="inlineStr">
        <is>
          <t>A50</t>
        </is>
      </c>
      <c r="V619" s="9">
        <f>HYPERLINK("#'"&amp;T619&amp;"'!"&amp;U619,"➜ פתח")</f>
        <v/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7" t="inlineStr">
        <is>
          <t>User Exit</t>
        </is>
      </c>
      <c r="Q620" s="8" t="inlineStr">
        <is>
          <t>M06B0001</t>
        </is>
      </c>
      <c r="R620" s="7" t="inlineStr">
        <is>
          <t>הרחבת בדיקות בדרישות רכש (PR)</t>
        </is>
      </c>
      <c r="S620" s="7" t="inlineStr"/>
      <c r="T620" s="7" t="inlineStr">
        <is>
          <t>9. אינטגרציית מלאי ורכש (PM-MM)</t>
        </is>
      </c>
      <c r="U620" s="7" t="inlineStr">
        <is>
          <t>A51</t>
        </is>
      </c>
      <c r="V620" s="9">
        <f>HYPERLINK("#'"&amp;T620&amp;"'!"&amp;U620,"➜ פתח")</f>
        <v/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7" t="inlineStr">
        <is>
          <t>User Exit</t>
        </is>
      </c>
      <c r="Q621" s="8" t="inlineStr">
        <is>
          <t>MEREQ001</t>
        </is>
      </c>
      <c r="R621" s="7" t="inlineStr">
        <is>
          <t>הרחבת לקוח לדרישות רכש (חיוב/שדות)</t>
        </is>
      </c>
      <c r="S621" s="7" t="inlineStr"/>
      <c r="T621" s="7" t="inlineStr">
        <is>
          <t>9. אינטגרציית מלאי ורכש (PM-MM)</t>
        </is>
      </c>
      <c r="U621" s="7" t="inlineStr">
        <is>
          <t>A52</t>
        </is>
      </c>
      <c r="V621" s="9">
        <f>HYPERLINK("#'"&amp;T621&amp;"'!"&amp;U621,"➜ פתח")</f>
        <v/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7" t="inlineStr">
        <is>
          <t>BAdI</t>
        </is>
      </c>
      <c r="Q622" s="8" t="inlineStr">
        <is>
          <t>MB_DOCUMENT_BADI</t>
        </is>
      </c>
      <c r="R622" s="7" t="inlineStr">
        <is>
          <t>BAdI למסמך חומר (בדיקות/הרחבה בתנועת מלאי)</t>
        </is>
      </c>
      <c r="S622" s="7" t="inlineStr"/>
      <c r="T622" s="7" t="inlineStr">
        <is>
          <t>9. אינטגרציית מלאי ורכש (PM-MM)</t>
        </is>
      </c>
      <c r="U622" s="7" t="inlineStr">
        <is>
          <t>A53</t>
        </is>
      </c>
      <c r="V622" s="9">
        <f>HYPERLINK("#'"&amp;T622&amp;"'!"&amp;U622,"➜ פתח")</f>
        <v/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7" t="inlineStr">
        <is>
          <t>BAdI</t>
        </is>
      </c>
      <c r="Q623" s="8" t="inlineStr">
        <is>
          <t>ME_PROCESS_REQ_CUST</t>
        </is>
      </c>
      <c r="R623" s="7" t="inlineStr">
        <is>
          <t>BAdI לעיבוד דרישת רכש</t>
        </is>
      </c>
      <c r="S623" s="7" t="inlineStr"/>
      <c r="T623" s="7" t="inlineStr">
        <is>
          <t>9. אינטגרציית מלאי ורכש (PM-MM)</t>
        </is>
      </c>
      <c r="U623" s="7" t="inlineStr">
        <is>
          <t>A54</t>
        </is>
      </c>
      <c r="V623" s="9">
        <f>HYPERLINK("#'"&amp;T623&amp;"'!"&amp;U623,"➜ פתח")</f>
        <v/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7" t="inlineStr">
        <is>
          <t>טבלה</t>
        </is>
      </c>
      <c r="Q624" s="8" t="inlineStr">
        <is>
          <t>COSP</t>
        </is>
      </c>
      <c r="R624" s="7" t="inlineStr">
        <is>
          <t>סך עלויות חיצוניות (Primary)</t>
        </is>
      </c>
      <c r="S624" s="7" t="inlineStr">
        <is>
          <t>CO object cost totals - external postings</t>
        </is>
      </c>
      <c r="T624" s="7" t="inlineStr">
        <is>
          <t>10. עלויות והתחשבנות (PM-CO)</t>
        </is>
      </c>
      <c r="U624" s="7" t="inlineStr">
        <is>
          <t>A3</t>
        </is>
      </c>
      <c r="V624" s="9">
        <f>HYPERLINK("#'"&amp;T624&amp;"'!"&amp;U624,"➜ פתח")</f>
        <v/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7" t="inlineStr">
        <is>
          <t>שדה</t>
        </is>
      </c>
      <c r="Q625" s="8" t="inlineStr">
        <is>
          <t>OBJNR</t>
        </is>
      </c>
      <c r="R625" s="7" t="inlineStr">
        <is>
          <t>אובייקט CO</t>
        </is>
      </c>
      <c r="S625" s="7" t="inlineStr">
        <is>
          <t>CO object (order)</t>
        </is>
      </c>
      <c r="T625" s="7" t="inlineStr">
        <is>
          <t>10. עלויות והתחשבנות (PM-CO)</t>
        </is>
      </c>
      <c r="U625" s="7" t="inlineStr">
        <is>
          <t>D4</t>
        </is>
      </c>
      <c r="V625" s="9">
        <f>HYPERLINK("#'"&amp;T625&amp;"'!"&amp;U625,"➜ פתח")</f>
        <v/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7" t="inlineStr">
        <is>
          <t>שדה</t>
        </is>
      </c>
      <c r="Q626" s="8" t="inlineStr">
        <is>
          <t>KSTAR</t>
        </is>
      </c>
      <c r="R626" s="7" t="inlineStr">
        <is>
          <t>אלמנט עלות</t>
        </is>
      </c>
      <c r="S626" s="7" t="inlineStr">
        <is>
          <t>Cost element</t>
        </is>
      </c>
      <c r="T626" s="7" t="inlineStr">
        <is>
          <t>10. עלויות והתחשבנות (PM-CO)</t>
        </is>
      </c>
      <c r="U626" s="7" t="inlineStr">
        <is>
          <t>D5</t>
        </is>
      </c>
      <c r="V626" s="9">
        <f>HYPERLINK("#'"&amp;T626&amp;"'!"&amp;U626,"➜ פתח")</f>
        <v/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7" t="inlineStr">
        <is>
          <t>שדה</t>
        </is>
      </c>
      <c r="Q627" s="8" t="inlineStr">
        <is>
          <t>WRTTP</t>
        </is>
      </c>
      <c r="R627" s="7" t="inlineStr">
        <is>
          <t>סוג ערך</t>
        </is>
      </c>
      <c r="S627" s="7" t="inlineStr">
        <is>
          <t>Value type (01 plan/04 actual)</t>
        </is>
      </c>
      <c r="T627" s="7" t="inlineStr">
        <is>
          <t>10. עלויות והתחשבנות (PM-CO)</t>
        </is>
      </c>
      <c r="U627" s="7" t="inlineStr">
        <is>
          <t>D6</t>
        </is>
      </c>
      <c r="V627" s="9">
        <f>HYPERLINK("#'"&amp;T627&amp;"'!"&amp;U627,"➜ פתח")</f>
        <v/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7" t="inlineStr">
        <is>
          <t>שדה</t>
        </is>
      </c>
      <c r="Q628" s="8" t="inlineStr">
        <is>
          <t>GJAHR</t>
        </is>
      </c>
      <c r="R628" s="7" t="inlineStr">
        <is>
          <t>שנת כספים</t>
        </is>
      </c>
      <c r="S628" s="7" t="inlineStr">
        <is>
          <t>Fiscal year</t>
        </is>
      </c>
      <c r="T628" s="7" t="inlineStr">
        <is>
          <t>10. עלויות והתחשבנות (PM-CO)</t>
        </is>
      </c>
      <c r="U628" s="7" t="inlineStr">
        <is>
          <t>D7</t>
        </is>
      </c>
      <c r="V628" s="9">
        <f>HYPERLINK("#'"&amp;T628&amp;"'!"&amp;U628,"➜ פתח")</f>
        <v/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7" t="inlineStr">
        <is>
          <t>שדה</t>
        </is>
      </c>
      <c r="Q629" s="8" t="inlineStr">
        <is>
          <t>WTG001</t>
        </is>
      </c>
      <c r="R629" s="7" t="inlineStr">
        <is>
          <t>ערך תקופה 001</t>
        </is>
      </c>
      <c r="S629" s="7" t="inlineStr">
        <is>
          <t>Period value 001</t>
        </is>
      </c>
      <c r="T629" s="7" t="inlineStr">
        <is>
          <t>10. עלויות והתחשבנות (PM-CO)</t>
        </is>
      </c>
      <c r="U629" s="7" t="inlineStr">
        <is>
          <t>D8</t>
        </is>
      </c>
      <c r="V629" s="9">
        <f>HYPERLINK("#'"&amp;T629&amp;"'!"&amp;U629,"➜ פתח")</f>
        <v/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7" t="inlineStr">
        <is>
          <t>טרנזקציה</t>
        </is>
      </c>
      <c r="Q630" s="8" t="inlineStr">
        <is>
          <t>KO88</t>
        </is>
      </c>
      <c r="R630" s="7" t="inlineStr">
        <is>
          <t>סך עלויות חיצוניות (Primary)</t>
        </is>
      </c>
      <c r="S630" s="7" t="inlineStr">
        <is>
          <t>CO object cost totals - external postings</t>
        </is>
      </c>
      <c r="T630" s="7" t="inlineStr">
        <is>
          <t>10. עלויות והתחשבנות (PM-CO)</t>
        </is>
      </c>
      <c r="U630" s="7" t="inlineStr">
        <is>
          <t>A4</t>
        </is>
      </c>
      <c r="V630" s="9">
        <f>HYPERLINK("#'"&amp;T630&amp;"'!"&amp;U630,"➜ פתח")</f>
        <v/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7" t="inlineStr">
        <is>
          <t>טרנזקציה</t>
        </is>
      </c>
      <c r="Q631" s="8" t="inlineStr">
        <is>
          <t>KO8G</t>
        </is>
      </c>
      <c r="R631" s="7" t="inlineStr">
        <is>
          <t>סך עלויות חיצוניות (Primary)</t>
        </is>
      </c>
      <c r="S631" s="7" t="inlineStr">
        <is>
          <t>CO object cost totals - external postings</t>
        </is>
      </c>
      <c r="T631" s="7" t="inlineStr">
        <is>
          <t>10. עלויות והתחשבנות (PM-CO)</t>
        </is>
      </c>
      <c r="U631" s="7" t="inlineStr">
        <is>
          <t>A4</t>
        </is>
      </c>
      <c r="V631" s="9">
        <f>HYPERLINK("#'"&amp;T631&amp;"'!"&amp;U631,"➜ פתח")</f>
        <v/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7" t="inlineStr">
        <is>
          <t>טרנזקציה</t>
        </is>
      </c>
      <c r="Q632" s="8" t="inlineStr">
        <is>
          <t>KOB1</t>
        </is>
      </c>
      <c r="R632" s="7" t="inlineStr">
        <is>
          <t>סך עלויות חיצוניות (Primary)</t>
        </is>
      </c>
      <c r="S632" s="7" t="inlineStr">
        <is>
          <t>CO object cost totals - external postings</t>
        </is>
      </c>
      <c r="T632" s="7" t="inlineStr">
        <is>
          <t>10. עלויות והתחשבנות (PM-CO)</t>
        </is>
      </c>
      <c r="U632" s="7" t="inlineStr">
        <is>
          <t>A4</t>
        </is>
      </c>
      <c r="V632" s="9">
        <f>HYPERLINK("#'"&amp;T632&amp;"'!"&amp;U632,"➜ פתח")</f>
        <v/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7" t="inlineStr">
        <is>
          <t>טרנזקציה</t>
        </is>
      </c>
      <c r="Q633" s="8" t="inlineStr">
        <is>
          <t>S_ALR_87013611</t>
        </is>
      </c>
      <c r="R633" s="7" t="inlineStr">
        <is>
          <t>סך עלויות חיצוניות (Primary)</t>
        </is>
      </c>
      <c r="S633" s="7" t="inlineStr">
        <is>
          <t>CO object cost totals - external postings</t>
        </is>
      </c>
      <c r="T633" s="7" t="inlineStr">
        <is>
          <t>10. עלויות והתחשבנות (PM-CO)</t>
        </is>
      </c>
      <c r="U633" s="7" t="inlineStr">
        <is>
          <t>A4</t>
        </is>
      </c>
      <c r="V633" s="9">
        <f>HYPERLINK("#'"&amp;T633&amp;"'!"&amp;U633,"➜ פתח")</f>
        <v/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7" t="inlineStr">
        <is>
          <t>פונקציה</t>
        </is>
      </c>
      <c r="Q634" s="8" t="inlineStr">
        <is>
          <t>K_COSTS_READ</t>
        </is>
      </c>
      <c r="R634" s="7" t="inlineStr">
        <is>
          <t>קריאת עלויות אובייקט</t>
        </is>
      </c>
      <c r="S634" s="7" t="inlineStr">
        <is>
          <t>CO object cost totals - external postings</t>
        </is>
      </c>
      <c r="T634" s="7" t="inlineStr">
        <is>
          <t>10. עלויות והתחשבנות (PM-CO)</t>
        </is>
      </c>
      <c r="U634" s="7" t="inlineStr">
        <is>
          <t>G4</t>
        </is>
      </c>
      <c r="V634" s="9">
        <f>HYPERLINK("#'"&amp;T634&amp;"'!"&amp;U634,"➜ פתח")</f>
        <v/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7" t="inlineStr">
        <is>
          <t>פונקציה</t>
        </is>
      </c>
      <c r="Q635" s="8" t="inlineStr">
        <is>
          <t>K_ORDER_SETTLEMENT</t>
        </is>
      </c>
      <c r="R635" s="7" t="inlineStr">
        <is>
          <t>ביצוע התחשבנות פק"ע</t>
        </is>
      </c>
      <c r="S635" s="7" t="inlineStr">
        <is>
          <t>CO object cost totals - external postings</t>
        </is>
      </c>
      <c r="T635" s="7" t="inlineStr">
        <is>
          <t>10. עלויות והתחשבנות (PM-CO)</t>
        </is>
      </c>
      <c r="U635" s="7" t="inlineStr">
        <is>
          <t>G4</t>
        </is>
      </c>
      <c r="V635" s="9">
        <f>HYPERLINK("#'"&amp;T635&amp;"'!"&amp;U635,"➜ פתח")</f>
        <v/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7" t="inlineStr">
        <is>
          <t>תוכנית</t>
        </is>
      </c>
      <c r="Q636" s="8" t="inlineStr">
        <is>
          <t>RKO7KO88</t>
        </is>
      </c>
      <c r="R636" s="7" t="inlineStr">
        <is>
          <t>תוכנית ההתחשבנות (KO88)</t>
        </is>
      </c>
      <c r="S636" s="7" t="inlineStr">
        <is>
          <t>CO object cost totals - external postings</t>
        </is>
      </c>
      <c r="T636" s="7" t="inlineStr">
        <is>
          <t>10. עלויות והתחשבנות (PM-CO)</t>
        </is>
      </c>
      <c r="U636" s="7" t="inlineStr">
        <is>
          <t>I4</t>
        </is>
      </c>
      <c r="V636" s="9">
        <f>HYPERLINK("#'"&amp;T636&amp;"'!"&amp;U636,"➜ פתח")</f>
        <v/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7" t="inlineStr">
        <is>
          <t>Fiori</t>
        </is>
      </c>
      <c r="Q637" s="8" t="inlineStr">
        <is>
          <t>Maintenance Order Actuals (אמת ID)</t>
        </is>
      </c>
      <c r="R637" s="7" t="inlineStr">
        <is>
          <t>סך עלויות חיצוניות (Primary)</t>
        </is>
      </c>
      <c r="S637" s="7" t="inlineStr">
        <is>
          <t>CO object cost totals - external postings</t>
        </is>
      </c>
      <c r="T637" s="7" t="inlineStr">
        <is>
          <t>10. עלויות והתחשבנות (PM-CO)</t>
        </is>
      </c>
      <c r="U637" s="7" t="inlineStr">
        <is>
          <t>N4</t>
        </is>
      </c>
      <c r="V637" s="9">
        <f>HYPERLINK("#'"&amp;T637&amp;"'!"&amp;U637,"➜ פתח")</f>
        <v/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7" t="inlineStr">
        <is>
          <t>טבלה</t>
        </is>
      </c>
      <c r="Q638" s="8" t="inlineStr">
        <is>
          <t>COSS</t>
        </is>
      </c>
      <c r="R638" s="7" t="inlineStr">
        <is>
          <t>סך עלויות פנימיות (Secondary)</t>
        </is>
      </c>
      <c r="S638" s="7" t="inlineStr">
        <is>
          <t>CO object cost totals - internal postings</t>
        </is>
      </c>
      <c r="T638" s="7" t="inlineStr">
        <is>
          <t>10. עלויות והתחשבנות (PM-CO)</t>
        </is>
      </c>
      <c r="U638" s="7" t="inlineStr">
        <is>
          <t>A10</t>
        </is>
      </c>
      <c r="V638" s="9">
        <f>HYPERLINK("#'"&amp;T638&amp;"'!"&amp;U638,"➜ פתח")</f>
        <v/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7" t="inlineStr">
        <is>
          <t>שדה</t>
        </is>
      </c>
      <c r="Q639" s="8" t="inlineStr">
        <is>
          <t>OBJNR</t>
        </is>
      </c>
      <c r="R639" s="7" t="inlineStr">
        <is>
          <t>אובייקט CO</t>
        </is>
      </c>
      <c r="S639" s="7" t="inlineStr">
        <is>
          <t>CO object</t>
        </is>
      </c>
      <c r="T639" s="7" t="inlineStr">
        <is>
          <t>10. עלויות והתחשבנות (PM-CO)</t>
        </is>
      </c>
      <c r="U639" s="7" t="inlineStr">
        <is>
          <t>D11</t>
        </is>
      </c>
      <c r="V639" s="9">
        <f>HYPERLINK("#'"&amp;T639&amp;"'!"&amp;U639,"➜ פתח")</f>
        <v/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7" t="inlineStr">
        <is>
          <t>שדה</t>
        </is>
      </c>
      <c r="Q640" s="8" t="inlineStr">
        <is>
          <t>KSTAR</t>
        </is>
      </c>
      <c r="R640" s="7" t="inlineStr">
        <is>
          <t>אלמנט עלות משני</t>
        </is>
      </c>
      <c r="S640" s="7" t="inlineStr">
        <is>
          <t>Secondary cost element</t>
        </is>
      </c>
      <c r="T640" s="7" t="inlineStr">
        <is>
          <t>10. עלויות והתחשבנות (PM-CO)</t>
        </is>
      </c>
      <c r="U640" s="7" t="inlineStr">
        <is>
          <t>D12</t>
        </is>
      </c>
      <c r="V640" s="9">
        <f>HYPERLINK("#'"&amp;T640&amp;"'!"&amp;U640,"➜ פתח")</f>
        <v/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7" t="inlineStr">
        <is>
          <t>שדה</t>
        </is>
      </c>
      <c r="Q641" s="8" t="inlineStr">
        <is>
          <t>WRTTP</t>
        </is>
      </c>
      <c r="R641" s="7" t="inlineStr">
        <is>
          <t>סוג ערך</t>
        </is>
      </c>
      <c r="S641" s="7" t="inlineStr">
        <is>
          <t>Value type</t>
        </is>
      </c>
      <c r="T641" s="7" t="inlineStr">
        <is>
          <t>10. עלויות והתחשבנות (PM-CO)</t>
        </is>
      </c>
      <c r="U641" s="7" t="inlineStr">
        <is>
          <t>D13</t>
        </is>
      </c>
      <c r="V641" s="9">
        <f>HYPERLINK("#'"&amp;T641&amp;"'!"&amp;U641,"➜ פתח")</f>
        <v/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7" t="inlineStr">
        <is>
          <t>שדה</t>
        </is>
      </c>
      <c r="Q642" s="8" t="inlineStr">
        <is>
          <t>GJAHR</t>
        </is>
      </c>
      <c r="R642" s="7" t="inlineStr">
        <is>
          <t>שנת כספים</t>
        </is>
      </c>
      <c r="S642" s="7" t="inlineStr">
        <is>
          <t>Fiscal year</t>
        </is>
      </c>
      <c r="T642" s="7" t="inlineStr">
        <is>
          <t>10. עלויות והתחשבנות (PM-CO)</t>
        </is>
      </c>
      <c r="U642" s="7" t="inlineStr">
        <is>
          <t>D14</t>
        </is>
      </c>
      <c r="V642" s="9">
        <f>HYPERLINK("#'"&amp;T642&amp;"'!"&amp;U642,"➜ פתח")</f>
        <v/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7" t="inlineStr">
        <is>
          <t>שדה</t>
        </is>
      </c>
      <c r="Q643" s="8" t="inlineStr">
        <is>
          <t>PARGB</t>
        </is>
      </c>
      <c r="R643" s="7" t="inlineStr">
        <is>
          <t>אובייקט שותף</t>
        </is>
      </c>
      <c r="S643" s="7" t="inlineStr">
        <is>
          <t>Partner / sender object</t>
        </is>
      </c>
      <c r="T643" s="7" t="inlineStr">
        <is>
          <t>10. עלויות והתחשבנות (PM-CO)</t>
        </is>
      </c>
      <c r="U643" s="7" t="inlineStr">
        <is>
          <t>D15</t>
        </is>
      </c>
      <c r="V643" s="9">
        <f>HYPERLINK("#'"&amp;T643&amp;"'!"&amp;U643,"➜ פתח")</f>
        <v/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7" t="inlineStr">
        <is>
          <t>טרנזקציה</t>
        </is>
      </c>
      <c r="Q644" s="8" t="inlineStr">
        <is>
          <t>KO88</t>
        </is>
      </c>
      <c r="R644" s="7" t="inlineStr">
        <is>
          <t>סך עלויות פנימיות (Secondary)</t>
        </is>
      </c>
      <c r="S644" s="7" t="inlineStr">
        <is>
          <t>CO object cost totals - internal postings</t>
        </is>
      </c>
      <c r="T644" s="7" t="inlineStr">
        <is>
          <t>10. עלויות והתחשבנות (PM-CO)</t>
        </is>
      </c>
      <c r="U644" s="7" t="inlineStr">
        <is>
          <t>A11</t>
        </is>
      </c>
      <c r="V644" s="9">
        <f>HYPERLINK("#'"&amp;T644&amp;"'!"&amp;U644,"➜ פתח")</f>
        <v/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7" t="inlineStr">
        <is>
          <t>טרנזקציה</t>
        </is>
      </c>
      <c r="Q645" s="8" t="inlineStr">
        <is>
          <t>KOB1</t>
        </is>
      </c>
      <c r="R645" s="7" t="inlineStr">
        <is>
          <t>סך עלויות פנימיות (Secondary)</t>
        </is>
      </c>
      <c r="S645" s="7" t="inlineStr">
        <is>
          <t>CO object cost totals - internal postings</t>
        </is>
      </c>
      <c r="T645" s="7" t="inlineStr">
        <is>
          <t>10. עלויות והתחשבנות (PM-CO)</t>
        </is>
      </c>
      <c r="U645" s="7" t="inlineStr">
        <is>
          <t>A11</t>
        </is>
      </c>
      <c r="V645" s="9">
        <f>HYPERLINK("#'"&amp;T645&amp;"'!"&amp;U645,"➜ פתח")</f>
        <v/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7" t="inlineStr">
        <is>
          <t>פונקציה</t>
        </is>
      </c>
      <c r="Q646" s="8" t="inlineStr">
        <is>
          <t>K_COSTS_READ</t>
        </is>
      </c>
      <c r="R646" s="7" t="inlineStr">
        <is>
          <t>קריאת עלויות פנימיות</t>
        </is>
      </c>
      <c r="S646" s="7" t="inlineStr">
        <is>
          <t>CO object cost totals - internal postings</t>
        </is>
      </c>
      <c r="T646" s="7" t="inlineStr">
        <is>
          <t>10. עלויות והתחשבנות (PM-CO)</t>
        </is>
      </c>
      <c r="U646" s="7" t="inlineStr">
        <is>
          <t>G11</t>
        </is>
      </c>
      <c r="V646" s="9">
        <f>HYPERLINK("#'"&amp;T646&amp;"'!"&amp;U646,"➜ פתח")</f>
        <v/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7" t="inlineStr">
        <is>
          <t>תוכנית</t>
        </is>
      </c>
      <c r="Q647" s="8" t="inlineStr">
        <is>
          <t>RKAEP000</t>
        </is>
      </c>
      <c r="R647" s="7" t="inlineStr">
        <is>
          <t>דוח פריטי עלות בפועל</t>
        </is>
      </c>
      <c r="S647" s="7" t="inlineStr">
        <is>
          <t>CO object cost totals - internal postings</t>
        </is>
      </c>
      <c r="T647" s="7" t="inlineStr">
        <is>
          <t>10. עלויות והתחשבנות (PM-CO)</t>
        </is>
      </c>
      <c r="U647" s="7" t="inlineStr">
        <is>
          <t>I11</t>
        </is>
      </c>
      <c r="V647" s="9">
        <f>HYPERLINK("#'"&amp;T647&amp;"'!"&amp;U647,"➜ פתח")</f>
        <v/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7" t="inlineStr">
        <is>
          <t>Fiori</t>
        </is>
      </c>
      <c r="Q648" s="8" t="inlineStr">
        <is>
          <t>Maintenance Order Actuals (אמת ID)</t>
        </is>
      </c>
      <c r="R648" s="7" t="inlineStr">
        <is>
          <t>סך עלויות פנימיות (Secondary)</t>
        </is>
      </c>
      <c r="S648" s="7" t="inlineStr">
        <is>
          <t>CO object cost totals - internal postings</t>
        </is>
      </c>
      <c r="T648" s="7" t="inlineStr">
        <is>
          <t>10. עלויות והתחשבנות (PM-CO)</t>
        </is>
      </c>
      <c r="U648" s="7" t="inlineStr">
        <is>
          <t>N11</t>
        </is>
      </c>
      <c r="V648" s="9">
        <f>HYPERLINK("#'"&amp;T648&amp;"'!"&amp;U648,"➜ פתח")</f>
        <v/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7" t="inlineStr">
        <is>
          <t>טבלה</t>
        </is>
      </c>
      <c r="Q649" s="8" t="inlineStr">
        <is>
          <t>COBRA</t>
        </is>
      </c>
      <c r="R649" s="7" t="inlineStr">
        <is>
          <t>כותרת חוק התחשבנות</t>
        </is>
      </c>
      <c r="S649" s="7" t="inlineStr">
        <is>
          <t>Settlement rule header</t>
        </is>
      </c>
      <c r="T649" s="7" t="inlineStr">
        <is>
          <t>10. עלויות והתחשבנות (PM-CO)</t>
        </is>
      </c>
      <c r="U649" s="7" t="inlineStr">
        <is>
          <t>A17</t>
        </is>
      </c>
      <c r="V649" s="9">
        <f>HYPERLINK("#'"&amp;T649&amp;"'!"&amp;U649,"➜ פתח")</f>
        <v/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7" t="inlineStr">
        <is>
          <t>שדה</t>
        </is>
      </c>
      <c r="Q650" s="8" t="inlineStr">
        <is>
          <t>OBJNR</t>
        </is>
      </c>
      <c r="R650" s="7" t="inlineStr">
        <is>
          <t>אובייקט מקור</t>
        </is>
      </c>
      <c r="S650" s="7" t="inlineStr">
        <is>
          <t>Source object (order)</t>
        </is>
      </c>
      <c r="T650" s="7" t="inlineStr">
        <is>
          <t>10. עלויות והתחשבנות (PM-CO)</t>
        </is>
      </c>
      <c r="U650" s="7" t="inlineStr">
        <is>
          <t>D18</t>
        </is>
      </c>
      <c r="V650" s="9">
        <f>HYPERLINK("#'"&amp;T650&amp;"'!"&amp;U650,"➜ פתח")</f>
        <v/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7" t="inlineStr">
        <is>
          <t>שדה</t>
        </is>
      </c>
      <c r="Q651" s="8" t="inlineStr">
        <is>
          <t>BUREG</t>
        </is>
      </c>
      <c r="R651" s="7" t="inlineStr">
        <is>
          <t>חוק התחשבנות</t>
        </is>
      </c>
      <c r="S651" s="7" t="inlineStr">
        <is>
          <t>Settlement rule</t>
        </is>
      </c>
      <c r="T651" s="7" t="inlineStr">
        <is>
          <t>10. עלויות והתחשבנות (PM-CO)</t>
        </is>
      </c>
      <c r="U651" s="7" t="inlineStr">
        <is>
          <t>D19</t>
        </is>
      </c>
      <c r="V651" s="9">
        <f>HYPERLINK("#'"&amp;T651&amp;"'!"&amp;U651,"➜ פתח")</f>
        <v/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7" t="inlineStr">
        <is>
          <t>שדה</t>
        </is>
      </c>
      <c r="Q652" s="8" t="inlineStr">
        <is>
          <t>PERBZ</t>
        </is>
      </c>
      <c r="R652" s="7" t="inlineStr">
        <is>
          <t>סוג תקופה</t>
        </is>
      </c>
      <c r="S652" s="7" t="inlineStr">
        <is>
          <t>Period type</t>
        </is>
      </c>
      <c r="T652" s="7" t="inlineStr">
        <is>
          <t>10. עלויות והתחשבנות (PM-CO)</t>
        </is>
      </c>
      <c r="U652" s="7" t="inlineStr">
        <is>
          <t>D20</t>
        </is>
      </c>
      <c r="V652" s="9">
        <f>HYPERLINK("#'"&amp;T652&amp;"'!"&amp;U652,"➜ פתח")</f>
        <v/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7" t="inlineStr">
        <is>
          <t>שדה</t>
        </is>
      </c>
      <c r="Q653" s="8" t="inlineStr">
        <is>
          <t>ERLKZ</t>
        </is>
      </c>
      <c r="R653" s="7" t="inlineStr">
        <is>
          <t>מחוון השלמה</t>
        </is>
      </c>
      <c r="S653" s="7" t="inlineStr">
        <is>
          <t>Completion indicator</t>
        </is>
      </c>
      <c r="T653" s="7" t="inlineStr">
        <is>
          <t>10. עלויות והתחשבנות (PM-CO)</t>
        </is>
      </c>
      <c r="U653" s="7" t="inlineStr">
        <is>
          <t>D21</t>
        </is>
      </c>
      <c r="V653" s="9">
        <f>HYPERLINK("#'"&amp;T653&amp;"'!"&amp;U653,"➜ פתח")</f>
        <v/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7" t="inlineStr">
        <is>
          <t>טרנזקציה</t>
        </is>
      </c>
      <c r="Q654" s="8" t="inlineStr">
        <is>
          <t>KO02</t>
        </is>
      </c>
      <c r="R654" s="7" t="inlineStr">
        <is>
          <t>כותרת חוק התחשבנות</t>
        </is>
      </c>
      <c r="S654" s="7" t="inlineStr">
        <is>
          <t>Settlement rule header</t>
        </is>
      </c>
      <c r="T654" s="7" t="inlineStr">
        <is>
          <t>10. עלויות והתחשבנות (PM-CO)</t>
        </is>
      </c>
      <c r="U654" s="7" t="inlineStr">
        <is>
          <t>A18</t>
        </is>
      </c>
      <c r="V654" s="9">
        <f>HYPERLINK("#'"&amp;T654&amp;"'!"&amp;U654,"➜ פתח")</f>
        <v/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7" t="inlineStr">
        <is>
          <t>טרנזקציה</t>
        </is>
      </c>
      <c r="Q655" s="8" t="inlineStr">
        <is>
          <t>IW32</t>
        </is>
      </c>
      <c r="R655" s="7" t="inlineStr">
        <is>
          <t>כותרת חוק התחשבנות</t>
        </is>
      </c>
      <c r="S655" s="7" t="inlineStr">
        <is>
          <t>Settlement rule header</t>
        </is>
      </c>
      <c r="T655" s="7" t="inlineStr">
        <is>
          <t>10. עלויות והתחשבנות (PM-CO)</t>
        </is>
      </c>
      <c r="U655" s="7" t="inlineStr">
        <is>
          <t>A18</t>
        </is>
      </c>
      <c r="V655" s="9">
        <f>HYPERLINK("#'"&amp;T655&amp;"'!"&amp;U655,"➜ פתח")</f>
        <v/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7" t="inlineStr">
        <is>
          <t>פונקציה</t>
        </is>
      </c>
      <c r="Q656" s="8" t="inlineStr">
        <is>
          <t>K_SETTLEMENT_RULE_READ</t>
        </is>
      </c>
      <c r="R656" s="7" t="inlineStr">
        <is>
          <t>קריאת חוק התחשבנות</t>
        </is>
      </c>
      <c r="S656" s="7" t="inlineStr">
        <is>
          <t>Settlement rule header</t>
        </is>
      </c>
      <c r="T656" s="7" t="inlineStr">
        <is>
          <t>10. עלויות והתחשבנות (PM-CO)</t>
        </is>
      </c>
      <c r="U656" s="7" t="inlineStr">
        <is>
          <t>G18</t>
        </is>
      </c>
      <c r="V656" s="9">
        <f>HYPERLINK("#'"&amp;T656&amp;"'!"&amp;U656,"➜ פתח")</f>
        <v/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7" t="inlineStr">
        <is>
          <t>תוכנית</t>
        </is>
      </c>
      <c r="Q657" s="8" t="inlineStr">
        <is>
          <t>RKACOR40</t>
        </is>
      </c>
      <c r="R657" s="7" t="inlineStr">
        <is>
          <t>איתור חוקי התחשבנות חסרים</t>
        </is>
      </c>
      <c r="S657" s="7" t="inlineStr">
        <is>
          <t>Settlement rule header</t>
        </is>
      </c>
      <c r="T657" s="7" t="inlineStr">
        <is>
          <t>10. עלויות והתחשבנות (PM-CO)</t>
        </is>
      </c>
      <c r="U657" s="7" t="inlineStr">
        <is>
          <t>I18</t>
        </is>
      </c>
      <c r="V657" s="9">
        <f>HYPERLINK("#'"&amp;T657&amp;"'!"&amp;U657,"➜ פתח")</f>
        <v/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7" t="inlineStr">
        <is>
          <t>Fiori</t>
        </is>
      </c>
      <c r="Q658" s="8" t="inlineStr">
        <is>
          <t>Manage Settlement Rules (אמת ID)</t>
        </is>
      </c>
      <c r="R658" s="7" t="inlineStr">
        <is>
          <t>כותרת חוק התחשבנות</t>
        </is>
      </c>
      <c r="S658" s="7" t="inlineStr">
        <is>
          <t>Settlement rule header</t>
        </is>
      </c>
      <c r="T658" s="7" t="inlineStr">
        <is>
          <t>10. עלויות והתחשבנות (PM-CO)</t>
        </is>
      </c>
      <c r="U658" s="7" t="inlineStr">
        <is>
          <t>N18</t>
        </is>
      </c>
      <c r="V658" s="9">
        <f>HYPERLINK("#'"&amp;T658&amp;"'!"&amp;U658,"➜ פתח")</f>
        <v/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7" t="inlineStr">
        <is>
          <t>טבלה</t>
        </is>
      </c>
      <c r="Q659" s="8" t="inlineStr">
        <is>
          <t>COBRB</t>
        </is>
      </c>
      <c r="R659" s="7" t="inlineStr">
        <is>
          <t>פריטי חוק התחשבנות (חוקי חלוקה)</t>
        </is>
      </c>
      <c r="S659" s="7" t="inlineStr">
        <is>
          <t>Settlement / distribution rules</t>
        </is>
      </c>
      <c r="T659" s="7" t="inlineStr">
        <is>
          <t>10. עלויות והתחשבנות (PM-CO)</t>
        </is>
      </c>
      <c r="U659" s="7" t="inlineStr">
        <is>
          <t>A23</t>
        </is>
      </c>
      <c r="V659" s="9">
        <f>HYPERLINK("#'"&amp;T659&amp;"'!"&amp;U659,"➜ פתח")</f>
        <v/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7" t="inlineStr">
        <is>
          <t>שדה</t>
        </is>
      </c>
      <c r="Q660" s="8" t="inlineStr">
        <is>
          <t>OBJNR</t>
        </is>
      </c>
      <c r="R660" s="7" t="inlineStr">
        <is>
          <t>אובייקט מקור</t>
        </is>
      </c>
      <c r="S660" s="7" t="inlineStr">
        <is>
          <t>Source object</t>
        </is>
      </c>
      <c r="T660" s="7" t="inlineStr">
        <is>
          <t>10. עלויות והתחשבנות (PM-CO)</t>
        </is>
      </c>
      <c r="U660" s="7" t="inlineStr">
        <is>
          <t>D24</t>
        </is>
      </c>
      <c r="V660" s="9">
        <f>HYPERLINK("#'"&amp;T660&amp;"'!"&amp;U660,"➜ פתח")</f>
        <v/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7" t="inlineStr">
        <is>
          <t>שדה</t>
        </is>
      </c>
      <c r="Q661" s="8" t="inlineStr">
        <is>
          <t>BUREG</t>
        </is>
      </c>
      <c r="R661" s="7" t="inlineStr">
        <is>
          <t>חוק התחשבנות</t>
        </is>
      </c>
      <c r="S661" s="7" t="inlineStr">
        <is>
          <t>Settlement rule</t>
        </is>
      </c>
      <c r="T661" s="7" t="inlineStr">
        <is>
          <t>10. עלויות והתחשבנות (PM-CO)</t>
        </is>
      </c>
      <c r="U661" s="7" t="inlineStr">
        <is>
          <t>D25</t>
        </is>
      </c>
      <c r="V661" s="9">
        <f>HYPERLINK("#'"&amp;T661&amp;"'!"&amp;U661,"➜ פתח")</f>
        <v/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7" t="inlineStr">
        <is>
          <t>שדה</t>
        </is>
      </c>
      <c r="Q662" s="8" t="inlineStr">
        <is>
          <t>KONTY</t>
        </is>
      </c>
      <c r="R662" s="7" t="inlineStr">
        <is>
          <t>סוג מקבל</t>
        </is>
      </c>
      <c r="S662" s="7" t="inlineStr">
        <is>
          <t>Receiver category</t>
        </is>
      </c>
      <c r="T662" s="7" t="inlineStr">
        <is>
          <t>10. עלויות והתחשבנות (PM-CO)</t>
        </is>
      </c>
      <c r="U662" s="7" t="inlineStr">
        <is>
          <t>D26</t>
        </is>
      </c>
      <c r="V662" s="9">
        <f>HYPERLINK("#'"&amp;T662&amp;"'!"&amp;U662,"➜ פתח")</f>
        <v/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7" t="inlineStr">
        <is>
          <t>שדה</t>
        </is>
      </c>
      <c r="Q663" s="8" t="inlineStr">
        <is>
          <t>EMPGE</t>
        </is>
      </c>
      <c r="R663" s="7" t="inlineStr">
        <is>
          <t>המקבל בפועל</t>
        </is>
      </c>
      <c r="S663" s="7" t="inlineStr">
        <is>
          <t>Settlement receiver</t>
        </is>
      </c>
      <c r="T663" s="7" t="inlineStr">
        <is>
          <t>10. עלויות והתחשבנות (PM-CO)</t>
        </is>
      </c>
      <c r="U663" s="7" t="inlineStr">
        <is>
          <t>D27</t>
        </is>
      </c>
      <c r="V663" s="9">
        <f>HYPERLINK("#'"&amp;T663&amp;"'!"&amp;U663,"➜ פתח")</f>
        <v/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7" t="inlineStr">
        <is>
          <t>שדה</t>
        </is>
      </c>
      <c r="Q664" s="8" t="inlineStr">
        <is>
          <t>PROZS</t>
        </is>
      </c>
      <c r="R664" s="7" t="inlineStr">
        <is>
          <t>אחוז התחשבנות</t>
        </is>
      </c>
      <c r="S664" s="7" t="inlineStr">
        <is>
          <t>Settlement percentage</t>
        </is>
      </c>
      <c r="T664" s="7" t="inlineStr">
        <is>
          <t>10. עלויות והתחשבנות (PM-CO)</t>
        </is>
      </c>
      <c r="U664" s="7" t="inlineStr">
        <is>
          <t>D28</t>
        </is>
      </c>
      <c r="V664" s="9">
        <f>HYPERLINK("#'"&amp;T664&amp;"'!"&amp;U664,"➜ פתח")</f>
        <v/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7" t="inlineStr">
        <is>
          <t>טרנזקציה</t>
        </is>
      </c>
      <c r="Q665" s="8" t="inlineStr">
        <is>
          <t>KO02</t>
        </is>
      </c>
      <c r="R665" s="7" t="inlineStr">
        <is>
          <t>פריטי חוק התחשבנות (חוקי חלוקה)</t>
        </is>
      </c>
      <c r="S665" s="7" t="inlineStr">
        <is>
          <t>Settlement / distribution rules</t>
        </is>
      </c>
      <c r="T665" s="7" t="inlineStr">
        <is>
          <t>10. עלויות והתחשבנות (PM-CO)</t>
        </is>
      </c>
      <c r="U665" s="7" t="inlineStr">
        <is>
          <t>A24</t>
        </is>
      </c>
      <c r="V665" s="9">
        <f>HYPERLINK("#'"&amp;T665&amp;"'!"&amp;U665,"➜ פתח")</f>
        <v/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7" t="inlineStr">
        <is>
          <t>טרנזקציה</t>
        </is>
      </c>
      <c r="Q666" s="8" t="inlineStr">
        <is>
          <t>IW32</t>
        </is>
      </c>
      <c r="R666" s="7" t="inlineStr">
        <is>
          <t>פריטי חוק התחשבנות (חוקי חלוקה)</t>
        </is>
      </c>
      <c r="S666" s="7" t="inlineStr">
        <is>
          <t>Settlement / distribution rules</t>
        </is>
      </c>
      <c r="T666" s="7" t="inlineStr">
        <is>
          <t>10. עלויות והתחשבנות (PM-CO)</t>
        </is>
      </c>
      <c r="U666" s="7" t="inlineStr">
        <is>
          <t>A24</t>
        </is>
      </c>
      <c r="V666" s="9">
        <f>HYPERLINK("#'"&amp;T666&amp;"'!"&amp;U666,"➜ פתח")</f>
        <v/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7" t="inlineStr">
        <is>
          <t>פונקציה</t>
        </is>
      </c>
      <c r="Q667" s="8" t="inlineStr">
        <is>
          <t>K_SETTLEMENT_RULE_READ</t>
        </is>
      </c>
      <c r="R667" s="7" t="inlineStr">
        <is>
          <t>קריאת פריטי חוק התחשבנות</t>
        </is>
      </c>
      <c r="S667" s="7" t="inlineStr">
        <is>
          <t>Settlement / distribution rules</t>
        </is>
      </c>
      <c r="T667" s="7" t="inlineStr">
        <is>
          <t>10. עלויות והתחשבנות (PM-CO)</t>
        </is>
      </c>
      <c r="U667" s="7" t="inlineStr">
        <is>
          <t>G24</t>
        </is>
      </c>
      <c r="V667" s="9">
        <f>HYPERLINK("#'"&amp;T667&amp;"'!"&amp;U667,"➜ פתח")</f>
        <v/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7" t="inlineStr">
        <is>
          <t>תוכנית</t>
        </is>
      </c>
      <c r="Q668" s="8" t="inlineStr">
        <is>
          <t>RKACOR40</t>
        </is>
      </c>
      <c r="R668" s="7" t="inlineStr">
        <is>
          <t>בדיקת תקינות חוקי חלוקה</t>
        </is>
      </c>
      <c r="S668" s="7" t="inlineStr">
        <is>
          <t>Settlement / distribution rules</t>
        </is>
      </c>
      <c r="T668" s="7" t="inlineStr">
        <is>
          <t>10. עלויות והתחשבנות (PM-CO)</t>
        </is>
      </c>
      <c r="U668" s="7" t="inlineStr">
        <is>
          <t>I24</t>
        </is>
      </c>
      <c r="V668" s="9">
        <f>HYPERLINK("#'"&amp;T668&amp;"'!"&amp;U668,"➜ פתח")</f>
        <v/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7" t="inlineStr">
        <is>
          <t>Fiori</t>
        </is>
      </c>
      <c r="Q669" s="8" t="inlineStr">
        <is>
          <t>Manage Settlement Rules (אמת ID)</t>
        </is>
      </c>
      <c r="R669" s="7" t="inlineStr">
        <is>
          <t>פריטי חוק התחשבנות (חוקי חלוקה)</t>
        </is>
      </c>
      <c r="S669" s="7" t="inlineStr">
        <is>
          <t>Settlement / distribution rules</t>
        </is>
      </c>
      <c r="T669" s="7" t="inlineStr">
        <is>
          <t>10. עלויות והתחשבנות (PM-CO)</t>
        </is>
      </c>
      <c r="U669" s="7" t="inlineStr">
        <is>
          <t>N24</t>
        </is>
      </c>
      <c r="V669" s="9">
        <f>HYPERLINK("#'"&amp;T669&amp;"'!"&amp;U669,"➜ פתח")</f>
        <v/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7" t="inlineStr">
        <is>
          <t>User Exit</t>
        </is>
      </c>
      <c r="Q670" s="8" t="inlineStr">
        <is>
          <t>COOMEP01</t>
        </is>
      </c>
      <c r="R670" s="7" t="inlineStr">
        <is>
          <t>הרחבת פריטי עלות/התחשבנות (אמת שם מדויק)</t>
        </is>
      </c>
      <c r="S670" s="7" t="inlineStr"/>
      <c r="T670" s="7" t="inlineStr">
        <is>
          <t>10. עלויות והתחשבנות (PM-CO)</t>
        </is>
      </c>
      <c r="U670" s="7" t="inlineStr">
        <is>
          <t>A33</t>
        </is>
      </c>
      <c r="V670" s="9">
        <f>HYPERLINK("#'"&amp;T670&amp;"'!"&amp;U670,"➜ פתח")</f>
        <v/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7" t="inlineStr">
        <is>
          <t>User Exit</t>
        </is>
      </c>
      <c r="Q671" s="8" t="inlineStr">
        <is>
          <t>KOAB0001</t>
        </is>
      </c>
      <c r="R671" s="7" t="inlineStr">
        <is>
          <t>הרחבת חוקי התחשבנות (Settlement)</t>
        </is>
      </c>
      <c r="S671" s="7" t="inlineStr"/>
      <c r="T671" s="7" t="inlineStr">
        <is>
          <t>10. עלויות והתחשבנות (PM-CO)</t>
        </is>
      </c>
      <c r="U671" s="7" t="inlineStr">
        <is>
          <t>A34</t>
        </is>
      </c>
      <c r="V671" s="9">
        <f>HYPERLINK("#'"&amp;T671&amp;"'!"&amp;U671,"➜ פתח")</f>
        <v/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7" t="inlineStr">
        <is>
          <t>BAdI</t>
        </is>
      </c>
      <c r="Q672" s="8" t="inlineStr">
        <is>
          <t>BADI_SETTLEMENT</t>
        </is>
      </c>
      <c r="R672" s="7" t="inlineStr">
        <is>
          <t>הרחבת לוגיקת התחשבנות (אמת שם ב-SE18)</t>
        </is>
      </c>
      <c r="S672" s="7" t="inlineStr"/>
      <c r="T672" s="7" t="inlineStr">
        <is>
          <t>10. עלויות והתחשבנות (PM-CO)</t>
        </is>
      </c>
      <c r="U672" s="7" t="inlineStr">
        <is>
          <t>A35</t>
        </is>
      </c>
      <c r="V672" s="9">
        <f>HYPERLINK("#'"&amp;T672&amp;"'!"&amp;U672,"➜ פתח")</f>
        <v/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7" t="inlineStr">
        <is>
          <t>טבלה</t>
        </is>
      </c>
      <c r="Q673" s="8" t="inlineStr">
        <is>
          <t>PLKO</t>
        </is>
      </c>
      <c r="R673" s="7" t="inlineStr">
        <is>
          <t>כותרת רשימת פעולות אחזקה</t>
        </is>
      </c>
      <c r="S673" s="7" t="inlineStr">
        <is>
          <t>Task list header</t>
        </is>
      </c>
      <c r="T673" s="7" t="inlineStr">
        <is>
          <t>11. אחזקה מונעת ותוכניות</t>
        </is>
      </c>
      <c r="U673" s="7" t="inlineStr">
        <is>
          <t>A3</t>
        </is>
      </c>
      <c r="V673" s="9">
        <f>HYPERLINK("#'"&amp;T673&amp;"'!"&amp;U673,"➜ פתח")</f>
        <v/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7" t="inlineStr">
        <is>
          <t>שדה</t>
        </is>
      </c>
      <c r="Q674" s="8" t="inlineStr">
        <is>
          <t>PLNNR</t>
        </is>
      </c>
      <c r="R674" s="7" t="inlineStr">
        <is>
          <t>קבוצת רשימת פעולות</t>
        </is>
      </c>
      <c r="S674" s="7" t="inlineStr">
        <is>
          <t>Task list group</t>
        </is>
      </c>
      <c r="T674" s="7" t="inlineStr">
        <is>
          <t>11. אחזקה מונעת ותוכניות</t>
        </is>
      </c>
      <c r="U674" s="7" t="inlineStr">
        <is>
          <t>D4</t>
        </is>
      </c>
      <c r="V674" s="9">
        <f>HYPERLINK("#'"&amp;T674&amp;"'!"&amp;U674,"➜ פתח")</f>
        <v/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7" t="inlineStr">
        <is>
          <t>שדה</t>
        </is>
      </c>
      <c r="Q675" s="8" t="inlineStr">
        <is>
          <t>PLNAL</t>
        </is>
      </c>
      <c r="R675" s="7" t="inlineStr">
        <is>
          <t>חלופת רשימה</t>
        </is>
      </c>
      <c r="S675" s="7" t="inlineStr">
        <is>
          <t>Group counter / alternative</t>
        </is>
      </c>
      <c r="T675" s="7" t="inlineStr">
        <is>
          <t>11. אחזקה מונעת ותוכניות</t>
        </is>
      </c>
      <c r="U675" s="7" t="inlineStr">
        <is>
          <t>D5</t>
        </is>
      </c>
      <c r="V675" s="9">
        <f>HYPERLINK("#'"&amp;T675&amp;"'!"&amp;U675,"➜ פתח")</f>
        <v/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7" t="inlineStr">
        <is>
          <t>שדה</t>
        </is>
      </c>
      <c r="Q676" s="8" t="inlineStr">
        <is>
          <t>PLNTY</t>
        </is>
      </c>
      <c r="R676" s="7" t="inlineStr">
        <is>
          <t>סוג רשימה</t>
        </is>
      </c>
      <c r="S676" s="7" t="inlineStr">
        <is>
          <t>Task list type (A/E/T)</t>
        </is>
      </c>
      <c r="T676" s="7" t="inlineStr">
        <is>
          <t>11. אחזקה מונעת ותוכניות</t>
        </is>
      </c>
      <c r="U676" s="7" t="inlineStr">
        <is>
          <t>D6</t>
        </is>
      </c>
      <c r="V676" s="9">
        <f>HYPERLINK("#'"&amp;T676&amp;"'!"&amp;U676,"➜ פתח")</f>
        <v/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7" t="inlineStr">
        <is>
          <t>שדה</t>
        </is>
      </c>
      <c r="Q677" s="8" t="inlineStr">
        <is>
          <t>VERWE</t>
        </is>
      </c>
      <c r="R677" s="7" t="inlineStr">
        <is>
          <t>שימוש רשימה</t>
        </is>
      </c>
      <c r="S677" s="7" t="inlineStr">
        <is>
          <t>Task list usage</t>
        </is>
      </c>
      <c r="T677" s="7" t="inlineStr">
        <is>
          <t>11. אחזקה מונעת ותוכניות</t>
        </is>
      </c>
      <c r="U677" s="7" t="inlineStr">
        <is>
          <t>D7</t>
        </is>
      </c>
      <c r="V677" s="9">
        <f>HYPERLINK("#'"&amp;T677&amp;"'!"&amp;U677,"➜ פתח")</f>
        <v/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7" t="inlineStr">
        <is>
          <t>שדה</t>
        </is>
      </c>
      <c r="Q678" s="8" t="inlineStr">
        <is>
          <t>STATU</t>
        </is>
      </c>
      <c r="R678" s="7" t="inlineStr">
        <is>
          <t>סטטוס רשימה</t>
        </is>
      </c>
      <c r="S678" s="7" t="inlineStr">
        <is>
          <t>Task list status</t>
        </is>
      </c>
      <c r="T678" s="7" t="inlineStr">
        <is>
          <t>11. אחזקה מונעת ותוכניות</t>
        </is>
      </c>
      <c r="U678" s="7" t="inlineStr">
        <is>
          <t>D8</t>
        </is>
      </c>
      <c r="V678" s="9">
        <f>HYPERLINK("#'"&amp;T678&amp;"'!"&amp;U678,"➜ פתח")</f>
        <v/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7" t="inlineStr">
        <is>
          <t>טרנזקציה</t>
        </is>
      </c>
      <c r="Q679" s="8" t="inlineStr">
        <is>
          <t>IA05</t>
        </is>
      </c>
      <c r="R679" s="7" t="inlineStr">
        <is>
          <t>כותרת רשימת פעולות אחזקה</t>
        </is>
      </c>
      <c r="S679" s="7" t="inlineStr">
        <is>
          <t>Task list header</t>
        </is>
      </c>
      <c r="T679" s="7" t="inlineStr">
        <is>
          <t>11. אחזקה מונעת ותוכניות</t>
        </is>
      </c>
      <c r="U679" s="7" t="inlineStr">
        <is>
          <t>A4</t>
        </is>
      </c>
      <c r="V679" s="9">
        <f>HYPERLINK("#'"&amp;T679&amp;"'!"&amp;U679,"➜ פתח")</f>
        <v/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7" t="inlineStr">
        <is>
          <t>טרנזקציה</t>
        </is>
      </c>
      <c r="Q680" s="8" t="inlineStr">
        <is>
          <t>IA01</t>
        </is>
      </c>
      <c r="R680" s="7" t="inlineStr">
        <is>
          <t>כותרת רשימת פעולות אחזקה</t>
        </is>
      </c>
      <c r="S680" s="7" t="inlineStr">
        <is>
          <t>Task list header</t>
        </is>
      </c>
      <c r="T680" s="7" t="inlineStr">
        <is>
          <t>11. אחזקה מונעת ותוכניות</t>
        </is>
      </c>
      <c r="U680" s="7" t="inlineStr">
        <is>
          <t>A4</t>
        </is>
      </c>
      <c r="V680" s="9">
        <f>HYPERLINK("#'"&amp;T680&amp;"'!"&amp;U680,"➜ פתח")</f>
        <v/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7" t="inlineStr">
        <is>
          <t>טרנזקציה</t>
        </is>
      </c>
      <c r="Q681" s="8" t="inlineStr">
        <is>
          <t>IA11</t>
        </is>
      </c>
      <c r="R681" s="7" t="inlineStr">
        <is>
          <t>כותרת רשימת פעולות אחזקה</t>
        </is>
      </c>
      <c r="S681" s="7" t="inlineStr">
        <is>
          <t>Task list header</t>
        </is>
      </c>
      <c r="T681" s="7" t="inlineStr">
        <is>
          <t>11. אחזקה מונעת ותוכניות</t>
        </is>
      </c>
      <c r="U681" s="7" t="inlineStr">
        <is>
          <t>A4</t>
        </is>
      </c>
      <c r="V681" s="9">
        <f>HYPERLINK("#'"&amp;T681&amp;"'!"&amp;U681,"➜ פתח")</f>
        <v/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7" t="inlineStr">
        <is>
          <t>טרנזקציה</t>
        </is>
      </c>
      <c r="Q682" s="8" t="inlineStr">
        <is>
          <t>IA06</t>
        </is>
      </c>
      <c r="R682" s="7" t="inlineStr">
        <is>
          <t>כותרת רשימת פעולות אחזקה</t>
        </is>
      </c>
      <c r="S682" s="7" t="inlineStr">
        <is>
          <t>Task list header</t>
        </is>
      </c>
      <c r="T682" s="7" t="inlineStr">
        <is>
          <t>11. אחזקה מונעת ותוכניות</t>
        </is>
      </c>
      <c r="U682" s="7" t="inlineStr">
        <is>
          <t>A4</t>
        </is>
      </c>
      <c r="V682" s="9">
        <f>HYPERLINK("#'"&amp;T682&amp;"'!"&amp;U682,"➜ פתח")</f>
        <v/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7" t="inlineStr">
        <is>
          <t>טרנזקציה</t>
        </is>
      </c>
      <c r="Q683" s="8" t="inlineStr">
        <is>
          <t>IA08</t>
        </is>
      </c>
      <c r="R683" s="7" t="inlineStr">
        <is>
          <t>כותרת רשימת פעולות אחזקה</t>
        </is>
      </c>
      <c r="S683" s="7" t="inlineStr">
        <is>
          <t>Task list header</t>
        </is>
      </c>
      <c r="T683" s="7" t="inlineStr">
        <is>
          <t>11. אחזקה מונעת ותוכניות</t>
        </is>
      </c>
      <c r="U683" s="7" t="inlineStr">
        <is>
          <t>A4</t>
        </is>
      </c>
      <c r="V683" s="9">
        <f>HYPERLINK("#'"&amp;T683&amp;"'!"&amp;U683,"➜ פתח")</f>
        <v/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7" t="inlineStr">
        <is>
          <t>פונקציה</t>
        </is>
      </c>
      <c r="Q684" s="8" t="inlineStr">
        <is>
          <t>BAPI_TASKLIST_CREATE</t>
        </is>
      </c>
      <c r="R684" s="7" t="inlineStr">
        <is>
          <t>יצירת רשימת פעולות</t>
        </is>
      </c>
      <c r="S684" s="7" t="inlineStr">
        <is>
          <t>Task list header</t>
        </is>
      </c>
      <c r="T684" s="7" t="inlineStr">
        <is>
          <t>11. אחזקה מונעת ותוכניות</t>
        </is>
      </c>
      <c r="U684" s="7" t="inlineStr">
        <is>
          <t>G4</t>
        </is>
      </c>
      <c r="V684" s="9">
        <f>HYPERLINK("#'"&amp;T684&amp;"'!"&amp;U684,"➜ פתח")</f>
        <v/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7" t="inlineStr">
        <is>
          <t>פונקציה</t>
        </is>
      </c>
      <c r="Q685" s="8" t="inlineStr">
        <is>
          <t>CARO_TASKLIST_READ</t>
        </is>
      </c>
      <c r="R685" s="7" t="inlineStr">
        <is>
          <t>קריאת רשימת פעולות</t>
        </is>
      </c>
      <c r="S685" s="7" t="inlineStr">
        <is>
          <t>Task list header</t>
        </is>
      </c>
      <c r="T685" s="7" t="inlineStr">
        <is>
          <t>11. אחזקה מונעת ותוכניות</t>
        </is>
      </c>
      <c r="U685" s="7" t="inlineStr">
        <is>
          <t>G4</t>
        </is>
      </c>
      <c r="V685" s="9">
        <f>HYPERLINK("#'"&amp;T685&amp;"'!"&amp;U685,"➜ פתח")</f>
        <v/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7" t="inlineStr">
        <is>
          <t>תוכנית</t>
        </is>
      </c>
      <c r="Q686" s="8" t="inlineStr">
        <is>
          <t>RIPLKO00</t>
        </is>
      </c>
      <c r="R686" s="7" t="inlineStr">
        <is>
          <t>דוח רשימות פעולות לפי קבוצה</t>
        </is>
      </c>
      <c r="S686" s="7" t="inlineStr">
        <is>
          <t>Task list header</t>
        </is>
      </c>
      <c r="T686" s="7" t="inlineStr">
        <is>
          <t>11. אחזקה מונעת ותוכניות</t>
        </is>
      </c>
      <c r="U686" s="7" t="inlineStr">
        <is>
          <t>I4</t>
        </is>
      </c>
      <c r="V686" s="9">
        <f>HYPERLINK("#'"&amp;T686&amp;"'!"&amp;U686,"➜ פתח")</f>
        <v/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7" t="inlineStr">
        <is>
          <t>Fiori</t>
        </is>
      </c>
      <c r="Q687" s="8" t="inlineStr">
        <is>
          <t>Manage Task Lists (אמת ID)</t>
        </is>
      </c>
      <c r="R687" s="7" t="inlineStr">
        <is>
          <t>כותרת רשימת פעולות אחזקה</t>
        </is>
      </c>
      <c r="S687" s="7" t="inlineStr">
        <is>
          <t>Task list header</t>
        </is>
      </c>
      <c r="T687" s="7" t="inlineStr">
        <is>
          <t>11. אחזקה מונעת ותוכניות</t>
        </is>
      </c>
      <c r="U687" s="7" t="inlineStr">
        <is>
          <t>N4</t>
        </is>
      </c>
      <c r="V687" s="9">
        <f>HYPERLINK("#'"&amp;T687&amp;"'!"&amp;U687,"➜ פתח")</f>
        <v/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7" t="inlineStr">
        <is>
          <t>טבלה</t>
        </is>
      </c>
      <c r="Q688" s="8" t="inlineStr">
        <is>
          <t>PLPO</t>
        </is>
      </c>
      <c r="R688" s="7" t="inlineStr">
        <is>
          <t>פעולות ברשימת פעולות</t>
        </is>
      </c>
      <c r="S688" s="7" t="inlineStr">
        <is>
          <t>Task list operations</t>
        </is>
      </c>
      <c r="T688" s="7" t="inlineStr">
        <is>
          <t>11. אחזקה מונעת ותוכניות</t>
        </is>
      </c>
      <c r="U688" s="7" t="inlineStr">
        <is>
          <t>A10</t>
        </is>
      </c>
      <c r="V688" s="9">
        <f>HYPERLINK("#'"&amp;T688&amp;"'!"&amp;U688,"➜ פתח")</f>
        <v/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7" t="inlineStr">
        <is>
          <t>שדה</t>
        </is>
      </c>
      <c r="Q689" s="8" t="inlineStr">
        <is>
          <t>PLNTY</t>
        </is>
      </c>
      <c r="R689" s="7" t="inlineStr">
        <is>
          <t>סוג רשימה</t>
        </is>
      </c>
      <c r="S689" s="7" t="inlineStr">
        <is>
          <t>Task list type</t>
        </is>
      </c>
      <c r="T689" s="7" t="inlineStr">
        <is>
          <t>11. אחזקה מונעת ותוכניות</t>
        </is>
      </c>
      <c r="U689" s="7" t="inlineStr">
        <is>
          <t>D11</t>
        </is>
      </c>
      <c r="V689" s="9">
        <f>HYPERLINK("#'"&amp;T689&amp;"'!"&amp;U689,"➜ פתח")</f>
        <v/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7" t="inlineStr">
        <is>
          <t>שדה</t>
        </is>
      </c>
      <c r="Q690" s="8" t="inlineStr">
        <is>
          <t>PLNNR</t>
        </is>
      </c>
      <c r="R690" s="7" t="inlineStr">
        <is>
          <t>קבוצת רשימה</t>
        </is>
      </c>
      <c r="S690" s="7" t="inlineStr">
        <is>
          <t>Task list group</t>
        </is>
      </c>
      <c r="T690" s="7" t="inlineStr">
        <is>
          <t>11. אחזקה מונעת ותוכניות</t>
        </is>
      </c>
      <c r="U690" s="7" t="inlineStr">
        <is>
          <t>D12</t>
        </is>
      </c>
      <c r="V690" s="9">
        <f>HYPERLINK("#'"&amp;T690&amp;"'!"&amp;U690,"➜ פתח")</f>
        <v/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7" t="inlineStr">
        <is>
          <t>שדה</t>
        </is>
      </c>
      <c r="Q691" s="8" t="inlineStr">
        <is>
          <t>VORNR</t>
        </is>
      </c>
      <c r="R691" s="7" t="inlineStr">
        <is>
          <t>מספר פעולה</t>
        </is>
      </c>
      <c r="S691" s="7" t="inlineStr">
        <is>
          <t>Operation number</t>
        </is>
      </c>
      <c r="T691" s="7" t="inlineStr">
        <is>
          <t>11. אחזקה מונעת ותוכניות</t>
        </is>
      </c>
      <c r="U691" s="7" t="inlineStr">
        <is>
          <t>D13</t>
        </is>
      </c>
      <c r="V691" s="9">
        <f>HYPERLINK("#'"&amp;T691&amp;"'!"&amp;U691,"➜ פתח")</f>
        <v/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7" t="inlineStr">
        <is>
          <t>שדה</t>
        </is>
      </c>
      <c r="Q692" s="8" t="inlineStr">
        <is>
          <t>ARBID</t>
        </is>
      </c>
      <c r="R692" s="7" t="inlineStr">
        <is>
          <t>מרכז עבודה</t>
        </is>
      </c>
      <c r="S692" s="7" t="inlineStr">
        <is>
          <t>Work center (object id)</t>
        </is>
      </c>
      <c r="T692" s="7" t="inlineStr">
        <is>
          <t>11. אחזקה מונעת ותוכניות</t>
        </is>
      </c>
      <c r="U692" s="7" t="inlineStr">
        <is>
          <t>D14</t>
        </is>
      </c>
      <c r="V692" s="9">
        <f>HYPERLINK("#'"&amp;T692&amp;"'!"&amp;U692,"➜ פתח")</f>
        <v/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7" t="inlineStr">
        <is>
          <t>שדה</t>
        </is>
      </c>
      <c r="Q693" s="8" t="inlineStr">
        <is>
          <t>STEUS</t>
        </is>
      </c>
      <c r="R693" s="7" t="inlineStr">
        <is>
          <t>מפתח בקרה</t>
        </is>
      </c>
      <c r="S693" s="7" t="inlineStr">
        <is>
          <t>Control key</t>
        </is>
      </c>
      <c r="T693" s="7" t="inlineStr">
        <is>
          <t>11. אחזקה מונעת ותוכניות</t>
        </is>
      </c>
      <c r="U693" s="7" t="inlineStr">
        <is>
          <t>D15</t>
        </is>
      </c>
      <c r="V693" s="9">
        <f>HYPERLINK("#'"&amp;T693&amp;"'!"&amp;U693,"➜ פתח")</f>
        <v/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7" t="inlineStr">
        <is>
          <t>שדה</t>
        </is>
      </c>
      <c r="Q694" s="8" t="inlineStr">
        <is>
          <t>ARBEI</t>
        </is>
      </c>
      <c r="R694" s="7" t="inlineStr">
        <is>
          <t>עבודה מתוכננת</t>
        </is>
      </c>
      <c r="S694" s="7" t="inlineStr">
        <is>
          <t>Planned work</t>
        </is>
      </c>
      <c r="T694" s="7" t="inlineStr">
        <is>
          <t>11. אחזקה מונעת ותוכניות</t>
        </is>
      </c>
      <c r="U694" s="7" t="inlineStr">
        <is>
          <t>D16</t>
        </is>
      </c>
      <c r="V694" s="9">
        <f>HYPERLINK("#'"&amp;T694&amp;"'!"&amp;U694,"➜ פתח")</f>
        <v/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7" t="inlineStr">
        <is>
          <t>טרנזקציה</t>
        </is>
      </c>
      <c r="Q695" s="8" t="inlineStr">
        <is>
          <t>IA01</t>
        </is>
      </c>
      <c r="R695" s="7" t="inlineStr">
        <is>
          <t>פעולות ברשימת פעולות</t>
        </is>
      </c>
      <c r="S695" s="7" t="inlineStr">
        <is>
          <t>Task list operations</t>
        </is>
      </c>
      <c r="T695" s="7" t="inlineStr">
        <is>
          <t>11. אחזקה מונעת ותוכניות</t>
        </is>
      </c>
      <c r="U695" s="7" t="inlineStr">
        <is>
          <t>A11</t>
        </is>
      </c>
      <c r="V695" s="9">
        <f>HYPERLINK("#'"&amp;T695&amp;"'!"&amp;U695,"➜ פתח")</f>
        <v/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7" t="inlineStr">
        <is>
          <t>טרנזקציה</t>
        </is>
      </c>
      <c r="Q696" s="8" t="inlineStr">
        <is>
          <t>IA05</t>
        </is>
      </c>
      <c r="R696" s="7" t="inlineStr">
        <is>
          <t>פעולות ברשימת פעולות</t>
        </is>
      </c>
      <c r="S696" s="7" t="inlineStr">
        <is>
          <t>Task list operations</t>
        </is>
      </c>
      <c r="T696" s="7" t="inlineStr">
        <is>
          <t>11. אחזקה מונעת ותוכניות</t>
        </is>
      </c>
      <c r="U696" s="7" t="inlineStr">
        <is>
          <t>A11</t>
        </is>
      </c>
      <c r="V696" s="9">
        <f>HYPERLINK("#'"&amp;T696&amp;"'!"&amp;U696,"➜ פתח")</f>
        <v/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7" t="inlineStr">
        <is>
          <t>טרנזקציה</t>
        </is>
      </c>
      <c r="Q697" s="8" t="inlineStr">
        <is>
          <t>IA06</t>
        </is>
      </c>
      <c r="R697" s="7" t="inlineStr">
        <is>
          <t>פעולות ברשימת פעולות</t>
        </is>
      </c>
      <c r="S697" s="7" t="inlineStr">
        <is>
          <t>Task list operations</t>
        </is>
      </c>
      <c r="T697" s="7" t="inlineStr">
        <is>
          <t>11. אחזקה מונעת ותוכניות</t>
        </is>
      </c>
      <c r="U697" s="7" t="inlineStr">
        <is>
          <t>A11</t>
        </is>
      </c>
      <c r="V697" s="9">
        <f>HYPERLINK("#'"&amp;T697&amp;"'!"&amp;U697,"➜ פתח")</f>
        <v/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7" t="inlineStr">
        <is>
          <t>פונקציה</t>
        </is>
      </c>
      <c r="Q698" s="8" t="inlineStr">
        <is>
          <t>CP_DI_OPERATION_READ</t>
        </is>
      </c>
      <c r="R698" s="7" t="inlineStr">
        <is>
          <t>קריאת פעולות הרשימה</t>
        </is>
      </c>
      <c r="S698" s="7" t="inlineStr">
        <is>
          <t>Task list operations</t>
        </is>
      </c>
      <c r="T698" s="7" t="inlineStr">
        <is>
          <t>11. אחזקה מונעת ותוכניות</t>
        </is>
      </c>
      <c r="U698" s="7" t="inlineStr">
        <is>
          <t>G11</t>
        </is>
      </c>
      <c r="V698" s="9">
        <f>HYPERLINK("#'"&amp;T698&amp;"'!"&amp;U698,"➜ פתח")</f>
        <v/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7" t="inlineStr">
        <is>
          <t>תוכנית</t>
        </is>
      </c>
      <c r="Q699" s="8" t="inlineStr">
        <is>
          <t>RIPLKO00</t>
        </is>
      </c>
      <c r="R699" s="7" t="inlineStr">
        <is>
          <t>דוח פעולות רשימה</t>
        </is>
      </c>
      <c r="S699" s="7" t="inlineStr">
        <is>
          <t>Task list operations</t>
        </is>
      </c>
      <c r="T699" s="7" t="inlineStr">
        <is>
          <t>11. אחזקה מונעת ותוכניות</t>
        </is>
      </c>
      <c r="U699" s="7" t="inlineStr">
        <is>
          <t>I11</t>
        </is>
      </c>
      <c r="V699" s="9">
        <f>HYPERLINK("#'"&amp;T699&amp;"'!"&amp;U699,"➜ פתח")</f>
        <v/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7" t="inlineStr">
        <is>
          <t>Fiori</t>
        </is>
      </c>
      <c r="Q700" s="8" t="inlineStr">
        <is>
          <t>Manage Task Lists (אמת ID)</t>
        </is>
      </c>
      <c r="R700" s="7" t="inlineStr">
        <is>
          <t>פעולות ברשימת פעולות</t>
        </is>
      </c>
      <c r="S700" s="7" t="inlineStr">
        <is>
          <t>Task list operations</t>
        </is>
      </c>
      <c r="T700" s="7" t="inlineStr">
        <is>
          <t>11. אחזקה מונעת ותוכניות</t>
        </is>
      </c>
      <c r="U700" s="7" t="inlineStr">
        <is>
          <t>N11</t>
        </is>
      </c>
      <c r="V700" s="9">
        <f>HYPERLINK("#'"&amp;T700&amp;"'!"&amp;U700,"➜ פתח")</f>
        <v/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7" t="inlineStr">
        <is>
          <t>טבלה</t>
        </is>
      </c>
      <c r="Q701" s="8" t="inlineStr">
        <is>
          <t>MPLA</t>
        </is>
      </c>
      <c r="R701" s="7" t="inlineStr">
        <is>
          <t>כותרת תכנית אחזקה ונתוני תזמון</t>
        </is>
      </c>
      <c r="S701" s="7" t="inlineStr">
        <is>
          <t>Maintenance plan header</t>
        </is>
      </c>
      <c r="T701" s="7" t="inlineStr">
        <is>
          <t>11. אחזקה מונעת ותוכניות</t>
        </is>
      </c>
      <c r="U701" s="7" t="inlineStr">
        <is>
          <t>A18</t>
        </is>
      </c>
      <c r="V701" s="9">
        <f>HYPERLINK("#'"&amp;T701&amp;"'!"&amp;U701,"➜ פתח")</f>
        <v/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7" t="inlineStr">
        <is>
          <t>שדה</t>
        </is>
      </c>
      <c r="Q702" s="8" t="inlineStr">
        <is>
          <t>WARPL</t>
        </is>
      </c>
      <c r="R702" s="7" t="inlineStr">
        <is>
          <t>מספר תכנית אחזקה</t>
        </is>
      </c>
      <c r="S702" s="7" t="inlineStr">
        <is>
          <t>Maintenance plan number</t>
        </is>
      </c>
      <c r="T702" s="7" t="inlineStr">
        <is>
          <t>11. אחזקה מונעת ותוכניות</t>
        </is>
      </c>
      <c r="U702" s="7" t="inlineStr">
        <is>
          <t>D19</t>
        </is>
      </c>
      <c r="V702" s="9">
        <f>HYPERLINK("#'"&amp;T702&amp;"'!"&amp;U702,"➜ פתח")</f>
        <v/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7" t="inlineStr">
        <is>
          <t>שדה</t>
        </is>
      </c>
      <c r="Q703" s="8" t="inlineStr">
        <is>
          <t>MPTYP</t>
        </is>
      </c>
      <c r="R703" s="7" t="inlineStr">
        <is>
          <t>סוג תכנית</t>
        </is>
      </c>
      <c r="S703" s="7" t="inlineStr">
        <is>
          <t>Maintenance plan category</t>
        </is>
      </c>
      <c r="T703" s="7" t="inlineStr">
        <is>
          <t>11. אחזקה מונעת ותוכניות</t>
        </is>
      </c>
      <c r="U703" s="7" t="inlineStr">
        <is>
          <t>D20</t>
        </is>
      </c>
      <c r="V703" s="9">
        <f>HYPERLINK("#'"&amp;T703&amp;"'!"&amp;U703,"➜ פתח")</f>
        <v/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7" t="inlineStr">
        <is>
          <t>שדה</t>
        </is>
      </c>
      <c r="Q704" s="8" t="inlineStr">
        <is>
          <t>STRAT</t>
        </is>
      </c>
      <c r="R704" s="7" t="inlineStr">
        <is>
          <t>אסטרטגיית אחזקה</t>
        </is>
      </c>
      <c r="S704" s="7" t="inlineStr">
        <is>
          <t>Maintenance strategy</t>
        </is>
      </c>
      <c r="T704" s="7" t="inlineStr">
        <is>
          <t>11. אחזקה מונעת ותוכניות</t>
        </is>
      </c>
      <c r="U704" s="7" t="inlineStr">
        <is>
          <t>D21</t>
        </is>
      </c>
      <c r="V704" s="9">
        <f>HYPERLINK("#'"&amp;T704&amp;"'!"&amp;U704,"➜ פתח")</f>
        <v/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7" t="inlineStr">
        <is>
          <t>שדה</t>
        </is>
      </c>
      <c r="Q705" s="8" t="inlineStr">
        <is>
          <t>HORIZ</t>
        </is>
      </c>
      <c r="R705" s="7" t="inlineStr">
        <is>
          <t>אופק שחרור</t>
        </is>
      </c>
      <c r="S705" s="7" t="inlineStr">
        <is>
          <t>Call horizon</t>
        </is>
      </c>
      <c r="T705" s="7" t="inlineStr">
        <is>
          <t>11. אחזקה מונעת ותוכניות</t>
        </is>
      </c>
      <c r="U705" s="7" t="inlineStr">
        <is>
          <t>D22</t>
        </is>
      </c>
      <c r="V705" s="9">
        <f>HYPERLINK("#'"&amp;T705&amp;"'!"&amp;U705,"➜ פתח")</f>
        <v/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7" t="inlineStr">
        <is>
          <t>שדה</t>
        </is>
      </c>
      <c r="Q706" s="8" t="inlineStr">
        <is>
          <t>ABRHO</t>
        </is>
      </c>
      <c r="R706" s="7" t="inlineStr">
        <is>
          <t>תקופת תזמון</t>
        </is>
      </c>
      <c r="S706" s="7" t="inlineStr">
        <is>
          <t>Scheduling period</t>
        </is>
      </c>
      <c r="T706" s="7" t="inlineStr">
        <is>
          <t>11. אחזקה מונעת ותוכניות</t>
        </is>
      </c>
      <c r="U706" s="7" t="inlineStr">
        <is>
          <t>D23</t>
        </is>
      </c>
      <c r="V706" s="9">
        <f>HYPERLINK("#'"&amp;T706&amp;"'!"&amp;U706,"➜ פתח")</f>
        <v/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7" t="inlineStr">
        <is>
          <t>טרנזקציה</t>
        </is>
      </c>
      <c r="Q707" s="8" t="inlineStr">
        <is>
          <t>IP01</t>
        </is>
      </c>
      <c r="R707" s="7" t="inlineStr">
        <is>
          <t>כותרת תכנית אחזקה ונתוני תזמון</t>
        </is>
      </c>
      <c r="S707" s="7" t="inlineStr">
        <is>
          <t>Maintenance plan header</t>
        </is>
      </c>
      <c r="T707" s="7" t="inlineStr">
        <is>
          <t>11. אחזקה מונעת ותוכניות</t>
        </is>
      </c>
      <c r="U707" s="7" t="inlineStr">
        <is>
          <t>A19</t>
        </is>
      </c>
      <c r="V707" s="9">
        <f>HYPERLINK("#'"&amp;T707&amp;"'!"&amp;U707,"➜ פתח")</f>
        <v/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7" t="inlineStr">
        <is>
          <t>טרנזקציה</t>
        </is>
      </c>
      <c r="Q708" s="8" t="inlineStr">
        <is>
          <t>IP02</t>
        </is>
      </c>
      <c r="R708" s="7" t="inlineStr">
        <is>
          <t>כותרת תכנית אחזקה ונתוני תזמון</t>
        </is>
      </c>
      <c r="S708" s="7" t="inlineStr">
        <is>
          <t>Maintenance plan header</t>
        </is>
      </c>
      <c r="T708" s="7" t="inlineStr">
        <is>
          <t>11. אחזקה מונעת ותוכניות</t>
        </is>
      </c>
      <c r="U708" s="7" t="inlineStr">
        <is>
          <t>A19</t>
        </is>
      </c>
      <c r="V708" s="9">
        <f>HYPERLINK("#'"&amp;T708&amp;"'!"&amp;U708,"➜ פתח")</f>
        <v/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7" t="inlineStr">
        <is>
          <t>טרנזקציה</t>
        </is>
      </c>
      <c r="Q709" s="8" t="inlineStr">
        <is>
          <t>IP03</t>
        </is>
      </c>
      <c r="R709" s="7" t="inlineStr">
        <is>
          <t>כותרת תכנית אחזקה ונתוני תזמון</t>
        </is>
      </c>
      <c r="S709" s="7" t="inlineStr">
        <is>
          <t>Maintenance plan header</t>
        </is>
      </c>
      <c r="T709" s="7" t="inlineStr">
        <is>
          <t>11. אחזקה מונעת ותוכניות</t>
        </is>
      </c>
      <c r="U709" s="7" t="inlineStr">
        <is>
          <t>A19</t>
        </is>
      </c>
      <c r="V709" s="9">
        <f>HYPERLINK("#'"&amp;T709&amp;"'!"&amp;U709,"➜ פתח")</f>
        <v/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7" t="inlineStr">
        <is>
          <t>טרנזקציה</t>
        </is>
      </c>
      <c r="Q710" s="8" t="inlineStr">
        <is>
          <t>IP41</t>
        </is>
      </c>
      <c r="R710" s="7" t="inlineStr">
        <is>
          <t>כותרת תכנית אחזקה ונתוני תזמון</t>
        </is>
      </c>
      <c r="S710" s="7" t="inlineStr">
        <is>
          <t>Maintenance plan header</t>
        </is>
      </c>
      <c r="T710" s="7" t="inlineStr">
        <is>
          <t>11. אחזקה מונעת ותוכניות</t>
        </is>
      </c>
      <c r="U710" s="7" t="inlineStr">
        <is>
          <t>A19</t>
        </is>
      </c>
      <c r="V710" s="9">
        <f>HYPERLINK("#'"&amp;T710&amp;"'!"&amp;U710,"➜ פתח")</f>
        <v/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7" t="inlineStr">
        <is>
          <t>טרנזקציה</t>
        </is>
      </c>
      <c r="Q711" s="8" t="inlineStr">
        <is>
          <t>IP42</t>
        </is>
      </c>
      <c r="R711" s="7" t="inlineStr">
        <is>
          <t>כותרת תכנית אחזקה ונתוני תזמון</t>
        </is>
      </c>
      <c r="S711" s="7" t="inlineStr">
        <is>
          <t>Maintenance plan header</t>
        </is>
      </c>
      <c r="T711" s="7" t="inlineStr">
        <is>
          <t>11. אחזקה מונעת ותוכניות</t>
        </is>
      </c>
      <c r="U711" s="7" t="inlineStr">
        <is>
          <t>A19</t>
        </is>
      </c>
      <c r="V711" s="9">
        <f>HYPERLINK("#'"&amp;T711&amp;"'!"&amp;U711,"➜ פתח")</f>
        <v/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7" t="inlineStr">
        <is>
          <t>פונקציה</t>
        </is>
      </c>
      <c r="Q712" s="8" t="inlineStr">
        <is>
          <t>BAPI_MAINTENANCEPLAN_CREATE</t>
        </is>
      </c>
      <c r="R712" s="7" t="inlineStr">
        <is>
          <t>יצירת תכנית אחזקה</t>
        </is>
      </c>
      <c r="S712" s="7" t="inlineStr">
        <is>
          <t>Maintenance plan header</t>
        </is>
      </c>
      <c r="T712" s="7" t="inlineStr">
        <is>
          <t>11. אחזקה מונעת ותוכניות</t>
        </is>
      </c>
      <c r="U712" s="7" t="inlineStr">
        <is>
          <t>G19</t>
        </is>
      </c>
      <c r="V712" s="9">
        <f>HYPERLINK("#'"&amp;T712&amp;"'!"&amp;U712,"➜ פתח")</f>
        <v/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7" t="inlineStr">
        <is>
          <t>פונקציה</t>
        </is>
      </c>
      <c r="Q713" s="8" t="inlineStr">
        <is>
          <t>MAINTENANCE_PLAN_SCHEDULE</t>
        </is>
      </c>
      <c r="R713" s="7" t="inlineStr">
        <is>
          <t>תזמון תכנית אחזקה</t>
        </is>
      </c>
      <c r="S713" s="7" t="inlineStr">
        <is>
          <t>Maintenance plan header</t>
        </is>
      </c>
      <c r="T713" s="7" t="inlineStr">
        <is>
          <t>11. אחזקה מונעת ותוכניות</t>
        </is>
      </c>
      <c r="U713" s="7" t="inlineStr">
        <is>
          <t>G19</t>
        </is>
      </c>
      <c r="V713" s="9">
        <f>HYPERLINK("#'"&amp;T713&amp;"'!"&amp;U713,"➜ פתח")</f>
        <v/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7" t="inlineStr">
        <is>
          <t>תוכנית</t>
        </is>
      </c>
      <c r="Q714" s="8" t="inlineStr">
        <is>
          <t>RIMPLA00</t>
        </is>
      </c>
      <c r="R714" s="7" t="inlineStr">
        <is>
          <t>דוח תכניות אחזקה ופריטיהן</t>
        </is>
      </c>
      <c r="S714" s="7" t="inlineStr">
        <is>
          <t>Maintenance plan header</t>
        </is>
      </c>
      <c r="T714" s="7" t="inlineStr">
        <is>
          <t>11. אחזקה מונעת ותוכניות</t>
        </is>
      </c>
      <c r="U714" s="7" t="inlineStr">
        <is>
          <t>I19</t>
        </is>
      </c>
      <c r="V714" s="9">
        <f>HYPERLINK("#'"&amp;T714&amp;"'!"&amp;U714,"➜ פתח")</f>
        <v/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7" t="inlineStr">
        <is>
          <t>Fiori</t>
        </is>
      </c>
      <c r="Q715" s="8" t="inlineStr">
        <is>
          <t>Manage Maintenance Plans (אמת ID)</t>
        </is>
      </c>
      <c r="R715" s="7" t="inlineStr">
        <is>
          <t>כותרת תכנית אחזקה ונתוני תזמון</t>
        </is>
      </c>
      <c r="S715" s="7" t="inlineStr">
        <is>
          <t>Maintenance plan header</t>
        </is>
      </c>
      <c r="T715" s="7" t="inlineStr">
        <is>
          <t>11. אחזקה מונעת ותוכניות</t>
        </is>
      </c>
      <c r="U715" s="7" t="inlineStr">
        <is>
          <t>N19</t>
        </is>
      </c>
      <c r="V715" s="9">
        <f>HYPERLINK("#'"&amp;T715&amp;"'!"&amp;U715,"➜ פתח")</f>
        <v/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7" t="inlineStr">
        <is>
          <t>טבלה</t>
        </is>
      </c>
      <c r="Q716" s="8" t="inlineStr">
        <is>
          <t>MPOS</t>
        </is>
      </c>
      <c r="R716" s="7" t="inlineStr">
        <is>
          <t>פריט תכנית אחזקה</t>
        </is>
      </c>
      <c r="S716" s="7" t="inlineStr">
        <is>
          <t>Maintenance item</t>
        </is>
      </c>
      <c r="T716" s="7" t="inlineStr">
        <is>
          <t>11. אחזקה מונעת ותוכניות</t>
        </is>
      </c>
      <c r="U716" s="7" t="inlineStr">
        <is>
          <t>A25</t>
        </is>
      </c>
      <c r="V716" s="9">
        <f>HYPERLINK("#'"&amp;T716&amp;"'!"&amp;U716,"➜ פתח")</f>
        <v/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7" t="inlineStr">
        <is>
          <t>שדה</t>
        </is>
      </c>
      <c r="Q717" s="8" t="inlineStr">
        <is>
          <t>WAPOS</t>
        </is>
      </c>
      <c r="R717" s="7" t="inlineStr">
        <is>
          <t>מספר פריט תכנית</t>
        </is>
      </c>
      <c r="S717" s="7" t="inlineStr">
        <is>
          <t>Maintenance item number</t>
        </is>
      </c>
      <c r="T717" s="7" t="inlineStr">
        <is>
          <t>11. אחזקה מונעת ותוכניות</t>
        </is>
      </c>
      <c r="U717" s="7" t="inlineStr">
        <is>
          <t>D26</t>
        </is>
      </c>
      <c r="V717" s="9">
        <f>HYPERLINK("#'"&amp;T717&amp;"'!"&amp;U717,"➜ פתח")</f>
        <v/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7" t="inlineStr">
        <is>
          <t>שדה</t>
        </is>
      </c>
      <c r="Q718" s="8" t="inlineStr">
        <is>
          <t>WARPL</t>
        </is>
      </c>
      <c r="R718" s="7" t="inlineStr">
        <is>
          <t>תכנית אחזקה</t>
        </is>
      </c>
      <c r="S718" s="7" t="inlineStr">
        <is>
          <t>Maintenance plan</t>
        </is>
      </c>
      <c r="T718" s="7" t="inlineStr">
        <is>
          <t>11. אחזקה מונעת ותוכניות</t>
        </is>
      </c>
      <c r="U718" s="7" t="inlineStr">
        <is>
          <t>D27</t>
        </is>
      </c>
      <c r="V718" s="9">
        <f>HYPERLINK("#'"&amp;T718&amp;"'!"&amp;U718,"➜ פתח")</f>
        <v/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7" t="inlineStr">
        <is>
          <t>שדה</t>
        </is>
      </c>
      <c r="Q719" s="8" t="inlineStr">
        <is>
          <t>EQUNR</t>
        </is>
      </c>
      <c r="R719" s="7" t="inlineStr">
        <is>
          <t>ציוד מתייחס</t>
        </is>
      </c>
      <c r="S719" s="7" t="inlineStr">
        <is>
          <t>Reference equipment</t>
        </is>
      </c>
      <c r="T719" s="7" t="inlineStr">
        <is>
          <t>11. אחזקה מונעת ותוכניות</t>
        </is>
      </c>
      <c r="U719" s="7" t="inlineStr">
        <is>
          <t>D28</t>
        </is>
      </c>
      <c r="V719" s="9">
        <f>HYPERLINK("#'"&amp;T719&amp;"'!"&amp;U719,"➜ פתח")</f>
        <v/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7" t="inlineStr">
        <is>
          <t>שדה</t>
        </is>
      </c>
      <c r="Q720" s="8" t="inlineStr">
        <is>
          <t>TPLNR</t>
        </is>
      </c>
      <c r="R720" s="7" t="inlineStr">
        <is>
          <t>מיקום מתייחס</t>
        </is>
      </c>
      <c r="S720" s="7" t="inlineStr">
        <is>
          <t>Reference functional location</t>
        </is>
      </c>
      <c r="T720" s="7" t="inlineStr">
        <is>
          <t>11. אחזקה מונעת ותוכניות</t>
        </is>
      </c>
      <c r="U720" s="7" t="inlineStr">
        <is>
          <t>D29</t>
        </is>
      </c>
      <c r="V720" s="9">
        <f>HYPERLINK("#'"&amp;T720&amp;"'!"&amp;U720,"➜ פתח")</f>
        <v/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7" t="inlineStr">
        <is>
          <t>שדה</t>
        </is>
      </c>
      <c r="Q721" s="8" t="inlineStr">
        <is>
          <t>AUART</t>
        </is>
      </c>
      <c r="R721" s="7" t="inlineStr">
        <is>
          <t>סוג פק"ע ליצירה</t>
        </is>
      </c>
      <c r="S721" s="7" t="inlineStr">
        <is>
          <t>Order type to create</t>
        </is>
      </c>
      <c r="T721" s="7" t="inlineStr">
        <is>
          <t>11. אחזקה מונעת ותוכניות</t>
        </is>
      </c>
      <c r="U721" s="7" t="inlineStr">
        <is>
          <t>D30</t>
        </is>
      </c>
      <c r="V721" s="9">
        <f>HYPERLINK("#'"&amp;T721&amp;"'!"&amp;U721,"➜ פתח")</f>
        <v/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7" t="inlineStr">
        <is>
          <t>שדה</t>
        </is>
      </c>
      <c r="Q722" s="8" t="inlineStr">
        <is>
          <t>PLNNR</t>
        </is>
      </c>
      <c r="R722" s="7" t="inlineStr">
        <is>
          <t>קבוצת רשימת פעולות</t>
        </is>
      </c>
      <c r="S722" s="7" t="inlineStr">
        <is>
          <t>Task list group</t>
        </is>
      </c>
      <c r="T722" s="7" t="inlineStr">
        <is>
          <t>11. אחזקה מונעת ותוכניות</t>
        </is>
      </c>
      <c r="U722" s="7" t="inlineStr">
        <is>
          <t>D31</t>
        </is>
      </c>
      <c r="V722" s="9">
        <f>HYPERLINK("#'"&amp;T722&amp;"'!"&amp;U722,"➜ פתח")</f>
        <v/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7" t="inlineStr">
        <is>
          <t>טרנזקציה</t>
        </is>
      </c>
      <c r="Q723" s="8" t="inlineStr">
        <is>
          <t>IP04</t>
        </is>
      </c>
      <c r="R723" s="7" t="inlineStr">
        <is>
          <t>פריט תכנית אחזקה</t>
        </is>
      </c>
      <c r="S723" s="7" t="inlineStr">
        <is>
          <t>Maintenance item</t>
        </is>
      </c>
      <c r="T723" s="7" t="inlineStr">
        <is>
          <t>11. אחזקה מונעת ותוכניות</t>
        </is>
      </c>
      <c r="U723" s="7" t="inlineStr">
        <is>
          <t>A26</t>
        </is>
      </c>
      <c r="V723" s="9">
        <f>HYPERLINK("#'"&amp;T723&amp;"'!"&amp;U723,"➜ פתח")</f>
        <v/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7" t="inlineStr">
        <is>
          <t>טרנזקציה</t>
        </is>
      </c>
      <c r="Q724" s="8" t="inlineStr">
        <is>
          <t>IP02</t>
        </is>
      </c>
      <c r="R724" s="7" t="inlineStr">
        <is>
          <t>פריט תכנית אחזקה</t>
        </is>
      </c>
      <c r="S724" s="7" t="inlineStr">
        <is>
          <t>Maintenance item</t>
        </is>
      </c>
      <c r="T724" s="7" t="inlineStr">
        <is>
          <t>11. אחזקה מונעת ותוכניות</t>
        </is>
      </c>
      <c r="U724" s="7" t="inlineStr">
        <is>
          <t>A26</t>
        </is>
      </c>
      <c r="V724" s="9">
        <f>HYPERLINK("#'"&amp;T724&amp;"'!"&amp;U724,"➜ פתח")</f>
        <v/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7" t="inlineStr">
        <is>
          <t>פונקציה</t>
        </is>
      </c>
      <c r="Q725" s="8" t="inlineStr">
        <is>
          <t>MAINTENANCE_ITEM_READ</t>
        </is>
      </c>
      <c r="R725" s="7" t="inlineStr">
        <is>
          <t>קריאת פריט תכנית אחזקה</t>
        </is>
      </c>
      <c r="S725" s="7" t="inlineStr">
        <is>
          <t>Maintenance item</t>
        </is>
      </c>
      <c r="T725" s="7" t="inlineStr">
        <is>
          <t>11. אחזקה מונעת ותוכניות</t>
        </is>
      </c>
      <c r="U725" s="7" t="inlineStr">
        <is>
          <t>G26</t>
        </is>
      </c>
      <c r="V725" s="9">
        <f>HYPERLINK("#'"&amp;T725&amp;"'!"&amp;U725,"➜ פתח")</f>
        <v/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7" t="inlineStr">
        <is>
          <t>תוכנית</t>
        </is>
      </c>
      <c r="Q726" s="8" t="inlineStr">
        <is>
          <t>RIMPLA00</t>
        </is>
      </c>
      <c r="R726" s="7" t="inlineStr">
        <is>
          <t>דוח פריטי תכנית אחזקה</t>
        </is>
      </c>
      <c r="S726" s="7" t="inlineStr">
        <is>
          <t>Maintenance item</t>
        </is>
      </c>
      <c r="T726" s="7" t="inlineStr">
        <is>
          <t>11. אחזקה מונעת ותוכניות</t>
        </is>
      </c>
      <c r="U726" s="7" t="inlineStr">
        <is>
          <t>I26</t>
        </is>
      </c>
      <c r="V726" s="9">
        <f>HYPERLINK("#'"&amp;T726&amp;"'!"&amp;U726,"➜ פתח")</f>
        <v/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7" t="inlineStr">
        <is>
          <t>Fiori</t>
        </is>
      </c>
      <c r="Q727" s="8" t="inlineStr">
        <is>
          <t>Manage Maintenance Plans (אמת ID)</t>
        </is>
      </c>
      <c r="R727" s="7" t="inlineStr">
        <is>
          <t>פריט תכנית אחזקה</t>
        </is>
      </c>
      <c r="S727" s="7" t="inlineStr">
        <is>
          <t>Maintenance item</t>
        </is>
      </c>
      <c r="T727" s="7" t="inlineStr">
        <is>
          <t>11. אחזקה מונעת ותוכניות</t>
        </is>
      </c>
      <c r="U727" s="7" t="inlineStr">
        <is>
          <t>N26</t>
        </is>
      </c>
      <c r="V727" s="9">
        <f>HYPERLINK("#'"&amp;T727&amp;"'!"&amp;U727,"➜ פתח")</f>
        <v/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7" t="inlineStr">
        <is>
          <t>טבלה</t>
        </is>
      </c>
      <c r="Q728" s="8" t="inlineStr">
        <is>
          <t>MHIO</t>
        </is>
      </c>
      <c r="R728" s="7" t="inlineStr">
        <is>
          <t>אובייקטי קריאת תכנית האחזקה</t>
        </is>
      </c>
      <c r="S728" s="7" t="inlineStr">
        <is>
          <t>Maintenance plan call objects</t>
        </is>
      </c>
      <c r="T728" s="7" t="inlineStr">
        <is>
          <t>11. אחזקה מונעת ותוכניות</t>
        </is>
      </c>
      <c r="U728" s="7" t="inlineStr">
        <is>
          <t>A33</t>
        </is>
      </c>
      <c r="V728" s="9">
        <f>HYPERLINK("#'"&amp;T728&amp;"'!"&amp;U728,"➜ פתח")</f>
        <v/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7" t="inlineStr">
        <is>
          <t>שדה</t>
        </is>
      </c>
      <c r="Q729" s="8" t="inlineStr">
        <is>
          <t>WARPL</t>
        </is>
      </c>
      <c r="R729" s="7" t="inlineStr">
        <is>
          <t>תכנית אחזקה</t>
        </is>
      </c>
      <c r="S729" s="7" t="inlineStr">
        <is>
          <t>Maintenance plan</t>
        </is>
      </c>
      <c r="T729" s="7" t="inlineStr">
        <is>
          <t>11. אחזקה מונעת ותוכניות</t>
        </is>
      </c>
      <c r="U729" s="7" t="inlineStr">
        <is>
          <t>D34</t>
        </is>
      </c>
      <c r="V729" s="9">
        <f>HYPERLINK("#'"&amp;T729&amp;"'!"&amp;U729,"➜ פתח")</f>
        <v/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7" t="inlineStr">
        <is>
          <t>שדה</t>
        </is>
      </c>
      <c r="Q730" s="8" t="inlineStr">
        <is>
          <t>ABNUM</t>
        </is>
      </c>
      <c r="R730" s="7" t="inlineStr">
        <is>
          <t>מספר קריאה</t>
        </is>
      </c>
      <c r="S730" s="7" t="inlineStr">
        <is>
          <t>Maintenance call number</t>
        </is>
      </c>
      <c r="T730" s="7" t="inlineStr">
        <is>
          <t>11. אחזקה מונעת ותוכניות</t>
        </is>
      </c>
      <c r="U730" s="7" t="inlineStr">
        <is>
          <t>D35</t>
        </is>
      </c>
      <c r="V730" s="9">
        <f>HYPERLINK("#'"&amp;T730&amp;"'!"&amp;U730,"➜ פתח")</f>
        <v/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7" t="inlineStr">
        <is>
          <t>שדה</t>
        </is>
      </c>
      <c r="Q731" s="8" t="inlineStr">
        <is>
          <t>NPLDA</t>
        </is>
      </c>
      <c r="R731" s="7" t="inlineStr">
        <is>
          <t>תאריך מתוכנן הבא</t>
        </is>
      </c>
      <c r="S731" s="7" t="inlineStr">
        <is>
          <t>Next planned date</t>
        </is>
      </c>
      <c r="T731" s="7" t="inlineStr">
        <is>
          <t>11. אחזקה מונעת ותוכניות</t>
        </is>
      </c>
      <c r="U731" s="7" t="inlineStr">
        <is>
          <t>D36</t>
        </is>
      </c>
      <c r="V731" s="9">
        <f>HYPERLINK("#'"&amp;T731&amp;"'!"&amp;U731,"➜ פתח")</f>
        <v/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7" t="inlineStr">
        <is>
          <t>שדה</t>
        </is>
      </c>
      <c r="Q732" s="8" t="inlineStr">
        <is>
          <t>AUFNR</t>
        </is>
      </c>
      <c r="R732" s="7" t="inlineStr">
        <is>
          <t>פק"ע שנוצרה</t>
        </is>
      </c>
      <c r="S732" s="7" t="inlineStr">
        <is>
          <t>Order created</t>
        </is>
      </c>
      <c r="T732" s="7" t="inlineStr">
        <is>
          <t>11. אחזקה מונעת ותוכניות</t>
        </is>
      </c>
      <c r="U732" s="7" t="inlineStr">
        <is>
          <t>D37</t>
        </is>
      </c>
      <c r="V732" s="9">
        <f>HYPERLINK("#'"&amp;T732&amp;"'!"&amp;U732,"➜ פתח")</f>
        <v/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7" t="inlineStr">
        <is>
          <t>שדה</t>
        </is>
      </c>
      <c r="Q733" s="8" t="inlineStr">
        <is>
          <t>ABRUF</t>
        </is>
      </c>
      <c r="R733" s="7" t="inlineStr">
        <is>
          <t>סטטוס קריאה</t>
        </is>
      </c>
      <c r="S733" s="7" t="inlineStr">
        <is>
          <t>Call status</t>
        </is>
      </c>
      <c r="T733" s="7" t="inlineStr">
        <is>
          <t>11. אחזקה מונעת ותוכניות</t>
        </is>
      </c>
      <c r="U733" s="7" t="inlineStr">
        <is>
          <t>D38</t>
        </is>
      </c>
      <c r="V733" s="9">
        <f>HYPERLINK("#'"&amp;T733&amp;"'!"&amp;U733,"➜ פתח")</f>
        <v/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7" t="inlineStr">
        <is>
          <t>טרנזקציה</t>
        </is>
      </c>
      <c r="Q734" s="8" t="inlineStr">
        <is>
          <t>IP10</t>
        </is>
      </c>
      <c r="R734" s="7" t="inlineStr">
        <is>
          <t>אובייקטי קריאת תכנית האחזקה</t>
        </is>
      </c>
      <c r="S734" s="7" t="inlineStr">
        <is>
          <t>Maintenance plan call objects</t>
        </is>
      </c>
      <c r="T734" s="7" t="inlineStr">
        <is>
          <t>11. אחזקה מונעת ותוכניות</t>
        </is>
      </c>
      <c r="U734" s="7" t="inlineStr">
        <is>
          <t>A34</t>
        </is>
      </c>
      <c r="V734" s="9">
        <f>HYPERLINK("#'"&amp;T734&amp;"'!"&amp;U734,"➜ פתח")</f>
        <v/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7" t="inlineStr">
        <is>
          <t>טרנזקציה</t>
        </is>
      </c>
      <c r="Q735" s="8" t="inlineStr">
        <is>
          <t>IP30</t>
        </is>
      </c>
      <c r="R735" s="7" t="inlineStr">
        <is>
          <t>אובייקטי קריאת תכנית האחזקה</t>
        </is>
      </c>
      <c r="S735" s="7" t="inlineStr">
        <is>
          <t>Maintenance plan call objects</t>
        </is>
      </c>
      <c r="T735" s="7" t="inlineStr">
        <is>
          <t>11. אחזקה מונעת ותוכניות</t>
        </is>
      </c>
      <c r="U735" s="7" t="inlineStr">
        <is>
          <t>A34</t>
        </is>
      </c>
      <c r="V735" s="9">
        <f>HYPERLINK("#'"&amp;T735&amp;"'!"&amp;U735,"➜ פתח")</f>
        <v/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7" t="inlineStr">
        <is>
          <t>טרנזקציה</t>
        </is>
      </c>
      <c r="Q736" s="8" t="inlineStr">
        <is>
          <t>IP24</t>
        </is>
      </c>
      <c r="R736" s="7" t="inlineStr">
        <is>
          <t>אובייקטי קריאת תכנית האחזקה</t>
        </is>
      </c>
      <c r="S736" s="7" t="inlineStr">
        <is>
          <t>Maintenance plan call objects</t>
        </is>
      </c>
      <c r="T736" s="7" t="inlineStr">
        <is>
          <t>11. אחזקה מונעת ותוכניות</t>
        </is>
      </c>
      <c r="U736" s="7" t="inlineStr">
        <is>
          <t>A34</t>
        </is>
      </c>
      <c r="V736" s="9">
        <f>HYPERLINK("#'"&amp;T736&amp;"'!"&amp;U736,"➜ פתח")</f>
        <v/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7" t="inlineStr">
        <is>
          <t>פונקציה</t>
        </is>
      </c>
      <c r="Q737" s="8" t="inlineStr">
        <is>
          <t>ISCHED_CALL_GENERATE</t>
        </is>
      </c>
      <c r="R737" s="7" t="inlineStr">
        <is>
          <t>יצירת קריאת אחזקה ופק"ע</t>
        </is>
      </c>
      <c r="S737" s="7" t="inlineStr">
        <is>
          <t>Maintenance plan call objects</t>
        </is>
      </c>
      <c r="T737" s="7" t="inlineStr">
        <is>
          <t>11. אחזקה מונעת ותוכניות</t>
        </is>
      </c>
      <c r="U737" s="7" t="inlineStr">
        <is>
          <t>G34</t>
        </is>
      </c>
      <c r="V737" s="9">
        <f>HYPERLINK("#'"&amp;T737&amp;"'!"&amp;U737,"➜ פתח")</f>
        <v/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7" t="inlineStr">
        <is>
          <t>פונקציה</t>
        </is>
      </c>
      <c r="Q738" s="8" t="inlineStr">
        <is>
          <t>MAINTENANCE_PLAN_SCHEDULE</t>
        </is>
      </c>
      <c r="R738" s="7" t="inlineStr">
        <is>
          <t>תזמון ושחרור קריאות</t>
        </is>
      </c>
      <c r="S738" s="7" t="inlineStr">
        <is>
          <t>Maintenance plan call objects</t>
        </is>
      </c>
      <c r="T738" s="7" t="inlineStr">
        <is>
          <t>11. אחזקה מונעת ותוכניות</t>
        </is>
      </c>
      <c r="U738" s="7" t="inlineStr">
        <is>
          <t>G34</t>
        </is>
      </c>
      <c r="V738" s="9">
        <f>HYPERLINK("#'"&amp;T738&amp;"'!"&amp;U738,"➜ פתח")</f>
        <v/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7" t="inlineStr">
        <is>
          <t>תוכנית</t>
        </is>
      </c>
      <c r="Q739" s="8" t="inlineStr">
        <is>
          <t>RISTRA20</t>
        </is>
      </c>
      <c r="R739" s="7" t="inlineStr">
        <is>
          <t>ניטור מועדים ברקע (IP30)</t>
        </is>
      </c>
      <c r="S739" s="7" t="inlineStr">
        <is>
          <t>Maintenance plan call objects</t>
        </is>
      </c>
      <c r="T739" s="7" t="inlineStr">
        <is>
          <t>11. אחזקה מונעת ותוכניות</t>
        </is>
      </c>
      <c r="U739" s="7" t="inlineStr">
        <is>
          <t>I34</t>
        </is>
      </c>
      <c r="V739" s="9">
        <f>HYPERLINK("#'"&amp;T739&amp;"'!"&amp;U739,"➜ פתח")</f>
        <v/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7" t="inlineStr">
        <is>
          <t>Fiori</t>
        </is>
      </c>
      <c r="Q740" s="8" t="inlineStr">
        <is>
          <t>Schedule Maintenance Plans (אמת ID)</t>
        </is>
      </c>
      <c r="R740" s="7" t="inlineStr">
        <is>
          <t>אובייקטי קריאת תכנית האחזקה</t>
        </is>
      </c>
      <c r="S740" s="7" t="inlineStr">
        <is>
          <t>Maintenance plan call objects</t>
        </is>
      </c>
      <c r="T740" s="7" t="inlineStr">
        <is>
          <t>11. אחזקה מונעת ותוכניות</t>
        </is>
      </c>
      <c r="U740" s="7" t="inlineStr">
        <is>
          <t>N34</t>
        </is>
      </c>
      <c r="V740" s="9">
        <f>HYPERLINK("#'"&amp;T740&amp;"'!"&amp;U740,"➜ פתח")</f>
        <v/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7" t="inlineStr">
        <is>
          <t>טבלה</t>
        </is>
      </c>
      <c r="Q741" s="8" t="inlineStr">
        <is>
          <t>MHIS</t>
        </is>
      </c>
      <c r="R741" s="7" t="inlineStr">
        <is>
          <t>היסטוריית תזמון תכנית אחזקה</t>
        </is>
      </c>
      <c r="S741" s="7" t="inlineStr">
        <is>
          <t>Maintenance plan scheduling history</t>
        </is>
      </c>
      <c r="T741" s="7" t="inlineStr">
        <is>
          <t>11. אחזקה מונעת ותוכניות</t>
        </is>
      </c>
      <c r="U741" s="7" t="inlineStr">
        <is>
          <t>A40</t>
        </is>
      </c>
      <c r="V741" s="9">
        <f>HYPERLINK("#'"&amp;T741&amp;"'!"&amp;U741,"➜ פתח")</f>
        <v/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7" t="inlineStr">
        <is>
          <t>שדה</t>
        </is>
      </c>
      <c r="Q742" s="8" t="inlineStr">
        <is>
          <t>WARPL</t>
        </is>
      </c>
      <c r="R742" s="7" t="inlineStr">
        <is>
          <t>תכנית אחזקה</t>
        </is>
      </c>
      <c r="S742" s="7" t="inlineStr">
        <is>
          <t>Maintenance plan</t>
        </is>
      </c>
      <c r="T742" s="7" t="inlineStr">
        <is>
          <t>11. אחזקה מונעת ותוכניות</t>
        </is>
      </c>
      <c r="U742" s="7" t="inlineStr">
        <is>
          <t>D41</t>
        </is>
      </c>
      <c r="V742" s="9">
        <f>HYPERLINK("#'"&amp;T742&amp;"'!"&amp;U742,"➜ פתח")</f>
        <v/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7" t="inlineStr">
        <is>
          <t>שדה</t>
        </is>
      </c>
      <c r="Q743" s="8" t="inlineStr">
        <is>
          <t>ABNUM</t>
        </is>
      </c>
      <c r="R743" s="7" t="inlineStr">
        <is>
          <t>מספר קריאה</t>
        </is>
      </c>
      <c r="S743" s="7" t="inlineStr">
        <is>
          <t>Call number</t>
        </is>
      </c>
      <c r="T743" s="7" t="inlineStr">
        <is>
          <t>11. אחזקה מונעת ותוכניות</t>
        </is>
      </c>
      <c r="U743" s="7" t="inlineStr">
        <is>
          <t>D42</t>
        </is>
      </c>
      <c r="V743" s="9">
        <f>HYPERLINK("#'"&amp;T743&amp;"'!"&amp;U743,"➜ פתח")</f>
        <v/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7" t="inlineStr">
        <is>
          <t>שדה</t>
        </is>
      </c>
      <c r="Q744" s="8" t="inlineStr">
        <is>
          <t>NTERM</t>
        </is>
      </c>
      <c r="R744" s="7" t="inlineStr">
        <is>
          <t>מועד מתוכנן</t>
        </is>
      </c>
      <c r="S744" s="7" t="inlineStr">
        <is>
          <t>Planned date</t>
        </is>
      </c>
      <c r="T744" s="7" t="inlineStr">
        <is>
          <t>11. אחזקה מונעת ותוכניות</t>
        </is>
      </c>
      <c r="U744" s="7" t="inlineStr">
        <is>
          <t>D43</t>
        </is>
      </c>
      <c r="V744" s="9">
        <f>HYPERLINK("#'"&amp;T744&amp;"'!"&amp;U744,"➜ פתח")</f>
        <v/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7" t="inlineStr">
        <is>
          <t>שדה</t>
        </is>
      </c>
      <c r="Q745" s="8" t="inlineStr">
        <is>
          <t>HORIZ</t>
        </is>
      </c>
      <c r="R745" s="7" t="inlineStr">
        <is>
          <t>אופק בעת תזמון</t>
        </is>
      </c>
      <c r="S745" s="7" t="inlineStr">
        <is>
          <t>Call horizon at scheduling</t>
        </is>
      </c>
      <c r="T745" s="7" t="inlineStr">
        <is>
          <t>11. אחזקה מונעת ותוכניות</t>
        </is>
      </c>
      <c r="U745" s="7" t="inlineStr">
        <is>
          <t>D44</t>
        </is>
      </c>
      <c r="V745" s="9">
        <f>HYPERLINK("#'"&amp;T745&amp;"'!"&amp;U745,"➜ פתח")</f>
        <v/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7" t="inlineStr">
        <is>
          <t>טרנזקציה</t>
        </is>
      </c>
      <c r="Q746" s="8" t="inlineStr">
        <is>
          <t>IP10</t>
        </is>
      </c>
      <c r="R746" s="7" t="inlineStr">
        <is>
          <t>היסטוריית תזמון תכנית אחזקה</t>
        </is>
      </c>
      <c r="S746" s="7" t="inlineStr">
        <is>
          <t>Maintenance plan scheduling history</t>
        </is>
      </c>
      <c r="T746" s="7" t="inlineStr">
        <is>
          <t>11. אחזקה מונעת ותוכניות</t>
        </is>
      </c>
      <c r="U746" s="7" t="inlineStr">
        <is>
          <t>A41</t>
        </is>
      </c>
      <c r="V746" s="9">
        <f>HYPERLINK("#'"&amp;T746&amp;"'!"&amp;U746,"➜ פתח")</f>
        <v/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7" t="inlineStr">
        <is>
          <t>טרנזקציה</t>
        </is>
      </c>
      <c r="Q747" s="8" t="inlineStr">
        <is>
          <t>IP30</t>
        </is>
      </c>
      <c r="R747" s="7" t="inlineStr">
        <is>
          <t>היסטוריית תזמון תכנית אחזקה</t>
        </is>
      </c>
      <c r="S747" s="7" t="inlineStr">
        <is>
          <t>Maintenance plan scheduling history</t>
        </is>
      </c>
      <c r="T747" s="7" t="inlineStr">
        <is>
          <t>11. אחזקה מונעת ותוכניות</t>
        </is>
      </c>
      <c r="U747" s="7" t="inlineStr">
        <is>
          <t>A41</t>
        </is>
      </c>
      <c r="V747" s="9">
        <f>HYPERLINK("#'"&amp;T747&amp;"'!"&amp;U747,"➜ פתח")</f>
        <v/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7" t="inlineStr">
        <is>
          <t>פונקציה</t>
        </is>
      </c>
      <c r="Q748" s="8" t="inlineStr">
        <is>
          <t>SCHEDULING_HISTORY_READ</t>
        </is>
      </c>
      <c r="R748" s="7" t="inlineStr">
        <is>
          <t>קריאת היסטוריית תזמון</t>
        </is>
      </c>
      <c r="S748" s="7" t="inlineStr">
        <is>
          <t>Maintenance plan scheduling history</t>
        </is>
      </c>
      <c r="T748" s="7" t="inlineStr">
        <is>
          <t>11. אחזקה מונעת ותוכניות</t>
        </is>
      </c>
      <c r="U748" s="7" t="inlineStr">
        <is>
          <t>G41</t>
        </is>
      </c>
      <c r="V748" s="9">
        <f>HYPERLINK("#'"&amp;T748&amp;"'!"&amp;U748,"➜ פתח")</f>
        <v/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7" t="inlineStr">
        <is>
          <t>תוכנית</t>
        </is>
      </c>
      <c r="Q749" s="8" t="inlineStr">
        <is>
          <t>RISTRA10</t>
        </is>
      </c>
      <c r="R749" s="7" t="inlineStr">
        <is>
          <t>ניתוח אסטרטגיות וחבילות אחזקה</t>
        </is>
      </c>
      <c r="S749" s="7" t="inlineStr">
        <is>
          <t>Maintenance plan scheduling history</t>
        </is>
      </c>
      <c r="T749" s="7" t="inlineStr">
        <is>
          <t>11. אחזקה מונעת ותוכניות</t>
        </is>
      </c>
      <c r="U749" s="7" t="inlineStr">
        <is>
          <t>I41</t>
        </is>
      </c>
      <c r="V749" s="9">
        <f>HYPERLINK("#'"&amp;T749&amp;"'!"&amp;U749,"➜ פתח")</f>
        <v/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7" t="inlineStr">
        <is>
          <t>Fiori</t>
        </is>
      </c>
      <c r="Q750" s="8" t="inlineStr">
        <is>
          <t>Schedule Maintenance Plans (אמת ID)</t>
        </is>
      </c>
      <c r="R750" s="7" t="inlineStr">
        <is>
          <t>היסטוריית תזמון תכנית אחזקה</t>
        </is>
      </c>
      <c r="S750" s="7" t="inlineStr">
        <is>
          <t>Maintenance plan scheduling history</t>
        </is>
      </c>
      <c r="T750" s="7" t="inlineStr">
        <is>
          <t>11. אחזקה מונעת ותוכניות</t>
        </is>
      </c>
      <c r="U750" s="7" t="inlineStr">
        <is>
          <t>N41</t>
        </is>
      </c>
      <c r="V750" s="9">
        <f>HYPERLINK("#'"&amp;T750&amp;"'!"&amp;U750,"➜ פתח")</f>
        <v/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7" t="inlineStr">
        <is>
          <t>User Exit</t>
        </is>
      </c>
      <c r="Q751" s="8" t="inlineStr">
        <is>
          <t>IPRM0001</t>
        </is>
      </c>
      <c r="R751" s="7" t="inlineStr">
        <is>
          <t>הרחבת לקוח לתכניות אחזקה (Maintenance Plans)</t>
        </is>
      </c>
      <c r="S751" s="7" t="inlineStr"/>
      <c r="T751" s="7" t="inlineStr">
        <is>
          <t>11. אחזקה מונעת ותוכניות</t>
        </is>
      </c>
      <c r="U751" s="7" t="inlineStr">
        <is>
          <t>A49</t>
        </is>
      </c>
      <c r="V751" s="9">
        <f>HYPERLINK("#'"&amp;T751&amp;"'!"&amp;U751,"➜ פתח")</f>
        <v/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7" t="inlineStr">
        <is>
          <t>User Exit</t>
        </is>
      </c>
      <c r="Q752" s="8" t="inlineStr">
        <is>
          <t>IPRM0002</t>
        </is>
      </c>
      <c r="R752" s="7" t="inlineStr">
        <is>
          <t>הרחבת לוגיקת תזמון (Scheduling)</t>
        </is>
      </c>
      <c r="S752" s="7" t="inlineStr"/>
      <c r="T752" s="7" t="inlineStr">
        <is>
          <t>11. אחזקה מונעת ותוכניות</t>
        </is>
      </c>
      <c r="U752" s="7" t="inlineStr">
        <is>
          <t>A50</t>
        </is>
      </c>
      <c r="V752" s="9">
        <f>HYPERLINK("#'"&amp;T752&amp;"'!"&amp;U752,"➜ פתח")</f>
        <v/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7" t="inlineStr">
        <is>
          <t>BAdI</t>
        </is>
      </c>
      <c r="Q753" s="8" t="inlineStr">
        <is>
          <t>BADI_EAM_MAINT_PLAN</t>
        </is>
      </c>
      <c r="R753" s="7" t="inlineStr">
        <is>
          <t>הרחבת תכניות אחזקה ותזמון (אמת שם ב-SE18)</t>
        </is>
      </c>
      <c r="S753" s="7" t="inlineStr"/>
      <c r="T753" s="7" t="inlineStr">
        <is>
          <t>11. אחזקה מונעת ותוכניות</t>
        </is>
      </c>
      <c r="U753" s="7" t="inlineStr">
        <is>
          <t>A51</t>
        </is>
      </c>
      <c r="V753" s="9">
        <f>HYPERLINK("#'"&amp;T753&amp;"'!"&amp;U753,"➜ פתח")</f>
        <v/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7" t="inlineStr">
        <is>
          <t>טבלה</t>
        </is>
      </c>
      <c r="Q754" s="8" t="inlineStr">
        <is>
          <t>QMEL</t>
        </is>
      </c>
      <c r="R754" s="7" t="inlineStr">
        <is>
          <t>הודעות (כולל היסטוריות) לניתוח אמינות</t>
        </is>
      </c>
      <c r="S754" s="7" t="inlineStr">
        <is>
          <t>Notifications incl. historical</t>
        </is>
      </c>
      <c r="T754" s="7" t="inlineStr">
        <is>
          <t>12. היסטוריה וארכיון</t>
        </is>
      </c>
      <c r="U754" s="7" t="inlineStr">
        <is>
          <t>A3</t>
        </is>
      </c>
      <c r="V754" s="9">
        <f>HYPERLINK("#'"&amp;T754&amp;"'!"&amp;U754,"➜ פתח")</f>
        <v/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7" t="inlineStr">
        <is>
          <t>שדה</t>
        </is>
      </c>
      <c r="Q755" s="8" t="inlineStr">
        <is>
          <t>QMNUM</t>
        </is>
      </c>
      <c r="R755" s="7" t="inlineStr">
        <is>
          <t>מספר הודעה</t>
        </is>
      </c>
      <c r="S755" s="7" t="inlineStr">
        <is>
          <t>Notification number</t>
        </is>
      </c>
      <c r="T755" s="7" t="inlineStr">
        <is>
          <t>12. היסטוריה וארכיון</t>
        </is>
      </c>
      <c r="U755" s="7" t="inlineStr">
        <is>
          <t>D4</t>
        </is>
      </c>
      <c r="V755" s="9">
        <f>HYPERLINK("#'"&amp;T755&amp;"'!"&amp;U755,"➜ פתח")</f>
        <v/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7" t="inlineStr">
        <is>
          <t>שדה</t>
        </is>
      </c>
      <c r="Q756" s="8" t="inlineStr">
        <is>
          <t>QMART</t>
        </is>
      </c>
      <c r="R756" s="7" t="inlineStr">
        <is>
          <t>סוג הודעה</t>
        </is>
      </c>
      <c r="S756" s="7" t="inlineStr">
        <is>
          <t>Notification type</t>
        </is>
      </c>
      <c r="T756" s="7" t="inlineStr">
        <is>
          <t>12. היסטוריה וארכיון</t>
        </is>
      </c>
      <c r="U756" s="7" t="inlineStr">
        <is>
          <t>D5</t>
        </is>
      </c>
      <c r="V756" s="9">
        <f>HYPERLINK("#'"&amp;T756&amp;"'!"&amp;U756,"➜ פתח")</f>
        <v/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7" t="inlineStr">
        <is>
          <t>שדה</t>
        </is>
      </c>
      <c r="Q757" s="8" t="inlineStr">
        <is>
          <t>AUSVN</t>
        </is>
      </c>
      <c r="R757" s="7" t="inlineStr">
        <is>
          <t>תחילת השבתה</t>
        </is>
      </c>
      <c r="S757" s="7" t="inlineStr">
        <is>
          <t>Breakdown start</t>
        </is>
      </c>
      <c r="T757" s="7" t="inlineStr">
        <is>
          <t>12. היסטוריה וארכיון</t>
        </is>
      </c>
      <c r="U757" s="7" t="inlineStr">
        <is>
          <t>D6</t>
        </is>
      </c>
      <c r="V757" s="9">
        <f>HYPERLINK("#'"&amp;T757&amp;"'!"&amp;U757,"➜ פתח")</f>
        <v/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7" t="inlineStr">
        <is>
          <t>שדה</t>
        </is>
      </c>
      <c r="Q758" s="8" t="inlineStr">
        <is>
          <t>AUSBS</t>
        </is>
      </c>
      <c r="R758" s="7" t="inlineStr">
        <is>
          <t>סיום השבתה</t>
        </is>
      </c>
      <c r="S758" s="7" t="inlineStr">
        <is>
          <t>Breakdown end</t>
        </is>
      </c>
      <c r="T758" s="7" t="inlineStr">
        <is>
          <t>12. היסטוריה וארכיון</t>
        </is>
      </c>
      <c r="U758" s="7" t="inlineStr">
        <is>
          <t>D7</t>
        </is>
      </c>
      <c r="V758" s="9">
        <f>HYPERLINK("#'"&amp;T758&amp;"'!"&amp;U758,"➜ פתח")</f>
        <v/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7" t="inlineStr">
        <is>
          <t>שדה</t>
        </is>
      </c>
      <c r="Q759" s="8" t="inlineStr">
        <is>
          <t>AUSZT</t>
        </is>
      </c>
      <c r="R759" s="7" t="inlineStr">
        <is>
          <t>משך השבתה</t>
        </is>
      </c>
      <c r="S759" s="7" t="inlineStr">
        <is>
          <t>Breakdown duration</t>
        </is>
      </c>
      <c r="T759" s="7" t="inlineStr">
        <is>
          <t>12. היסטוריה וארכיון</t>
        </is>
      </c>
      <c r="U759" s="7" t="inlineStr">
        <is>
          <t>D8</t>
        </is>
      </c>
      <c r="V759" s="9">
        <f>HYPERLINK("#'"&amp;T759&amp;"'!"&amp;U759,"➜ פתח")</f>
        <v/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7" t="inlineStr">
        <is>
          <t>טרנזקציה</t>
        </is>
      </c>
      <c r="Q760" s="8" t="inlineStr">
        <is>
          <t>IW64</t>
        </is>
      </c>
      <c r="R760" s="7" t="inlineStr">
        <is>
          <t>הודעות (כולל היסטוריות) לניתוח אמינות</t>
        </is>
      </c>
      <c r="S760" s="7" t="inlineStr">
        <is>
          <t>Notifications incl. historical</t>
        </is>
      </c>
      <c r="T760" s="7" t="inlineStr">
        <is>
          <t>12. היסטוריה וארכיון</t>
        </is>
      </c>
      <c r="U760" s="7" t="inlineStr">
        <is>
          <t>A4</t>
        </is>
      </c>
      <c r="V760" s="9">
        <f>HYPERLINK("#'"&amp;T760&amp;"'!"&amp;U760,"➜ פתח")</f>
        <v/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7" t="inlineStr">
        <is>
          <t>טרנזקציה</t>
        </is>
      </c>
      <c r="Q761" s="8" t="inlineStr">
        <is>
          <t>IW66</t>
        </is>
      </c>
      <c r="R761" s="7" t="inlineStr">
        <is>
          <t>הודעות (כולל היסטוריות) לניתוח אמינות</t>
        </is>
      </c>
      <c r="S761" s="7" t="inlineStr">
        <is>
          <t>Notifications incl. historical</t>
        </is>
      </c>
      <c r="T761" s="7" t="inlineStr">
        <is>
          <t>12. היסטוריה וארכיון</t>
        </is>
      </c>
      <c r="U761" s="7" t="inlineStr">
        <is>
          <t>A4</t>
        </is>
      </c>
      <c r="V761" s="9">
        <f>HYPERLINK("#'"&amp;T761&amp;"'!"&amp;U761,"➜ פתח")</f>
        <v/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7" t="inlineStr">
        <is>
          <t>טרנזקציה</t>
        </is>
      </c>
      <c r="Q762" s="8" t="inlineStr">
        <is>
          <t>IW67</t>
        </is>
      </c>
      <c r="R762" s="7" t="inlineStr">
        <is>
          <t>הודעות (כולל היסטוריות) לניתוח אמינות</t>
        </is>
      </c>
      <c r="S762" s="7" t="inlineStr">
        <is>
          <t>Notifications incl. historical</t>
        </is>
      </c>
      <c r="T762" s="7" t="inlineStr">
        <is>
          <t>12. היסטוריה וארכיון</t>
        </is>
      </c>
      <c r="U762" s="7" t="inlineStr">
        <is>
          <t>A4</t>
        </is>
      </c>
      <c r="V762" s="9">
        <f>HYPERLINK("#'"&amp;T762&amp;"'!"&amp;U762,"➜ פתח")</f>
        <v/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7" t="inlineStr">
        <is>
          <t>פונקציה</t>
        </is>
      </c>
      <c r="Q763" s="8" t="inlineStr">
        <is>
          <t>BAPI_ALM_NOTIF_GET_DETAIL</t>
        </is>
      </c>
      <c r="R763" s="7" t="inlineStr">
        <is>
          <t>שליפת פרטי הודעה היסטורית</t>
        </is>
      </c>
      <c r="S763" s="7" t="inlineStr">
        <is>
          <t>Notifications incl. historical</t>
        </is>
      </c>
      <c r="T763" s="7" t="inlineStr">
        <is>
          <t>12. היסטוריה וארכיון</t>
        </is>
      </c>
      <c r="U763" s="7" t="inlineStr">
        <is>
          <t>G4</t>
        </is>
      </c>
      <c r="V763" s="9">
        <f>HYPERLINK("#'"&amp;T763&amp;"'!"&amp;U763,"➜ פתח")</f>
        <v/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7" t="inlineStr">
        <is>
          <t>פונקציה</t>
        </is>
      </c>
      <c r="Q764" s="8" t="inlineStr">
        <is>
          <t>BAPI_ALM_NOTIF_LIST_FILTER</t>
        </is>
      </c>
      <c r="R764" s="7" t="inlineStr">
        <is>
          <t>סינון הודעות לפי קריטריון</t>
        </is>
      </c>
      <c r="S764" s="7" t="inlineStr">
        <is>
          <t>Notifications incl. historical</t>
        </is>
      </c>
      <c r="T764" s="7" t="inlineStr">
        <is>
          <t>12. היסטוריה וארכיון</t>
        </is>
      </c>
      <c r="U764" s="7" t="inlineStr">
        <is>
          <t>G4</t>
        </is>
      </c>
      <c r="V764" s="9">
        <f>HYPERLINK("#'"&amp;T764&amp;"'!"&amp;U764,"➜ פתח")</f>
        <v/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7" t="inlineStr">
        <is>
          <t>תוכנית</t>
        </is>
      </c>
      <c r="Q765" s="8" t="inlineStr">
        <is>
          <t>RIQMEL20</t>
        </is>
      </c>
      <c r="R765" s="7" t="inlineStr">
        <is>
          <t>דוח היסטוריית הודעות (MTBF/MTTR)</t>
        </is>
      </c>
      <c r="S765" s="7" t="inlineStr">
        <is>
          <t>Notifications incl. historical</t>
        </is>
      </c>
      <c r="T765" s="7" t="inlineStr">
        <is>
          <t>12. היסטוריה וארכיון</t>
        </is>
      </c>
      <c r="U765" s="7" t="inlineStr">
        <is>
          <t>I4</t>
        </is>
      </c>
      <c r="V765" s="9">
        <f>HYPERLINK("#'"&amp;T765&amp;"'!"&amp;U765,"➜ פתח")</f>
        <v/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7" t="inlineStr">
        <is>
          <t>Fiori</t>
        </is>
      </c>
      <c r="Q766" s="8" t="inlineStr">
        <is>
          <t>Maintenance Backlog (אמת ID)</t>
        </is>
      </c>
      <c r="R766" s="7" t="inlineStr">
        <is>
          <t>הודעות (כולל היסטוריות) לניתוח אמינות</t>
        </is>
      </c>
      <c r="S766" s="7" t="inlineStr">
        <is>
          <t>Notifications incl. historical</t>
        </is>
      </c>
      <c r="T766" s="7" t="inlineStr">
        <is>
          <t>12. היסטוריה וארכיון</t>
        </is>
      </c>
      <c r="U766" s="7" t="inlineStr">
        <is>
          <t>N4</t>
        </is>
      </c>
      <c r="V766" s="9">
        <f>HYPERLINK("#'"&amp;T766&amp;"'!"&amp;U766,"➜ פתח")</f>
        <v/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7" t="inlineStr">
        <is>
          <t>טבלה</t>
        </is>
      </c>
      <c r="Q767" s="8" t="inlineStr">
        <is>
          <t>AUFK</t>
        </is>
      </c>
      <c r="R767" s="7" t="inlineStr">
        <is>
          <t>פקודות (כולל היסטוריות) לניתוח עלות</t>
        </is>
      </c>
      <c r="S767" s="7" t="inlineStr">
        <is>
          <t>Orders incl. historical</t>
        </is>
      </c>
      <c r="T767" s="7" t="inlineStr">
        <is>
          <t>12. היסטוריה וארכיון</t>
        </is>
      </c>
      <c r="U767" s="7" t="inlineStr">
        <is>
          <t>A10</t>
        </is>
      </c>
      <c r="V767" s="9">
        <f>HYPERLINK("#'"&amp;T767&amp;"'!"&amp;U767,"➜ פתח")</f>
        <v/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7" t="inlineStr">
        <is>
          <t>שדה</t>
        </is>
      </c>
      <c r="Q768" s="8" t="inlineStr">
        <is>
          <t>AUFNR</t>
        </is>
      </c>
      <c r="R768" s="7" t="inlineStr">
        <is>
          <t>מספר פק"ע</t>
        </is>
      </c>
      <c r="S768" s="7" t="inlineStr">
        <is>
          <t>Order number</t>
        </is>
      </c>
      <c r="T768" s="7" t="inlineStr">
        <is>
          <t>12. היסטוריה וארכיון</t>
        </is>
      </c>
      <c r="U768" s="7" t="inlineStr">
        <is>
          <t>D11</t>
        </is>
      </c>
      <c r="V768" s="9">
        <f>HYPERLINK("#'"&amp;T768&amp;"'!"&amp;U768,"➜ פתח")</f>
        <v/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7" t="inlineStr">
        <is>
          <t>שדה</t>
        </is>
      </c>
      <c r="Q769" s="8" t="inlineStr">
        <is>
          <t>AUART</t>
        </is>
      </c>
      <c r="R769" s="7" t="inlineStr">
        <is>
          <t>סוג פק"ע</t>
        </is>
      </c>
      <c r="S769" s="7" t="inlineStr">
        <is>
          <t>Order type</t>
        </is>
      </c>
      <c r="T769" s="7" t="inlineStr">
        <is>
          <t>12. היסטוריה וארכיון</t>
        </is>
      </c>
      <c r="U769" s="7" t="inlineStr">
        <is>
          <t>D12</t>
        </is>
      </c>
      <c r="V769" s="9">
        <f>HYPERLINK("#'"&amp;T769&amp;"'!"&amp;U769,"➜ פתח")</f>
        <v/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7" t="inlineStr">
        <is>
          <t>שדה</t>
        </is>
      </c>
      <c r="Q770" s="8" t="inlineStr">
        <is>
          <t>IDAT2</t>
        </is>
      </c>
      <c r="R770" s="7" t="inlineStr">
        <is>
          <t>תאריך השלמה טכנית</t>
        </is>
      </c>
      <c r="S770" s="7" t="inlineStr">
        <is>
          <t>Technical completion date (TECO)</t>
        </is>
      </c>
      <c r="T770" s="7" t="inlineStr">
        <is>
          <t>12. היסטוריה וארכיון</t>
        </is>
      </c>
      <c r="U770" s="7" t="inlineStr">
        <is>
          <t>D13</t>
        </is>
      </c>
      <c r="V770" s="9">
        <f>HYPERLINK("#'"&amp;T770&amp;"'!"&amp;U770,"➜ פתח")</f>
        <v/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7" t="inlineStr">
        <is>
          <t>שדה</t>
        </is>
      </c>
      <c r="Q771" s="8" t="inlineStr">
        <is>
          <t>ERDAT</t>
        </is>
      </c>
      <c r="R771" s="7" t="inlineStr">
        <is>
          <t>תאריך יצירה</t>
        </is>
      </c>
      <c r="S771" s="7" t="inlineStr">
        <is>
          <t>Creation date</t>
        </is>
      </c>
      <c r="T771" s="7" t="inlineStr">
        <is>
          <t>12. היסטוריה וארכיון</t>
        </is>
      </c>
      <c r="U771" s="7" t="inlineStr">
        <is>
          <t>D14</t>
        </is>
      </c>
      <c r="V771" s="9">
        <f>HYPERLINK("#'"&amp;T771&amp;"'!"&amp;U771,"➜ פתח")</f>
        <v/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7" t="inlineStr">
        <is>
          <t>שדה</t>
        </is>
      </c>
      <c r="Q772" s="8" t="inlineStr">
        <is>
          <t>OBJNR</t>
        </is>
      </c>
      <c r="R772" s="7" t="inlineStr">
        <is>
          <t>מפתח אובייקט</t>
        </is>
      </c>
      <c r="S772" s="7" t="inlineStr">
        <is>
          <t>Object number</t>
        </is>
      </c>
      <c r="T772" s="7" t="inlineStr">
        <is>
          <t>12. היסטוריה וארכיון</t>
        </is>
      </c>
      <c r="U772" s="7" t="inlineStr">
        <is>
          <t>D15</t>
        </is>
      </c>
      <c r="V772" s="9">
        <f>HYPERLINK("#'"&amp;T772&amp;"'!"&amp;U772,"➜ פתח")</f>
        <v/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7" t="inlineStr">
        <is>
          <t>טרנזקציה</t>
        </is>
      </c>
      <c r="Q773" s="8" t="inlineStr">
        <is>
          <t>IW39</t>
        </is>
      </c>
      <c r="R773" s="7" t="inlineStr">
        <is>
          <t>פקודות (כולל היסטוריות) לניתוח עלות</t>
        </is>
      </c>
      <c r="S773" s="7" t="inlineStr">
        <is>
          <t>Orders incl. historical</t>
        </is>
      </c>
      <c r="T773" s="7" t="inlineStr">
        <is>
          <t>12. היסטוריה וארכיון</t>
        </is>
      </c>
      <c r="U773" s="7" t="inlineStr">
        <is>
          <t>A11</t>
        </is>
      </c>
      <c r="V773" s="9">
        <f>HYPERLINK("#'"&amp;T773&amp;"'!"&amp;U773,"➜ פתח")</f>
        <v/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7" t="inlineStr">
        <is>
          <t>טרנזקציה</t>
        </is>
      </c>
      <c r="Q774" s="8" t="inlineStr">
        <is>
          <t>IW13</t>
        </is>
      </c>
      <c r="R774" s="7" t="inlineStr">
        <is>
          <t>פקודות (כולל היסטוריות) לניתוח עלות</t>
        </is>
      </c>
      <c r="S774" s="7" t="inlineStr">
        <is>
          <t>Orders incl. historical</t>
        </is>
      </c>
      <c r="T774" s="7" t="inlineStr">
        <is>
          <t>12. היסטוריה וארכיון</t>
        </is>
      </c>
      <c r="U774" s="7" t="inlineStr">
        <is>
          <t>A11</t>
        </is>
      </c>
      <c r="V774" s="9">
        <f>HYPERLINK("#'"&amp;T774&amp;"'!"&amp;U774,"➜ פתח")</f>
        <v/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7" t="inlineStr">
        <is>
          <t>פונקציה</t>
        </is>
      </c>
      <c r="Q775" s="8" t="inlineStr">
        <is>
          <t>BAPI_ALM_ORDERHEAD_GET_LIST</t>
        </is>
      </c>
      <c r="R775" s="7" t="inlineStr">
        <is>
          <t>שליפת רשימת פק"ע היסטוריות</t>
        </is>
      </c>
      <c r="S775" s="7" t="inlineStr">
        <is>
          <t>Orders incl. historical</t>
        </is>
      </c>
      <c r="T775" s="7" t="inlineStr">
        <is>
          <t>12. היסטוריה וארכיון</t>
        </is>
      </c>
      <c r="U775" s="7" t="inlineStr">
        <is>
          <t>G11</t>
        </is>
      </c>
      <c r="V775" s="9">
        <f>HYPERLINK("#'"&amp;T775&amp;"'!"&amp;U775,"➜ פתח")</f>
        <v/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7" t="inlineStr">
        <is>
          <t>תוכנית</t>
        </is>
      </c>
      <c r="Q776" s="8" t="inlineStr">
        <is>
          <t>RIAUFK20</t>
        </is>
      </c>
      <c r="R776" s="7" t="inlineStr">
        <is>
          <t>דוח פק"ע סגורות וניתוח עלות מחזור חיים</t>
        </is>
      </c>
      <c r="S776" s="7" t="inlineStr">
        <is>
          <t>Orders incl. historical</t>
        </is>
      </c>
      <c r="T776" s="7" t="inlineStr">
        <is>
          <t>12. היסטוריה וארכיון</t>
        </is>
      </c>
      <c r="U776" s="7" t="inlineStr">
        <is>
          <t>I11</t>
        </is>
      </c>
      <c r="V776" s="9">
        <f>HYPERLINK("#'"&amp;T776&amp;"'!"&amp;U776,"➜ פתח")</f>
        <v/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7" t="inlineStr">
        <is>
          <t>Fiori</t>
        </is>
      </c>
      <c r="Q777" s="8" t="inlineStr">
        <is>
          <t>Find Maintenance Order (F2393)</t>
        </is>
      </c>
      <c r="R777" s="7" t="inlineStr">
        <is>
          <t>פקודות (כולל היסטוריות) לניתוח עלות</t>
        </is>
      </c>
      <c r="S777" s="7" t="inlineStr">
        <is>
          <t>Orders incl. historical</t>
        </is>
      </c>
      <c r="T777" s="7" t="inlineStr">
        <is>
          <t>12. היסטוריה וארכיון</t>
        </is>
      </c>
      <c r="U777" s="7" t="inlineStr">
        <is>
          <t>N11</t>
        </is>
      </c>
      <c r="V777" s="9">
        <f>HYPERLINK("#'"&amp;T777&amp;"'!"&amp;U777,"➜ פתח")</f>
        <v/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7" t="inlineStr">
        <is>
          <t>טבלה</t>
        </is>
      </c>
      <c r="Q778" s="8" t="inlineStr">
        <is>
          <t>ADMI_RUN</t>
        </is>
      </c>
      <c r="R778" s="7" t="inlineStr">
        <is>
          <t>ריצות ארכוב נתונים</t>
        </is>
      </c>
      <c r="S778" s="7" t="inlineStr">
        <is>
          <t>Archiving runs (ADK)</t>
        </is>
      </c>
      <c r="T778" s="7" t="inlineStr">
        <is>
          <t>12. היסטוריה וארכיון</t>
        </is>
      </c>
      <c r="U778" s="7" t="inlineStr">
        <is>
          <t>A17</t>
        </is>
      </c>
      <c r="V778" s="9">
        <f>HYPERLINK("#'"&amp;T778&amp;"'!"&amp;U778,"➜ פתח")</f>
        <v/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7" t="inlineStr">
        <is>
          <t>שדה</t>
        </is>
      </c>
      <c r="Q779" s="8" t="inlineStr">
        <is>
          <t>RUNID</t>
        </is>
      </c>
      <c r="R779" s="7" t="inlineStr">
        <is>
          <t>מזהה ריצת ארכוב</t>
        </is>
      </c>
      <c r="S779" s="7" t="inlineStr">
        <is>
          <t>Archiving run ID</t>
        </is>
      </c>
      <c r="T779" s="7" t="inlineStr">
        <is>
          <t>12. היסטוריה וארכיון</t>
        </is>
      </c>
      <c r="U779" s="7" t="inlineStr">
        <is>
          <t>D18</t>
        </is>
      </c>
      <c r="V779" s="9">
        <f>HYPERLINK("#'"&amp;T779&amp;"'!"&amp;U779,"➜ פתח")</f>
        <v/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7" t="inlineStr">
        <is>
          <t>שדה</t>
        </is>
      </c>
      <c r="Q780" s="8" t="inlineStr">
        <is>
          <t>OBJECT</t>
        </is>
      </c>
      <c r="R780" s="7" t="inlineStr">
        <is>
          <t>אובייקט ארכוב</t>
        </is>
      </c>
      <c r="S780" s="7" t="inlineStr">
        <is>
          <t>Archiving object (PM_ORDER/PM_QMEL)</t>
        </is>
      </c>
      <c r="T780" s="7" t="inlineStr">
        <is>
          <t>12. היסטוריה וארכיון</t>
        </is>
      </c>
      <c r="U780" s="7" t="inlineStr">
        <is>
          <t>D19</t>
        </is>
      </c>
      <c r="V780" s="9">
        <f>HYPERLINK("#'"&amp;T780&amp;"'!"&amp;U780,"➜ פתח")</f>
        <v/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7" t="inlineStr">
        <is>
          <t>שדה</t>
        </is>
      </c>
      <c r="Q781" s="8" t="inlineStr">
        <is>
          <t>GENER_DATE</t>
        </is>
      </c>
      <c r="R781" s="7" t="inlineStr">
        <is>
          <t>תאריך יצירה</t>
        </is>
      </c>
      <c r="S781" s="7" t="inlineStr">
        <is>
          <t>Generation date</t>
        </is>
      </c>
      <c r="T781" s="7" t="inlineStr">
        <is>
          <t>12. היסטוריה וארכיון</t>
        </is>
      </c>
      <c r="U781" s="7" t="inlineStr">
        <is>
          <t>D20</t>
        </is>
      </c>
      <c r="V781" s="9">
        <f>HYPERLINK("#'"&amp;T781&amp;"'!"&amp;U781,"➜ פתח")</f>
        <v/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7" t="inlineStr">
        <is>
          <t>שדה</t>
        </is>
      </c>
      <c r="Q782" s="8" t="inlineStr">
        <is>
          <t>STATUS</t>
        </is>
      </c>
      <c r="R782" s="7" t="inlineStr">
        <is>
          <t>סטטוס ריצה</t>
        </is>
      </c>
      <c r="S782" s="7" t="inlineStr">
        <is>
          <t>Run status</t>
        </is>
      </c>
      <c r="T782" s="7" t="inlineStr">
        <is>
          <t>12. היסטוריה וארכיון</t>
        </is>
      </c>
      <c r="U782" s="7" t="inlineStr">
        <is>
          <t>D21</t>
        </is>
      </c>
      <c r="V782" s="9">
        <f>HYPERLINK("#'"&amp;T782&amp;"'!"&amp;U782,"➜ פתח")</f>
        <v/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7" t="inlineStr">
        <is>
          <t>טרנזקציה</t>
        </is>
      </c>
      <c r="Q783" s="8" t="inlineStr">
        <is>
          <t>SARA</t>
        </is>
      </c>
      <c r="R783" s="7" t="inlineStr">
        <is>
          <t>ריצות ארכוב נתונים</t>
        </is>
      </c>
      <c r="S783" s="7" t="inlineStr">
        <is>
          <t>Archiving runs (ADK)</t>
        </is>
      </c>
      <c r="T783" s="7" t="inlineStr">
        <is>
          <t>12. היסטוריה וארכיון</t>
        </is>
      </c>
      <c r="U783" s="7" t="inlineStr">
        <is>
          <t>A18</t>
        </is>
      </c>
      <c r="V783" s="9">
        <f>HYPERLINK("#'"&amp;T783&amp;"'!"&amp;U783,"➜ פתח")</f>
        <v/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7" t="inlineStr">
        <is>
          <t>טרנזקציה</t>
        </is>
      </c>
      <c r="Q784" s="8" t="inlineStr">
        <is>
          <t>AOBJ</t>
        </is>
      </c>
      <c r="R784" s="7" t="inlineStr">
        <is>
          <t>ריצות ארכוב נתונים</t>
        </is>
      </c>
      <c r="S784" s="7" t="inlineStr">
        <is>
          <t>Archiving runs (ADK)</t>
        </is>
      </c>
      <c r="T784" s="7" t="inlineStr">
        <is>
          <t>12. היסטוריה וארכיון</t>
        </is>
      </c>
      <c r="U784" s="7" t="inlineStr">
        <is>
          <t>A18</t>
        </is>
      </c>
      <c r="V784" s="9">
        <f>HYPERLINK("#'"&amp;T784&amp;"'!"&amp;U784,"➜ פתח")</f>
        <v/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7" t="inlineStr">
        <is>
          <t>טרנזקציה</t>
        </is>
      </c>
      <c r="Q785" s="8" t="inlineStr">
        <is>
          <t>DB15</t>
        </is>
      </c>
      <c r="R785" s="7" t="inlineStr">
        <is>
          <t>ריצות ארכוב נתונים</t>
        </is>
      </c>
      <c r="S785" s="7" t="inlineStr">
        <is>
          <t>Archiving runs (ADK)</t>
        </is>
      </c>
      <c r="T785" s="7" t="inlineStr">
        <is>
          <t>12. היסטוריה וארכיון</t>
        </is>
      </c>
      <c r="U785" s="7" t="inlineStr">
        <is>
          <t>A18</t>
        </is>
      </c>
      <c r="V785" s="9">
        <f>HYPERLINK("#'"&amp;T785&amp;"'!"&amp;U785,"➜ פתח")</f>
        <v/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7" t="inlineStr">
        <is>
          <t>פונקציה</t>
        </is>
      </c>
      <c r="Q786" s="8" t="inlineStr">
        <is>
          <t>ARCHIVE_OPEN_FOR_WRITE</t>
        </is>
      </c>
      <c r="R786" s="7" t="inlineStr">
        <is>
          <t>פתיחת ארכיון לכתיבה</t>
        </is>
      </c>
      <c r="S786" s="7" t="inlineStr">
        <is>
          <t>Archiving runs (ADK)</t>
        </is>
      </c>
      <c r="T786" s="7" t="inlineStr">
        <is>
          <t>12. היסטוריה וארכיון</t>
        </is>
      </c>
      <c r="U786" s="7" t="inlineStr">
        <is>
          <t>G18</t>
        </is>
      </c>
      <c r="V786" s="9">
        <f>HYPERLINK("#'"&amp;T786&amp;"'!"&amp;U786,"➜ פתח")</f>
        <v/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7" t="inlineStr">
        <is>
          <t>פונקציה</t>
        </is>
      </c>
      <c r="Q787" s="8" t="inlineStr">
        <is>
          <t>ARCHIVE_GET_NEXT_OBJECT</t>
        </is>
      </c>
      <c r="R787" s="7" t="inlineStr">
        <is>
          <t>קריאת אובייקט הבא מהארכיון</t>
        </is>
      </c>
      <c r="S787" s="7" t="inlineStr">
        <is>
          <t>Archiving runs (ADK)</t>
        </is>
      </c>
      <c r="T787" s="7" t="inlineStr">
        <is>
          <t>12. היסטוריה וארכיון</t>
        </is>
      </c>
      <c r="U787" s="7" t="inlineStr">
        <is>
          <t>G18</t>
        </is>
      </c>
      <c r="V787" s="9">
        <f>HYPERLINK("#'"&amp;T787&amp;"'!"&amp;U787,"➜ פתח")</f>
        <v/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7" t="inlineStr">
        <is>
          <t>פונקציה</t>
        </is>
      </c>
      <c r="Q788" s="8" t="inlineStr">
        <is>
          <t>ARCHIVE_DELETE_FROM_DB</t>
        </is>
      </c>
      <c r="R788" s="7" t="inlineStr">
        <is>
          <t>מחיקת רשומות מה-DB החי</t>
        </is>
      </c>
      <c r="S788" s="7" t="inlineStr">
        <is>
          <t>Archiving runs (ADK)</t>
        </is>
      </c>
      <c r="T788" s="7" t="inlineStr">
        <is>
          <t>12. היסטוריה וארכיון</t>
        </is>
      </c>
      <c r="U788" s="7" t="inlineStr">
        <is>
          <t>G18</t>
        </is>
      </c>
      <c r="V788" s="9">
        <f>HYPERLINK("#'"&amp;T788&amp;"'!"&amp;U788,"➜ פתח")</f>
        <v/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7" t="inlineStr">
        <is>
          <t>תוכנית</t>
        </is>
      </c>
      <c r="Q789" s="8" t="inlineStr">
        <is>
          <t>RIARCPM1</t>
        </is>
      </c>
      <c r="R789" s="7" t="inlineStr">
        <is>
          <t>כתיבה/מחיקה של ארכוב פקודות אחזקה</t>
        </is>
      </c>
      <c r="S789" s="7" t="inlineStr">
        <is>
          <t>Archiving runs (ADK)</t>
        </is>
      </c>
      <c r="T789" s="7" t="inlineStr">
        <is>
          <t>12. היסטוריה וארכיון</t>
        </is>
      </c>
      <c r="U789" s="7" t="inlineStr">
        <is>
          <t>I18</t>
        </is>
      </c>
      <c r="V789" s="9">
        <f>HYPERLINK("#'"&amp;T789&amp;"'!"&amp;U789,"➜ פתח")</f>
        <v/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7" t="inlineStr">
        <is>
          <t>Fiori</t>
        </is>
      </c>
      <c r="Q790" s="8" t="inlineStr">
        <is>
          <t>Data Archiving (אמת ID)</t>
        </is>
      </c>
      <c r="R790" s="7" t="inlineStr">
        <is>
          <t>ריצות ארכוב נתונים</t>
        </is>
      </c>
      <c r="S790" s="7" t="inlineStr">
        <is>
          <t>Archiving runs (ADK)</t>
        </is>
      </c>
      <c r="T790" s="7" t="inlineStr">
        <is>
          <t>12. היסטוריה וארכיון</t>
        </is>
      </c>
      <c r="U790" s="7" t="inlineStr">
        <is>
          <t>N18</t>
        </is>
      </c>
      <c r="V790" s="9">
        <f>HYPERLINK("#'"&amp;T790&amp;"'!"&amp;U790,"➜ פתח")</f>
        <v/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7" t="inlineStr">
        <is>
          <t>User Exit</t>
        </is>
      </c>
      <c r="Q791" s="8" t="inlineStr">
        <is>
          <t>ARCH_PM (SARA/AOBJ)</t>
        </is>
      </c>
      <c r="R791" s="7" t="inlineStr">
        <is>
          <t>ארכוב דרך אובייקטי ADK (PM_ORDER/PM_QMEL) ללא user-exit ייעודי</t>
        </is>
      </c>
      <c r="S791" s="7" t="inlineStr"/>
      <c r="T791" s="7" t="inlineStr">
        <is>
          <t>12. היסטוריה וארכיון</t>
        </is>
      </c>
      <c r="U791" s="7" t="inlineStr">
        <is>
          <t>A26</t>
        </is>
      </c>
      <c r="V791" s="9">
        <f>HYPERLINK("#'"&amp;T791&amp;"'!"&amp;U791,"➜ פתח")</f>
        <v/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7" t="inlineStr">
        <is>
          <t>BAdI</t>
        </is>
      </c>
      <c r="Q792" s="8" t="inlineStr">
        <is>
          <t>BADI_ARCHIVING</t>
        </is>
      </c>
      <c r="R792" s="7" t="inlineStr">
        <is>
          <t>הרחבת לוגיקת ארכוב/ILM (אמת שם ב-SE18)</t>
        </is>
      </c>
      <c r="S792" s="7" t="inlineStr"/>
      <c r="T792" s="7" t="inlineStr">
        <is>
          <t>12. היסטוריה וארכיון</t>
        </is>
      </c>
      <c r="U792" s="7" t="inlineStr">
        <is>
          <t>A27</t>
        </is>
      </c>
      <c r="V792" s="9">
        <f>HYPERLINK("#'"&amp;T792&amp;"'!"&amp;U792,"➜ פתח")</f>
        <v/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7" t="inlineStr">
        <is>
          <t>SAP Note</t>
        </is>
      </c>
      <c r="Q793" s="8" t="inlineStr">
        <is>
          <t>2206980</t>
        </is>
      </c>
      <c r="R793" s="7" t="inlineStr">
        <is>
          <t>Material Inventory Management - מודל נתונים חדש (MATDOC)</t>
        </is>
      </c>
      <c r="S793" s="7" t="inlineStr">
        <is>
          <t>MM-IM / PM רכש</t>
        </is>
      </c>
      <c r="T793" s="7" t="inlineStr">
        <is>
          <t>Simplification Item list</t>
        </is>
      </c>
      <c r="U793" s="7" t="inlineStr">
        <is>
          <t>A3</t>
        </is>
      </c>
      <c r="V793" s="9">
        <f>HYPERLINK("#'"&amp;T793&amp;"'!"&amp;U793,"➜ פתח")</f>
        <v/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7" t="inlineStr">
        <is>
          <t>SAP Note</t>
        </is>
      </c>
      <c r="Q794" s="8" t="inlineStr">
        <is>
          <t>2270333</t>
        </is>
      </c>
      <c r="R794" s="7" t="inlineStr">
        <is>
          <t>Universal Journal - טבלה אחת (ACDOCA)</t>
        </is>
      </c>
      <c r="S794" s="7" t="inlineStr">
        <is>
          <t>FI/CO / PM עלויות</t>
        </is>
      </c>
      <c r="T794" s="7" t="inlineStr">
        <is>
          <t>Simplification Item list</t>
        </is>
      </c>
      <c r="U794" s="7" t="inlineStr">
        <is>
          <t>A4</t>
        </is>
      </c>
      <c r="V794" s="9">
        <f>HYPERLINK("#'"&amp;T794&amp;"'!"&amp;U794,"➜ פתח")</f>
        <v/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7" t="inlineStr">
        <is>
          <t>SAP Note</t>
        </is>
      </c>
      <c r="Q795" s="8" t="inlineStr">
        <is>
          <t>2265093</t>
        </is>
      </c>
      <c r="R795" s="7" t="inlineStr">
        <is>
          <t>Business Partner Approach (CVI חובה)</t>
        </is>
      </c>
      <c r="S795" s="7" t="inlineStr">
        <is>
          <t>MM / PM ספקים</t>
        </is>
      </c>
      <c r="T795" s="7" t="inlineStr">
        <is>
          <t>Simplification Item list</t>
        </is>
      </c>
      <c r="U795" s="7" t="inlineStr">
        <is>
          <t>A5</t>
        </is>
      </c>
      <c r="V795" s="9">
        <f>HYPERLINK("#'"&amp;T795&amp;"'!"&amp;U795,"➜ פתח")</f>
        <v/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7" t="inlineStr">
        <is>
          <t>SAP Note</t>
        </is>
      </c>
      <c r="Q796" s="8" t="inlineStr">
        <is>
          <t>2267140</t>
        </is>
      </c>
      <c r="R796" s="7" t="inlineStr">
        <is>
          <t>Material Number Field Length Extension (40 תווים)</t>
        </is>
      </c>
      <c r="S796" s="7" t="inlineStr">
        <is>
          <t>Cross / PM חומר</t>
        </is>
      </c>
      <c r="T796" s="7" t="inlineStr">
        <is>
          <t>Simplification Item list</t>
        </is>
      </c>
      <c r="U796" s="7" t="inlineStr">
        <is>
          <t>A6</t>
        </is>
      </c>
      <c r="V796" s="9">
        <f>HYPERLINK("#'"&amp;T796&amp;"'!"&amp;U796,"➜ פתח")</f>
        <v/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7" t="inlineStr">
        <is>
          <t>SAP Note</t>
        </is>
      </c>
      <c r="Q797" s="8" t="inlineStr">
        <is>
          <t>(אמת ב-Simplification List)</t>
        </is>
      </c>
      <c r="R797" s="7" t="inlineStr">
        <is>
          <t>S4TWL - Plant Maintenance / EAM (פריט פישוט כללי)</t>
        </is>
      </c>
      <c r="S797" s="7" t="inlineStr">
        <is>
          <t>EAM / PM כללי</t>
        </is>
      </c>
      <c r="T797" s="7" t="inlineStr">
        <is>
          <t>Simplification Item list</t>
        </is>
      </c>
      <c r="U797" s="7" t="inlineStr">
        <is>
          <t>A7</t>
        </is>
      </c>
      <c r="V797" s="9">
        <f>HYPERLINK("#'"&amp;T797&amp;"'!"&amp;U797,"➜ פתח")</f>
        <v/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7" t="inlineStr">
        <is>
          <t>SAP Note</t>
        </is>
      </c>
      <c r="Q798" s="8" t="inlineStr">
        <is>
          <t>(אמת ב-Simplification List)</t>
        </is>
      </c>
      <c r="R798" s="7" t="inlineStr">
        <is>
          <t>List Viewer ב-EAM - מעבר ל-SAPUI5 / Fiori Lists</t>
        </is>
      </c>
      <c r="S798" s="7" t="inlineStr">
        <is>
          <t>EAM / Lists</t>
        </is>
      </c>
      <c r="T798" s="7" t="inlineStr">
        <is>
          <t>Simplification Item list</t>
        </is>
      </c>
      <c r="U798" s="7" t="inlineStr">
        <is>
          <t>A8</t>
        </is>
      </c>
      <c r="V798" s="9">
        <f>HYPERLINK("#'"&amp;T798&amp;"'!"&amp;U798,"➜ פתח")</f>
        <v/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7" t="inlineStr">
        <is>
          <t>SAP Note</t>
        </is>
      </c>
      <c r="Q799" s="8" t="inlineStr">
        <is>
          <t>(אמת ב-Simplification List)</t>
        </is>
      </c>
      <c r="R799" s="7" t="inlineStr">
        <is>
          <t>Linear Asset Management (LAM) - זמין ב-S/4HANA</t>
        </is>
      </c>
      <c r="S799" s="7" t="inlineStr">
        <is>
          <t>EAM / LAM</t>
        </is>
      </c>
      <c r="T799" s="7" t="inlineStr">
        <is>
          <t>Simplification Item list</t>
        </is>
      </c>
      <c r="U799" s="7" t="inlineStr">
        <is>
          <t>A9</t>
        </is>
      </c>
      <c r="V799" s="9">
        <f>HYPERLINK("#'"&amp;T799&amp;"'!"&amp;U799,"➜ פתח")</f>
        <v/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7" t="inlineStr">
        <is>
          <t>SAP Note</t>
        </is>
      </c>
      <c r="Q800" s="8" t="inlineStr">
        <is>
          <t>(אמת ב-Simplification List)</t>
        </is>
      </c>
      <c r="R800" s="7" t="inlineStr">
        <is>
          <t>Mobile Asset Management (SAP Asset Manager)</t>
        </is>
      </c>
      <c r="S800" s="7" t="inlineStr">
        <is>
          <t>EAM / Mobile</t>
        </is>
      </c>
      <c r="T800" s="7" t="inlineStr">
        <is>
          <t>Simplification Item list</t>
        </is>
      </c>
      <c r="U800" s="7" t="inlineStr">
        <is>
          <t>A10</t>
        </is>
      </c>
      <c r="V800" s="9">
        <f>HYPERLINK("#'"&amp;T800&amp;"'!"&amp;U800,"➜ פתח")</f>
        <v/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7" t="inlineStr">
        <is>
          <t>SAP Note</t>
        </is>
      </c>
      <c r="Q801" s="8" t="inlineStr">
        <is>
          <t>(אמת ב-Simplification List)</t>
        </is>
      </c>
      <c r="R801" s="7" t="inlineStr">
        <is>
          <t>Output Management - מסגרת חדשה (BRF+/Adobe)</t>
        </is>
      </c>
      <c r="S801" s="7" t="inlineStr">
        <is>
          <t>EAM / Output</t>
        </is>
      </c>
      <c r="T801" s="7" t="inlineStr">
        <is>
          <t>Simplification Item list</t>
        </is>
      </c>
      <c r="U801" s="7" t="inlineStr">
        <is>
          <t>A11</t>
        </is>
      </c>
      <c r="V801" s="9">
        <f>HYPERLINK("#'"&amp;T801&amp;"'!"&amp;U801,"➜ פתח")</f>
        <v/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7" t="inlineStr">
        <is>
          <t>SAP Note</t>
        </is>
      </c>
      <c r="Q802" s="8" t="inlineStr">
        <is>
          <t>(אמת ב-Simplification List)</t>
        </is>
      </c>
      <c r="R802" s="7" t="inlineStr">
        <is>
          <t>Multiresource Scheduling -&gt; Maintenance Scheduling Board</t>
        </is>
      </c>
      <c r="S802" s="7" t="inlineStr">
        <is>
          <t>EAM / MRS</t>
        </is>
      </c>
      <c r="T802" s="7" t="inlineStr">
        <is>
          <t>Simplification Item list</t>
        </is>
      </c>
      <c r="U802" s="7" t="inlineStr">
        <is>
          <t>A12</t>
        </is>
      </c>
      <c r="V802" s="9">
        <f>HYPERLINK("#'"&amp;T802&amp;"'!"&amp;U802,"➜ פתח")</f>
        <v/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7" t="inlineStr">
        <is>
          <t>User Exit</t>
        </is>
      </c>
      <c r="Q803" s="8" t="inlineStr">
        <is>
          <t>ITOB0001</t>
        </is>
      </c>
      <c r="R803" s="7" t="inlineStr">
        <is>
          <t>הרחבת לקוח לאובייקטים טכניים (מיקום/ציוד) - שדות נוספים ובדיקות</t>
        </is>
      </c>
      <c r="S803" s="7" t="inlineStr">
        <is>
          <t>1. מבנה ארגוני ותשתית</t>
        </is>
      </c>
      <c r="T803" s="7" t="inlineStr">
        <is>
          <t>Custom Code Check</t>
        </is>
      </c>
      <c r="U803" s="7" t="inlineStr">
        <is>
          <t>D3</t>
        </is>
      </c>
      <c r="V803" s="9">
        <f>HYPERLINK("#'"&amp;T803&amp;"'!"&amp;U803,"➜ פתח")</f>
        <v/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7" t="inlineStr">
        <is>
          <t>User Exit</t>
        </is>
      </c>
      <c r="Q804" s="8" t="inlineStr">
        <is>
          <t>IBIP0001</t>
        </is>
      </c>
      <c r="R804" s="7" t="inlineStr">
        <is>
          <t>ממשק יצירה אצווה (Batch Input/Direct Input) לאובייקטים טכניים</t>
        </is>
      </c>
      <c r="S804" s="7" t="inlineStr">
        <is>
          <t>1. מבנה ארגוני ותשתית</t>
        </is>
      </c>
      <c r="T804" s="7" t="inlineStr">
        <is>
          <t>Custom Code Check</t>
        </is>
      </c>
      <c r="U804" s="7" t="inlineStr">
        <is>
          <t>D4</t>
        </is>
      </c>
      <c r="V804" s="9">
        <f>HYPERLINK("#'"&amp;T804&amp;"'!"&amp;U804,"➜ פתח")</f>
        <v/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7" t="inlineStr">
        <is>
          <t>BAdI</t>
        </is>
      </c>
      <c r="Q805" s="8" t="inlineStr">
        <is>
          <t>BADI_EAM_TECHNICAL_OBJECT</t>
        </is>
      </c>
      <c r="R805" s="7" t="inlineStr">
        <is>
          <t>BAdI מרכזי להרחבת לוגיקת אובייקטים טכניים ב-S/4HANA</t>
        </is>
      </c>
      <c r="S805" s="7" t="inlineStr">
        <is>
          <t>1. מבנה ארגוני ותשתית</t>
        </is>
      </c>
      <c r="T805" s="7" t="inlineStr">
        <is>
          <t>Custom Code Check</t>
        </is>
      </c>
      <c r="U805" s="7" t="inlineStr">
        <is>
          <t>D5</t>
        </is>
      </c>
      <c r="V805" s="9">
        <f>HYPERLINK("#'"&amp;T805&amp;"'!"&amp;U805,"➜ פתח")</f>
        <v/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7" t="inlineStr">
        <is>
          <t>BAdI</t>
        </is>
      </c>
      <c r="Q806" s="8" t="inlineStr">
        <is>
          <t>BADI_EAM_SINGLE_LEVEL_LIST</t>
        </is>
      </c>
      <c r="R806" s="7" t="inlineStr">
        <is>
          <t>התאמת רשימות אובייקטים חד-רמתיות (IH06/IH08)</t>
        </is>
      </c>
      <c r="S806" s="7" t="inlineStr">
        <is>
          <t>1. מבנה ארגוני ותשתית</t>
        </is>
      </c>
      <c r="T806" s="7" t="inlineStr">
        <is>
          <t>Custom Code Check</t>
        </is>
      </c>
      <c r="U806" s="7" t="inlineStr">
        <is>
          <t>D6</t>
        </is>
      </c>
      <c r="V806" s="9">
        <f>HYPERLINK("#'"&amp;T806&amp;"'!"&amp;U806,"➜ פתח")</f>
        <v/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7" t="inlineStr">
        <is>
          <t>User Exit</t>
        </is>
      </c>
      <c r="Q807" s="8" t="inlineStr">
        <is>
          <t>IEQM0001</t>
        </is>
      </c>
      <c r="R807" s="7" t="inlineStr">
        <is>
          <t>בדיקות והרחבת שדות בעת יצירת/שינוי ציוד</t>
        </is>
      </c>
      <c r="S807" s="7" t="inlineStr">
        <is>
          <t>2. ציוד ונתוני מאסטר</t>
        </is>
      </c>
      <c r="T807" s="7" t="inlineStr">
        <is>
          <t>Custom Code Check</t>
        </is>
      </c>
      <c r="U807" s="7" t="inlineStr">
        <is>
          <t>D7</t>
        </is>
      </c>
      <c r="V807" s="9">
        <f>HYPERLINK("#'"&amp;T807&amp;"'!"&amp;U807,"➜ פתח")</f>
        <v/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7" t="inlineStr">
        <is>
          <t>User Exit</t>
        </is>
      </c>
      <c r="Q808" s="8" t="inlineStr">
        <is>
          <t>IEQM0003</t>
        </is>
      </c>
      <c r="R808" s="7" t="inlineStr">
        <is>
          <t>ברירות מחדל וקביעת ערכים אוטומטית לציוד</t>
        </is>
      </c>
      <c r="S808" s="7" t="inlineStr">
        <is>
          <t>2. ציוד ונתוני מאסטר</t>
        </is>
      </c>
      <c r="T808" s="7" t="inlineStr">
        <is>
          <t>Custom Code Check</t>
        </is>
      </c>
      <c r="U808" s="7" t="inlineStr">
        <is>
          <t>D8</t>
        </is>
      </c>
      <c r="V808" s="9">
        <f>HYPERLINK("#'"&amp;T808&amp;"'!"&amp;U808,"➜ פתח")</f>
        <v/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7" t="inlineStr">
        <is>
          <t>User Exit</t>
        </is>
      </c>
      <c r="Q809" s="8" t="inlineStr">
        <is>
          <t>ISER0001</t>
        </is>
      </c>
      <c r="R809" s="7" t="inlineStr">
        <is>
          <t>הרחבת לוגיקת מספרים סידוריים (Serialization)</t>
        </is>
      </c>
      <c r="S809" s="7" t="inlineStr">
        <is>
          <t>2. ציוד ונתוני מאסטר</t>
        </is>
      </c>
      <c r="T809" s="7" t="inlineStr">
        <is>
          <t>Custom Code Check</t>
        </is>
      </c>
      <c r="U809" s="7" t="inlineStr">
        <is>
          <t>D9</t>
        </is>
      </c>
      <c r="V809" s="9">
        <f>HYPERLINK("#'"&amp;T809&amp;"'!"&amp;U809,"➜ פתח")</f>
        <v/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7" t="inlineStr">
        <is>
          <t>BAdI</t>
        </is>
      </c>
      <c r="Q810" s="8" t="inlineStr">
        <is>
          <t>BADI_EAM_TECHNICAL_OBJECT</t>
        </is>
      </c>
      <c r="R810" s="7" t="inlineStr">
        <is>
          <t>הרחבת לוגיקת ציוד/אובייקט טכני ב-S/4HANA</t>
        </is>
      </c>
      <c r="S810" s="7" t="inlineStr">
        <is>
          <t>2. ציוד ונתוני מאסטר</t>
        </is>
      </c>
      <c r="T810" s="7" t="inlineStr">
        <is>
          <t>Custom Code Check</t>
        </is>
      </c>
      <c r="U810" s="7" t="inlineStr">
        <is>
          <t>D10</t>
        </is>
      </c>
      <c r="V810" s="9">
        <f>HYPERLINK("#'"&amp;T810&amp;"'!"&amp;U810,"➜ פתח")</f>
        <v/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7" t="inlineStr">
        <is>
          <t>BAdI</t>
        </is>
      </c>
      <c r="Q811" s="8" t="inlineStr">
        <is>
          <t>EAM_SERNR_ADD_DATA</t>
        </is>
      </c>
      <c r="R811" s="7" t="inlineStr">
        <is>
          <t>הרחבת נתוני מספר סידורי (אמת שם מדויק ב-SE18)</t>
        </is>
      </c>
      <c r="S811" s="7" t="inlineStr">
        <is>
          <t>2. ציוד ונתוני מאסטר</t>
        </is>
      </c>
      <c r="T811" s="7" t="inlineStr">
        <is>
          <t>Custom Code Check</t>
        </is>
      </c>
      <c r="U811" s="7" t="inlineStr">
        <is>
          <t>D11</t>
        </is>
      </c>
      <c r="V811" s="9">
        <f>HYPERLINK("#'"&amp;T811&amp;"'!"&amp;U811,"➜ פתח")</f>
        <v/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7" t="inlineStr">
        <is>
          <t>User Exit</t>
        </is>
      </c>
      <c r="Q812" s="8" t="inlineStr">
        <is>
          <t>PCSD0001</t>
        </is>
      </c>
      <c r="R812" s="7" t="inlineStr">
        <is>
          <t>הרחבת לקוח לעצי מוצר (BOM) - בדיקות פריטים</t>
        </is>
      </c>
      <c r="S812" s="7" t="inlineStr">
        <is>
          <t>3. עצי מוצר של אחזקה (BOM)</t>
        </is>
      </c>
      <c r="T812" s="7" t="inlineStr">
        <is>
          <t>Custom Code Check</t>
        </is>
      </c>
      <c r="U812" s="7" t="inlineStr">
        <is>
          <t>D12</t>
        </is>
      </c>
      <c r="V812" s="9">
        <f>HYPERLINK("#'"&amp;T812&amp;"'!"&amp;U812,"➜ פתח")</f>
        <v/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7" t="inlineStr">
        <is>
          <t>User Exit</t>
        </is>
      </c>
      <c r="Q813" s="8" t="inlineStr">
        <is>
          <t>PCSD0002</t>
        </is>
      </c>
      <c r="R813" s="7" t="inlineStr">
        <is>
          <t>ברירות מחדל לפריטי עץ מוצר</t>
        </is>
      </c>
      <c r="S813" s="7" t="inlineStr">
        <is>
          <t>3. עצי מוצר של אחזקה (BOM)</t>
        </is>
      </c>
      <c r="T813" s="7" t="inlineStr">
        <is>
          <t>Custom Code Check</t>
        </is>
      </c>
      <c r="U813" s="7" t="inlineStr">
        <is>
          <t>D13</t>
        </is>
      </c>
      <c r="V813" s="9">
        <f>HYPERLINK("#'"&amp;T813&amp;"'!"&amp;U813,"➜ פתח")</f>
        <v/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7" t="inlineStr">
        <is>
          <t>BAdI</t>
        </is>
      </c>
      <c r="Q814" s="8" t="inlineStr">
        <is>
          <t>BOM_UPDATE</t>
        </is>
      </c>
      <c r="R814" s="7" t="inlineStr">
        <is>
          <t>BAdI לעדכון/בדיקת עצי מוצר (אמת ב-SE18)</t>
        </is>
      </c>
      <c r="S814" s="7" t="inlineStr">
        <is>
          <t>3. עצי מוצר של אחזקה (BOM)</t>
        </is>
      </c>
      <c r="T814" s="7" t="inlineStr">
        <is>
          <t>Custom Code Check</t>
        </is>
      </c>
      <c r="U814" s="7" t="inlineStr">
        <is>
          <t>D14</t>
        </is>
      </c>
      <c r="V814" s="9">
        <f>HYPERLINK("#'"&amp;T814&amp;"'!"&amp;U814,"➜ פתח")</f>
        <v/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7" t="inlineStr">
        <is>
          <t>BAdI</t>
        </is>
      </c>
      <c r="Q815" s="8" t="inlineStr">
        <is>
          <t>BADI_EAM_TECHNICAL_OBJECT</t>
        </is>
      </c>
      <c r="R815" s="7" t="inlineStr">
        <is>
          <t>שיוך BOM לאובייקט טכני ב-S/4</t>
        </is>
      </c>
      <c r="S815" s="7" t="inlineStr">
        <is>
          <t>3. עצי מוצר של אחזקה (BOM)</t>
        </is>
      </c>
      <c r="T815" s="7" t="inlineStr">
        <is>
          <t>Custom Code Check</t>
        </is>
      </c>
      <c r="U815" s="7" t="inlineStr">
        <is>
          <t>D15</t>
        </is>
      </c>
      <c r="V815" s="9">
        <f>HYPERLINK("#'"&amp;T815&amp;"'!"&amp;U815,"➜ פתח")</f>
        <v/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7" t="inlineStr">
        <is>
          <t>User Exit</t>
        </is>
      </c>
      <c r="Q816" s="8" t="inlineStr">
        <is>
          <t>IMRC0001</t>
        </is>
      </c>
      <c r="R816" s="7" t="inlineStr">
        <is>
          <t>הרחבת בדיקות בעת קליטת מסמך מדידה</t>
        </is>
      </c>
      <c r="S816" s="7" t="inlineStr">
        <is>
          <t>4. נקודות מדידה ומונים</t>
        </is>
      </c>
      <c r="T816" s="7" t="inlineStr">
        <is>
          <t>Custom Code Check</t>
        </is>
      </c>
      <c r="U816" s="7" t="inlineStr">
        <is>
          <t>D16</t>
        </is>
      </c>
      <c r="V816" s="9">
        <f>HYPERLINK("#'"&amp;T816&amp;"'!"&amp;U816,"➜ פתח")</f>
        <v/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7" t="inlineStr">
        <is>
          <t>User Exit</t>
        </is>
      </c>
      <c r="Q817" s="8" t="inlineStr">
        <is>
          <t>IMRC0002</t>
        </is>
      </c>
      <c r="R817" s="7" t="inlineStr">
        <is>
          <t>לוגיקת העברת קריאות ומונים</t>
        </is>
      </c>
      <c r="S817" s="7" t="inlineStr">
        <is>
          <t>4. נקודות מדידה ומונים</t>
        </is>
      </c>
      <c r="T817" s="7" t="inlineStr">
        <is>
          <t>Custom Code Check</t>
        </is>
      </c>
      <c r="U817" s="7" t="inlineStr">
        <is>
          <t>D17</t>
        </is>
      </c>
      <c r="V817" s="9">
        <f>HYPERLINK("#'"&amp;T817&amp;"'!"&amp;U817,"➜ פתח")</f>
        <v/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7" t="inlineStr">
        <is>
          <t>BAdI</t>
        </is>
      </c>
      <c r="Q818" s="8" t="inlineStr">
        <is>
          <t>BADI_EAM_MEASPOINT</t>
        </is>
      </c>
      <c r="R818" s="7" t="inlineStr">
        <is>
          <t>הרחבת נקודות מדידה/מסמכי מדידה (אמת שם ב-SE18)</t>
        </is>
      </c>
      <c r="S818" s="7" t="inlineStr">
        <is>
          <t>4. נקודות מדידה ומונים</t>
        </is>
      </c>
      <c r="T818" s="7" t="inlineStr">
        <is>
          <t>Custom Code Check</t>
        </is>
      </c>
      <c r="U818" s="7" t="inlineStr">
        <is>
          <t>D18</t>
        </is>
      </c>
      <c r="V818" s="9">
        <f>HYPERLINK("#'"&amp;T818&amp;"'!"&amp;U818,"➜ פתח")</f>
        <v/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7" t="inlineStr">
        <is>
          <t>User Exit</t>
        </is>
      </c>
      <c r="Q819" s="8" t="inlineStr">
        <is>
          <t>QQMA0001</t>
        </is>
      </c>
      <c r="R819" s="7" t="inlineStr">
        <is>
          <t>בדיקות כלליות בקטלוגים/קודים (משותף QM-PM)</t>
        </is>
      </c>
      <c r="S819" s="7" t="inlineStr">
        <is>
          <t>5. קטלוגים, קודים ופרופילים</t>
        </is>
      </c>
      <c r="T819" s="7" t="inlineStr">
        <is>
          <t>Custom Code Check</t>
        </is>
      </c>
      <c r="U819" s="7" t="inlineStr">
        <is>
          <t>D19</t>
        </is>
      </c>
      <c r="V819" s="9">
        <f>HYPERLINK("#'"&amp;T819&amp;"'!"&amp;U819,"➜ פתח")</f>
        <v/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7" t="inlineStr">
        <is>
          <t>BAdI</t>
        </is>
      </c>
      <c r="Q820" s="8" t="inlineStr">
        <is>
          <t>BADI_CATALOG</t>
        </is>
      </c>
      <c r="R820" s="7" t="inlineStr">
        <is>
          <t>הרחבת לוגיקת קטלוגים (אמת שם ב-SE18)</t>
        </is>
      </c>
      <c r="S820" s="7" t="inlineStr">
        <is>
          <t>5. קטלוגים, קודים ופרופילים</t>
        </is>
      </c>
      <c r="T820" s="7" t="inlineStr">
        <is>
          <t>Custom Code Check</t>
        </is>
      </c>
      <c r="U820" s="7" t="inlineStr">
        <is>
          <t>D20</t>
        </is>
      </c>
      <c r="V820" s="9">
        <f>HYPERLINK("#'"&amp;T820&amp;"'!"&amp;U820,"➜ פתח")</f>
        <v/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7" t="inlineStr">
        <is>
          <t>User Exit</t>
        </is>
      </c>
      <c r="Q821" s="8" t="inlineStr">
        <is>
          <t>QQMA0014</t>
        </is>
      </c>
      <c r="R821" s="7" t="inlineStr">
        <is>
          <t>בדיקת לקוח לפני שמירת הודעה (Check before save)</t>
        </is>
      </c>
      <c r="S821" s="7" t="inlineStr">
        <is>
          <t>6. הודעות אחזקה (Notifications)</t>
        </is>
      </c>
      <c r="T821" s="7" t="inlineStr">
        <is>
          <t>Custom Code Check</t>
        </is>
      </c>
      <c r="U821" s="7" t="inlineStr">
        <is>
          <t>D21</t>
        </is>
      </c>
      <c r="V821" s="9">
        <f>HYPERLINK("#'"&amp;T821&amp;"'!"&amp;U821,"➜ פתח")</f>
        <v/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7" t="inlineStr">
        <is>
          <t>User Exit</t>
        </is>
      </c>
      <c r="Q822" s="8" t="inlineStr">
        <is>
          <t>QQMA0010</t>
        </is>
      </c>
      <c r="R822" s="7" t="inlineStr">
        <is>
          <t>הרחבת שדות וברירות מחדל בכותרת ההודעה</t>
        </is>
      </c>
      <c r="S822" s="7" t="inlineStr">
        <is>
          <t>6. הודעות אחזקה (Notifications)</t>
        </is>
      </c>
      <c r="T822" s="7" t="inlineStr">
        <is>
          <t>Custom Code Check</t>
        </is>
      </c>
      <c r="U822" s="7" t="inlineStr">
        <is>
          <t>D22</t>
        </is>
      </c>
      <c r="V822" s="9">
        <f>HYPERLINK("#'"&amp;T822&amp;"'!"&amp;U822,"➜ פתח")</f>
        <v/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7" t="inlineStr">
        <is>
          <t>User Exit</t>
        </is>
      </c>
      <c r="Q823" s="8" t="inlineStr">
        <is>
          <t>QQMA0025</t>
        </is>
      </c>
      <c r="R823" s="7" t="inlineStr">
        <is>
          <t>הרחבה בעת השלמת/סגירת הודעה</t>
        </is>
      </c>
      <c r="S823" s="7" t="inlineStr">
        <is>
          <t>6. הודעות אחזקה (Notifications)</t>
        </is>
      </c>
      <c r="T823" s="7" t="inlineStr">
        <is>
          <t>Custom Code Check</t>
        </is>
      </c>
      <c r="U823" s="7" t="inlineStr">
        <is>
          <t>D23</t>
        </is>
      </c>
      <c r="V823" s="9">
        <f>HYPERLINK("#'"&amp;T823&amp;"'!"&amp;U823,"➜ פתח")</f>
        <v/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7" t="inlineStr">
        <is>
          <t>BAdI</t>
        </is>
      </c>
      <c r="Q824" s="8" t="inlineStr">
        <is>
          <t>NOTIF_EVENT_POST</t>
        </is>
      </c>
      <c r="R824" s="7" t="inlineStr">
        <is>
          <t>BAdI לאירוע רישום/שמירת הודעה (לוגיקה לאחר שמירה)</t>
        </is>
      </c>
      <c r="S824" s="7" t="inlineStr">
        <is>
          <t>6. הודעות אחזקה (Notifications)</t>
        </is>
      </c>
      <c r="T824" s="7" t="inlineStr">
        <is>
          <t>Custom Code Check</t>
        </is>
      </c>
      <c r="U824" s="7" t="inlineStr">
        <is>
          <t>D24</t>
        </is>
      </c>
      <c r="V824" s="9">
        <f>HYPERLINK("#'"&amp;T824&amp;"'!"&amp;U824,"➜ פתח")</f>
        <v/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7" t="inlineStr">
        <is>
          <t>BAdI</t>
        </is>
      </c>
      <c r="Q825" s="8" t="inlineStr">
        <is>
          <t>NOTIF_EVENT_SAVE</t>
        </is>
      </c>
      <c r="R825" s="7" t="inlineStr">
        <is>
          <t>BAdI לאירוע שמירת הודעה (בדיקות לפני commit)</t>
        </is>
      </c>
      <c r="S825" s="7" t="inlineStr">
        <is>
          <t>6. הודעות אחזקה (Notifications)</t>
        </is>
      </c>
      <c r="T825" s="7" t="inlineStr">
        <is>
          <t>Custom Code Check</t>
        </is>
      </c>
      <c r="U825" s="7" t="inlineStr">
        <is>
          <t>D25</t>
        </is>
      </c>
      <c r="V825" s="9">
        <f>HYPERLINK("#'"&amp;T825&amp;"'!"&amp;U825,"➜ פתח")</f>
        <v/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7" t="inlineStr">
        <is>
          <t>User Exit</t>
        </is>
      </c>
      <c r="Q826" s="8" t="inlineStr">
        <is>
          <t>IWO10009</t>
        </is>
      </c>
      <c r="R826" s="7" t="inlineStr">
        <is>
          <t>הרחבת לקוח לפק"ע - בדיקות והשלמת שדות בכותרת</t>
        </is>
      </c>
      <c r="S826" s="7" t="inlineStr">
        <is>
          <t>7. פקודות עבודה (פק"ע)</t>
        </is>
      </c>
      <c r="T826" s="7" t="inlineStr">
        <is>
          <t>Custom Code Check</t>
        </is>
      </c>
      <c r="U826" s="7" t="inlineStr">
        <is>
          <t>D26</t>
        </is>
      </c>
      <c r="V826" s="9">
        <f>HYPERLINK("#'"&amp;T826&amp;"'!"&amp;U826,"➜ פתח")</f>
        <v/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7" t="inlineStr">
        <is>
          <t>User Exit</t>
        </is>
      </c>
      <c r="Q827" s="8" t="inlineStr">
        <is>
          <t>IWO10002</t>
        </is>
      </c>
      <c r="R827" s="7" t="inlineStr">
        <is>
          <t>בדיקות בעת שמירת פקודת עבודה</t>
        </is>
      </c>
      <c r="S827" s="7" t="inlineStr">
        <is>
          <t>7. פקודות עבודה (פק"ע)</t>
        </is>
      </c>
      <c r="T827" s="7" t="inlineStr">
        <is>
          <t>Custom Code Check</t>
        </is>
      </c>
      <c r="U827" s="7" t="inlineStr">
        <is>
          <t>D27</t>
        </is>
      </c>
      <c r="V827" s="9">
        <f>HYPERLINK("#'"&amp;T827&amp;"'!"&amp;U827,"➜ פתח")</f>
        <v/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7" t="inlineStr">
        <is>
          <t>User Exit</t>
        </is>
      </c>
      <c r="Q828" s="8" t="inlineStr">
        <is>
          <t>IWO10012</t>
        </is>
      </c>
      <c r="R828" s="7" t="inlineStr">
        <is>
          <t>בדיקת אישורי עבודה (Permits) בפק"ע</t>
        </is>
      </c>
      <c r="S828" s="7" t="inlineStr">
        <is>
          <t>7. פקודות עבודה (פק"ע)</t>
        </is>
      </c>
      <c r="T828" s="7" t="inlineStr">
        <is>
          <t>Custom Code Check</t>
        </is>
      </c>
      <c r="U828" s="7" t="inlineStr">
        <is>
          <t>D28</t>
        </is>
      </c>
      <c r="V828" s="9">
        <f>HYPERLINK("#'"&amp;T828&amp;"'!"&amp;U828,"➜ פתח")</f>
        <v/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7" t="inlineStr">
        <is>
          <t>User Exit</t>
        </is>
      </c>
      <c r="Q829" s="8" t="inlineStr">
        <is>
          <t>IWO10018</t>
        </is>
      </c>
      <c r="R829" s="7" t="inlineStr">
        <is>
          <t>בדיקת/הרחבת רכיבים בפק"ע</t>
        </is>
      </c>
      <c r="S829" s="7" t="inlineStr">
        <is>
          <t>7. פקודות עבודה (פק"ע)</t>
        </is>
      </c>
      <c r="T829" s="7" t="inlineStr">
        <is>
          <t>Custom Code Check</t>
        </is>
      </c>
      <c r="U829" s="7" t="inlineStr">
        <is>
          <t>D29</t>
        </is>
      </c>
      <c r="V829" s="9">
        <f>HYPERLINK("#'"&amp;T829&amp;"'!"&amp;U829,"➜ פתח")</f>
        <v/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7" t="inlineStr">
        <is>
          <t>User Exit</t>
        </is>
      </c>
      <c r="Q830" s="8" t="inlineStr">
        <is>
          <t>IWO10024</t>
        </is>
      </c>
      <c r="R830" s="7" t="inlineStr">
        <is>
          <t>הרחבת פעולות (Operations) בפק"ע</t>
        </is>
      </c>
      <c r="S830" s="7" t="inlineStr">
        <is>
          <t>7. פקודות עבודה (פק"ע)</t>
        </is>
      </c>
      <c r="T830" s="7" t="inlineStr">
        <is>
          <t>Custom Code Check</t>
        </is>
      </c>
      <c r="U830" s="7" t="inlineStr">
        <is>
          <t>D30</t>
        </is>
      </c>
      <c r="V830" s="9">
        <f>HYPERLINK("#'"&amp;T830&amp;"'!"&amp;U830,"➜ פתח")</f>
        <v/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7" t="inlineStr">
        <is>
          <t>BAdI</t>
        </is>
      </c>
      <c r="Q831" s="8" t="inlineStr">
        <is>
          <t>WORKORDER_UPDATE</t>
        </is>
      </c>
      <c r="R831" s="7" t="inlineStr">
        <is>
          <t>BAdI לעדכון/בדיקת פקודת עבודה (לפני שמירה)</t>
        </is>
      </c>
      <c r="S831" s="7" t="inlineStr">
        <is>
          <t>7. פקודות עבודה (פק"ע)</t>
        </is>
      </c>
      <c r="T831" s="7" t="inlineStr">
        <is>
          <t>Custom Code Check</t>
        </is>
      </c>
      <c r="U831" s="7" t="inlineStr">
        <is>
          <t>D31</t>
        </is>
      </c>
      <c r="V831" s="9">
        <f>HYPERLINK("#'"&amp;T831&amp;"'!"&amp;U831,"➜ פתח")</f>
        <v/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7" t="inlineStr">
        <is>
          <t>BAdI</t>
        </is>
      </c>
      <c r="Q832" s="8" t="inlineStr">
        <is>
          <t>WORKORDER_GOODSMVT</t>
        </is>
      </c>
      <c r="R832" s="7" t="inlineStr">
        <is>
          <t>BAdI לתנועות מלאי בפק"ע</t>
        </is>
      </c>
      <c r="S832" s="7" t="inlineStr">
        <is>
          <t>7. פקודות עבודה (פק"ע)</t>
        </is>
      </c>
      <c r="T832" s="7" t="inlineStr">
        <is>
          <t>Custom Code Check</t>
        </is>
      </c>
      <c r="U832" s="7" t="inlineStr">
        <is>
          <t>D32</t>
        </is>
      </c>
      <c r="V832" s="9">
        <f>HYPERLINK("#'"&amp;T832&amp;"'!"&amp;U832,"➜ פתח")</f>
        <v/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7" t="inlineStr">
        <is>
          <t>BAdI</t>
        </is>
      </c>
      <c r="Q833" s="8" t="inlineStr">
        <is>
          <t>WORKORDER_INFOSYSTEM</t>
        </is>
      </c>
      <c r="R833" s="7" t="inlineStr">
        <is>
          <t>BAdI לרשימות/דוחות פק"ע (IW38/39)</t>
        </is>
      </c>
      <c r="S833" s="7" t="inlineStr">
        <is>
          <t>7. פקודות עבודה (פק"ע)</t>
        </is>
      </c>
      <c r="T833" s="7" t="inlineStr">
        <is>
          <t>Custom Code Check</t>
        </is>
      </c>
      <c r="U833" s="7" t="inlineStr">
        <is>
          <t>D33</t>
        </is>
      </c>
      <c r="V833" s="9">
        <f>HYPERLINK("#'"&amp;T833&amp;"'!"&amp;U833,"➜ פתח")</f>
        <v/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7" t="inlineStr">
        <is>
          <t>User Exit</t>
        </is>
      </c>
      <c r="Q834" s="8" t="inlineStr">
        <is>
          <t>STATUS (BS02/BS22)</t>
        </is>
      </c>
      <c r="R834" s="7" t="inlineStr">
        <is>
          <t>סטטוס משתמש מוגדר בפרופיל ולא דרך user-exit ייעודי</t>
        </is>
      </c>
      <c r="S834" s="7" t="inlineStr">
        <is>
          <t>8. ניהול סטטוסים (Status Mgmt)</t>
        </is>
      </c>
      <c r="T834" s="7" t="inlineStr">
        <is>
          <t>Custom Code Check</t>
        </is>
      </c>
      <c r="U834" s="7" t="inlineStr">
        <is>
          <t>D34</t>
        </is>
      </c>
      <c r="V834" s="9">
        <f>HYPERLINK("#'"&amp;T834&amp;"'!"&amp;U834,"➜ פתח")</f>
        <v/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7" t="inlineStr">
        <is>
          <t>BAdI</t>
        </is>
      </c>
      <c r="Q835" s="8" t="inlineStr">
        <is>
          <t>BADI_STATUS_MANAGEMENT</t>
        </is>
      </c>
      <c r="R835" s="7" t="inlineStr">
        <is>
          <t>הרחבת לוגיקת סטטוס (אמת שם ב-SE18)</t>
        </is>
      </c>
      <c r="S835" s="7" t="inlineStr">
        <is>
          <t>8. ניהול סטטוסים (Status Mgmt)</t>
        </is>
      </c>
      <c r="T835" s="7" t="inlineStr">
        <is>
          <t>Custom Code Check</t>
        </is>
      </c>
      <c r="U835" s="7" t="inlineStr">
        <is>
          <t>D35</t>
        </is>
      </c>
      <c r="V835" s="9">
        <f>HYPERLINK("#'"&amp;T835&amp;"'!"&amp;U835,"➜ פתח")</f>
        <v/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7" t="inlineStr">
        <is>
          <t>User Exit</t>
        </is>
      </c>
      <c r="Q836" s="8" t="inlineStr">
        <is>
          <t>MB_CF001</t>
        </is>
      </c>
      <c r="R836" s="7" t="inlineStr">
        <is>
          <t>Customer Function לתנועות מלאי (Goods Movement)</t>
        </is>
      </c>
      <c r="S836" s="7" t="inlineStr">
        <is>
          <t>9. אינטגרציית מלאי ורכש (PM-MM)</t>
        </is>
      </c>
      <c r="T836" s="7" t="inlineStr">
        <is>
          <t>Custom Code Check</t>
        </is>
      </c>
      <c r="U836" s="7" t="inlineStr">
        <is>
          <t>D36</t>
        </is>
      </c>
      <c r="V836" s="9">
        <f>HYPERLINK("#'"&amp;T836&amp;"'!"&amp;U836,"➜ פתח")</f>
        <v/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7" t="inlineStr">
        <is>
          <t>User Exit</t>
        </is>
      </c>
      <c r="Q837" s="8" t="inlineStr">
        <is>
          <t>M06B0001</t>
        </is>
      </c>
      <c r="R837" s="7" t="inlineStr">
        <is>
          <t>הרחבת בדיקות בדרישות רכש (PR)</t>
        </is>
      </c>
      <c r="S837" s="7" t="inlineStr">
        <is>
          <t>9. אינטגרציית מלאי ורכש (PM-MM)</t>
        </is>
      </c>
      <c r="T837" s="7" t="inlineStr">
        <is>
          <t>Custom Code Check</t>
        </is>
      </c>
      <c r="U837" s="7" t="inlineStr">
        <is>
          <t>D37</t>
        </is>
      </c>
      <c r="V837" s="9">
        <f>HYPERLINK("#'"&amp;T837&amp;"'!"&amp;U837,"➜ פתח")</f>
        <v/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7" t="inlineStr">
        <is>
          <t>User Exit</t>
        </is>
      </c>
      <c r="Q838" s="8" t="inlineStr">
        <is>
          <t>MEREQ001</t>
        </is>
      </c>
      <c r="R838" s="7" t="inlineStr">
        <is>
          <t>הרחבת לקוח לדרישות רכש (חיוב/שדות)</t>
        </is>
      </c>
      <c r="S838" s="7" t="inlineStr">
        <is>
          <t>9. אינטגרציית מלאי ורכש (PM-MM)</t>
        </is>
      </c>
      <c r="T838" s="7" t="inlineStr">
        <is>
          <t>Custom Code Check</t>
        </is>
      </c>
      <c r="U838" s="7" t="inlineStr">
        <is>
          <t>D38</t>
        </is>
      </c>
      <c r="V838" s="9">
        <f>HYPERLINK("#'"&amp;T838&amp;"'!"&amp;U838,"➜ פתח")</f>
        <v/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7" t="inlineStr">
        <is>
          <t>BAdI</t>
        </is>
      </c>
      <c r="Q839" s="8" t="inlineStr">
        <is>
          <t>MB_DOCUMENT_BADI</t>
        </is>
      </c>
      <c r="R839" s="7" t="inlineStr">
        <is>
          <t>BAdI למסמך חומר (בדיקות/הרחבה בתנועת מלאי)</t>
        </is>
      </c>
      <c r="S839" s="7" t="inlineStr">
        <is>
          <t>9. אינטגרציית מלאי ורכש (PM-MM)</t>
        </is>
      </c>
      <c r="T839" s="7" t="inlineStr">
        <is>
          <t>Custom Code Check</t>
        </is>
      </c>
      <c r="U839" s="7" t="inlineStr">
        <is>
          <t>D39</t>
        </is>
      </c>
      <c r="V839" s="9">
        <f>HYPERLINK("#'"&amp;T839&amp;"'!"&amp;U839,"➜ פתח")</f>
        <v/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7" t="inlineStr">
        <is>
          <t>BAdI</t>
        </is>
      </c>
      <c r="Q840" s="8" t="inlineStr">
        <is>
          <t>ME_PROCESS_REQ_CUST</t>
        </is>
      </c>
      <c r="R840" s="7" t="inlineStr">
        <is>
          <t>BAdI לעיבוד דרישת רכש</t>
        </is>
      </c>
      <c r="S840" s="7" t="inlineStr">
        <is>
          <t>9. אינטגרציית מלאי ורכש (PM-MM)</t>
        </is>
      </c>
      <c r="T840" s="7" t="inlineStr">
        <is>
          <t>Custom Code Check</t>
        </is>
      </c>
      <c r="U840" s="7" t="inlineStr">
        <is>
          <t>D40</t>
        </is>
      </c>
      <c r="V840" s="9">
        <f>HYPERLINK("#'"&amp;T840&amp;"'!"&amp;U840,"➜ פתח")</f>
        <v/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7" t="inlineStr">
        <is>
          <t>User Exit</t>
        </is>
      </c>
      <c r="Q841" s="8" t="inlineStr">
        <is>
          <t>COOMEP01</t>
        </is>
      </c>
      <c r="R841" s="7" t="inlineStr">
        <is>
          <t>הרחבת פריטי עלות/התחשבנות (אמת שם מדויק)</t>
        </is>
      </c>
      <c r="S841" s="7" t="inlineStr">
        <is>
          <t>10. עלויות והתחשבנות (PM-CO)</t>
        </is>
      </c>
      <c r="T841" s="7" t="inlineStr">
        <is>
          <t>Custom Code Check</t>
        </is>
      </c>
      <c r="U841" s="7" t="inlineStr">
        <is>
          <t>D41</t>
        </is>
      </c>
      <c r="V841" s="9">
        <f>HYPERLINK("#'"&amp;T841&amp;"'!"&amp;U841,"➜ פתח")</f>
        <v/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7" t="inlineStr">
        <is>
          <t>User Exit</t>
        </is>
      </c>
      <c r="Q842" s="8" t="inlineStr">
        <is>
          <t>KOAB0001</t>
        </is>
      </c>
      <c r="R842" s="7" t="inlineStr">
        <is>
          <t>הרחבת חוקי התחשבנות (Settlement)</t>
        </is>
      </c>
      <c r="S842" s="7" t="inlineStr">
        <is>
          <t>10. עלויות והתחשבנות (PM-CO)</t>
        </is>
      </c>
      <c r="T842" s="7" t="inlineStr">
        <is>
          <t>Custom Code Check</t>
        </is>
      </c>
      <c r="U842" s="7" t="inlineStr">
        <is>
          <t>D42</t>
        </is>
      </c>
      <c r="V842" s="9">
        <f>HYPERLINK("#'"&amp;T842&amp;"'!"&amp;U842,"➜ פתח")</f>
        <v/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7" t="inlineStr">
        <is>
          <t>BAdI</t>
        </is>
      </c>
      <c r="Q843" s="8" t="inlineStr">
        <is>
          <t>BADI_SETTLEMENT</t>
        </is>
      </c>
      <c r="R843" s="7" t="inlineStr">
        <is>
          <t>הרחבת לוגיקת התחשבנות (אמת שם ב-SE18)</t>
        </is>
      </c>
      <c r="S843" s="7" t="inlineStr">
        <is>
          <t>10. עלויות והתחשבנות (PM-CO)</t>
        </is>
      </c>
      <c r="T843" s="7" t="inlineStr">
        <is>
          <t>Custom Code Check</t>
        </is>
      </c>
      <c r="U843" s="7" t="inlineStr">
        <is>
          <t>D43</t>
        </is>
      </c>
      <c r="V843" s="9">
        <f>HYPERLINK("#'"&amp;T843&amp;"'!"&amp;U843,"➜ פתח")</f>
        <v/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7" t="inlineStr">
        <is>
          <t>User Exit</t>
        </is>
      </c>
      <c r="Q844" s="8" t="inlineStr">
        <is>
          <t>IPRM0001</t>
        </is>
      </c>
      <c r="R844" s="7" t="inlineStr">
        <is>
          <t>הרחבת לקוח לתכניות אחזקה (Maintenance Plans)</t>
        </is>
      </c>
      <c r="S844" s="7" t="inlineStr">
        <is>
          <t>11. אחזקה מונעת ותוכניות</t>
        </is>
      </c>
      <c r="T844" s="7" t="inlineStr">
        <is>
          <t>Custom Code Check</t>
        </is>
      </c>
      <c r="U844" s="7" t="inlineStr">
        <is>
          <t>D44</t>
        </is>
      </c>
      <c r="V844" s="9">
        <f>HYPERLINK("#'"&amp;T844&amp;"'!"&amp;U844,"➜ פתח")</f>
        <v/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7" t="inlineStr">
        <is>
          <t>User Exit</t>
        </is>
      </c>
      <c r="Q845" s="8" t="inlineStr">
        <is>
          <t>IPRM0002</t>
        </is>
      </c>
      <c r="R845" s="7" t="inlineStr">
        <is>
          <t>הרחבת לוגיקת תזמון (Scheduling)</t>
        </is>
      </c>
      <c r="S845" s="7" t="inlineStr">
        <is>
          <t>11. אחזקה מונעת ותוכניות</t>
        </is>
      </c>
      <c r="T845" s="7" t="inlineStr">
        <is>
          <t>Custom Code Check</t>
        </is>
      </c>
      <c r="U845" s="7" t="inlineStr">
        <is>
          <t>D45</t>
        </is>
      </c>
      <c r="V845" s="9">
        <f>HYPERLINK("#'"&amp;T845&amp;"'!"&amp;U845,"➜ פתח")</f>
        <v/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7" t="inlineStr">
        <is>
          <t>BAdI</t>
        </is>
      </c>
      <c r="Q846" s="8" t="inlineStr">
        <is>
          <t>BADI_EAM_MAINT_PLAN</t>
        </is>
      </c>
      <c r="R846" s="7" t="inlineStr">
        <is>
          <t>הרחבת תכניות אחזקה ותזמון (אמת שם ב-SE18)</t>
        </is>
      </c>
      <c r="S846" s="7" t="inlineStr">
        <is>
          <t>11. אחזקה מונעת ותוכניות</t>
        </is>
      </c>
      <c r="T846" s="7" t="inlineStr">
        <is>
          <t>Custom Code Check</t>
        </is>
      </c>
      <c r="U846" s="7" t="inlineStr">
        <is>
          <t>D46</t>
        </is>
      </c>
      <c r="V846" s="9">
        <f>HYPERLINK("#'"&amp;T846&amp;"'!"&amp;U846,"➜ פתח")</f>
        <v/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7" t="inlineStr">
        <is>
          <t>User Exit</t>
        </is>
      </c>
      <c r="Q847" s="8" t="inlineStr">
        <is>
          <t>ARCH_PM (SARA/AOBJ)</t>
        </is>
      </c>
      <c r="R847" s="7" t="inlineStr">
        <is>
          <t>ארכוב דרך אובייקטי ADK (PM_ORDER/PM_QMEL) ללא user-exit ייעודי</t>
        </is>
      </c>
      <c r="S847" s="7" t="inlineStr">
        <is>
          <t>12. היסטוריה וארכיון</t>
        </is>
      </c>
      <c r="T847" s="7" t="inlineStr">
        <is>
          <t>Custom Code Check</t>
        </is>
      </c>
      <c r="U847" s="7" t="inlineStr">
        <is>
          <t>D47</t>
        </is>
      </c>
      <c r="V847" s="9">
        <f>HYPERLINK("#'"&amp;T847&amp;"'!"&amp;U847,"➜ פתח")</f>
        <v/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7" t="inlineStr">
        <is>
          <t>BAdI</t>
        </is>
      </c>
      <c r="Q848" s="8" t="inlineStr">
        <is>
          <t>BADI_ARCHIVING</t>
        </is>
      </c>
      <c r="R848" s="7" t="inlineStr">
        <is>
          <t>הרחבת לוגיקת ארכוב/ILM (אמת שם ב-SE18)</t>
        </is>
      </c>
      <c r="S848" s="7" t="inlineStr">
        <is>
          <t>12. היסטוריה וארכיון</t>
        </is>
      </c>
      <c r="T848" s="7" t="inlineStr">
        <is>
          <t>Custom Code Check</t>
        </is>
      </c>
      <c r="U848" s="7" t="inlineStr">
        <is>
          <t>D48</t>
        </is>
      </c>
      <c r="V848" s="9">
        <f>HYPERLINK("#'"&amp;T848&amp;"'!"&amp;U848,"➜ פתח")</f>
        <v/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7" t="inlineStr">
        <is>
          <t>Join</t>
        </is>
      </c>
      <c r="Q849" s="8" t="inlineStr">
        <is>
          <t>IFLOS.TPLNR -&gt; IFLOT.TPLNR</t>
        </is>
      </c>
      <c r="R849" s="7" t="inlineStr">
        <is>
          <t>תווית מיקום פונקציונלי מצורפת לרשומת האב</t>
        </is>
      </c>
      <c r="S849" s="7" t="inlineStr"/>
      <c r="T849" s="7" t="inlineStr">
        <is>
          <t>ER - Join Map</t>
        </is>
      </c>
      <c r="U849" s="7" t="inlineStr">
        <is>
          <t>A3</t>
        </is>
      </c>
      <c r="V849" s="9">
        <f>HYPERLINK("#'"&amp;T849&amp;"'!"&amp;U849,"➜ פתח")</f>
        <v/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7" t="inlineStr">
        <is>
          <t>Join</t>
        </is>
      </c>
      <c r="Q850" s="8" t="inlineStr">
        <is>
          <t>IFLOT.TPLMA -&gt; IFLOT.TPLNR</t>
        </is>
      </c>
      <c r="R850" s="7" t="inlineStr">
        <is>
          <t>היררכיית מיקומים - מיקום אב (self-join)</t>
        </is>
      </c>
      <c r="S850" s="7" t="inlineStr"/>
      <c r="T850" s="7" t="inlineStr">
        <is>
          <t>ER - Join Map</t>
        </is>
      </c>
      <c r="U850" s="7" t="inlineStr">
        <is>
          <t>A4</t>
        </is>
      </c>
      <c r="V850" s="9">
        <f>HYPERLINK("#'"&amp;T850&amp;"'!"&amp;U850,"➜ פתח")</f>
        <v/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7" t="inlineStr">
        <is>
          <t>Join</t>
        </is>
      </c>
      <c r="Q851" s="8" t="inlineStr">
        <is>
          <t>IFLOT.OBJNR -&gt; JSTO.OBJNR</t>
        </is>
      </c>
      <c r="R851" s="7" t="inlineStr">
        <is>
          <t>אובייקט הסטטוס של המיקום הפונקציונלי</t>
        </is>
      </c>
      <c r="S851" s="7" t="inlineStr"/>
      <c r="T851" s="7" t="inlineStr">
        <is>
          <t>ER - Join Map</t>
        </is>
      </c>
      <c r="U851" s="7" t="inlineStr">
        <is>
          <t>A5</t>
        </is>
      </c>
      <c r="V851" s="9">
        <f>HYPERLINK("#'"&amp;T851&amp;"'!"&amp;U851,"➜ פתח")</f>
        <v/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7" t="inlineStr">
        <is>
          <t>Join</t>
        </is>
      </c>
      <c r="Q852" s="8" t="inlineStr">
        <is>
          <t>ILOA.TPLNR -&gt; IFLOT.TPLNR</t>
        </is>
      </c>
      <c r="R852" s="7" t="inlineStr">
        <is>
          <t>נתוני מיקום/חיוב משויכים למיקום הפונקציונלי</t>
        </is>
      </c>
      <c r="S852" s="7" t="inlineStr"/>
      <c r="T852" s="7" t="inlineStr">
        <is>
          <t>ER - Join Map</t>
        </is>
      </c>
      <c r="U852" s="7" t="inlineStr">
        <is>
          <t>A6</t>
        </is>
      </c>
      <c r="V852" s="9">
        <f>HYPERLINK("#'"&amp;T852&amp;"'!"&amp;U852,"➜ פתח")</f>
        <v/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7" t="inlineStr">
        <is>
          <t>Join</t>
        </is>
      </c>
      <c r="Q853" s="8" t="inlineStr">
        <is>
          <t>ILOA.GEWRK -&gt; CRHD.OBJID</t>
        </is>
      </c>
      <c r="R853" s="7" t="inlineStr">
        <is>
          <t>מרכז עבודה ראשי אחראי</t>
        </is>
      </c>
      <c r="S853" s="7" t="inlineStr"/>
      <c r="T853" s="7" t="inlineStr">
        <is>
          <t>ER - Join Map</t>
        </is>
      </c>
      <c r="U853" s="7" t="inlineStr">
        <is>
          <t>A7</t>
        </is>
      </c>
      <c r="V853" s="9">
        <f>HYPERLINK("#'"&amp;T853&amp;"'!"&amp;U853,"➜ פתח")</f>
        <v/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7" t="inlineStr">
        <is>
          <t>Join</t>
        </is>
      </c>
      <c r="Q854" s="8" t="inlineStr">
        <is>
          <t>CRTX.OBJID -&gt; CRHD.OBJID</t>
        </is>
      </c>
      <c r="R854" s="7" t="inlineStr">
        <is>
          <t>טקסטים של מרכז העבודה (לפי שפה)</t>
        </is>
      </c>
      <c r="S854" s="7" t="inlineStr"/>
      <c r="T854" s="7" t="inlineStr">
        <is>
          <t>ER - Join Map</t>
        </is>
      </c>
      <c r="U854" s="7" t="inlineStr">
        <is>
          <t>A8</t>
        </is>
      </c>
      <c r="V854" s="9">
        <f>HYPERLINK("#'"&amp;T854&amp;"'!"&amp;U854,"➜ פתח")</f>
        <v/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7" t="inlineStr">
        <is>
          <t>Join</t>
        </is>
      </c>
      <c r="Q855" s="8" t="inlineStr">
        <is>
          <t>EQKT.EQUNR -&gt; EQUI.EQUNR</t>
        </is>
      </c>
      <c r="R855" s="7" t="inlineStr">
        <is>
          <t>טקסטים של הציוד (לפי שפה)</t>
        </is>
      </c>
      <c r="S855" s="7" t="inlineStr"/>
      <c r="T855" s="7" t="inlineStr">
        <is>
          <t>ER - Join Map</t>
        </is>
      </c>
      <c r="U855" s="7" t="inlineStr">
        <is>
          <t>A9</t>
        </is>
      </c>
      <c r="V855" s="9">
        <f>HYPERLINK("#'"&amp;T855&amp;"'!"&amp;U855,"➜ פתח")</f>
        <v/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7" t="inlineStr">
        <is>
          <t>Join</t>
        </is>
      </c>
      <c r="Q856" s="8" t="inlineStr">
        <is>
          <t>EQUZ.EQUNR -&gt; EQUI.EQUNR</t>
        </is>
      </c>
      <c r="R856" s="7" t="inlineStr">
        <is>
          <t>פלחי זמן של הציוד (התקנות לאורך זמן)</t>
        </is>
      </c>
      <c r="S856" s="7" t="inlineStr"/>
      <c r="T856" s="7" t="inlineStr">
        <is>
          <t>ER - Join Map</t>
        </is>
      </c>
      <c r="U856" s="7" t="inlineStr">
        <is>
          <t>A10</t>
        </is>
      </c>
      <c r="V856" s="9">
        <f>HYPERLINK("#'"&amp;T856&amp;"'!"&amp;U856,"➜ פתח")</f>
        <v/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7" t="inlineStr">
        <is>
          <t>Join</t>
        </is>
      </c>
      <c r="Q857" s="8" t="inlineStr">
        <is>
          <t>EQUZ.HEQUI -&gt; EQUI.EQUNR</t>
        </is>
      </c>
      <c r="R857" s="7" t="inlineStr">
        <is>
          <t>ציוד עליון בהיררכיה (self-join דרך EQUI)</t>
        </is>
      </c>
      <c r="S857" s="7" t="inlineStr"/>
      <c r="T857" s="7" t="inlineStr">
        <is>
          <t>ER - Join Map</t>
        </is>
      </c>
      <c r="U857" s="7" t="inlineStr">
        <is>
          <t>A11</t>
        </is>
      </c>
      <c r="V857" s="9">
        <f>HYPERLINK("#'"&amp;T857&amp;"'!"&amp;U857,"➜ פתח")</f>
        <v/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7" t="inlineStr">
        <is>
          <t>Join</t>
        </is>
      </c>
      <c r="Q858" s="8" t="inlineStr">
        <is>
          <t>EQUZ.ILOAN -&gt; ILOA.ILOAN</t>
        </is>
      </c>
      <c r="R858" s="7" t="inlineStr">
        <is>
          <t>נתוני מיקום/חיוב של הציוד בפלח הזמן</t>
        </is>
      </c>
      <c r="S858" s="7" t="inlineStr"/>
      <c r="T858" s="7" t="inlineStr">
        <is>
          <t>ER - Join Map</t>
        </is>
      </c>
      <c r="U858" s="7" t="inlineStr">
        <is>
          <t>A12</t>
        </is>
      </c>
      <c r="V858" s="9">
        <f>HYPERLINK("#'"&amp;T858&amp;"'!"&amp;U858,"➜ פתח")</f>
        <v/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7" t="inlineStr">
        <is>
          <t>Join</t>
        </is>
      </c>
      <c r="Q859" s="8" t="inlineStr">
        <is>
          <t>EQUI.OBJNR -&gt; JSTO.OBJNR</t>
        </is>
      </c>
      <c r="R859" s="7" t="inlineStr">
        <is>
          <t>אובייקט הסטטוס של הציוד</t>
        </is>
      </c>
      <c r="S859" s="7" t="inlineStr"/>
      <c r="T859" s="7" t="inlineStr">
        <is>
          <t>ER - Join Map</t>
        </is>
      </c>
      <c r="U859" s="7" t="inlineStr">
        <is>
          <t>A13</t>
        </is>
      </c>
      <c r="V859" s="9">
        <f>HYPERLINK("#'"&amp;T859&amp;"'!"&amp;U859,"➜ פתח")</f>
        <v/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7" t="inlineStr">
        <is>
          <t>Join</t>
        </is>
      </c>
      <c r="Q860" s="8" t="inlineStr">
        <is>
          <t>OBJK.EQUNR -&gt; EQUI.EQUNR</t>
        </is>
      </c>
      <c r="R860" s="7" t="inlineStr">
        <is>
          <t>מספר סידורי משויך לרשומת ציוד</t>
        </is>
      </c>
      <c r="S860" s="7" t="inlineStr"/>
      <c r="T860" s="7" t="inlineStr">
        <is>
          <t>ER - Join Map</t>
        </is>
      </c>
      <c r="U860" s="7" t="inlineStr">
        <is>
          <t>A14</t>
        </is>
      </c>
      <c r="V860" s="9">
        <f>HYPERLINK("#'"&amp;T860&amp;"'!"&amp;U860,"➜ פתח")</f>
        <v/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7" t="inlineStr">
        <is>
          <t>Join</t>
        </is>
      </c>
      <c r="Q861" s="8" t="inlineStr">
        <is>
          <t>STPO.STLNR -&gt; STKO.STLNR</t>
        </is>
      </c>
      <c r="R861" s="7" t="inlineStr">
        <is>
          <t>פריטי עץ המוצר תחת הכותרת</t>
        </is>
      </c>
      <c r="S861" s="7" t="inlineStr"/>
      <c r="T861" s="7" t="inlineStr">
        <is>
          <t>ER - Join Map</t>
        </is>
      </c>
      <c r="U861" s="7" t="inlineStr">
        <is>
          <t>A15</t>
        </is>
      </c>
      <c r="V861" s="9">
        <f>HYPERLINK("#'"&amp;T861&amp;"'!"&amp;U861,"➜ פתח")</f>
        <v/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7" t="inlineStr">
        <is>
          <t>Join</t>
        </is>
      </c>
      <c r="Q862" s="8" t="inlineStr">
        <is>
          <t>MAST.STLNR -&gt; STKO.STLNR</t>
        </is>
      </c>
      <c r="R862" s="7" t="inlineStr">
        <is>
          <t>קישור חומר לכותרת עץ המוצר</t>
        </is>
      </c>
      <c r="S862" s="7" t="inlineStr"/>
      <c r="T862" s="7" t="inlineStr">
        <is>
          <t>ER - Join Map</t>
        </is>
      </c>
      <c r="U862" s="7" t="inlineStr">
        <is>
          <t>A16</t>
        </is>
      </c>
      <c r="V862" s="9">
        <f>HYPERLINK("#'"&amp;T862&amp;"'!"&amp;U862,"➜ פתח")</f>
        <v/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7" t="inlineStr">
        <is>
          <t>Join</t>
        </is>
      </c>
      <c r="Q863" s="8" t="inlineStr">
        <is>
          <t>EQST.STLNR -&gt; STKO.STLNR</t>
        </is>
      </c>
      <c r="R863" s="7" t="inlineStr">
        <is>
          <t>קישור ציוד לעץ המוצר</t>
        </is>
      </c>
      <c r="S863" s="7" t="inlineStr"/>
      <c r="T863" s="7" t="inlineStr">
        <is>
          <t>ER - Join Map</t>
        </is>
      </c>
      <c r="U863" s="7" t="inlineStr">
        <is>
          <t>A17</t>
        </is>
      </c>
      <c r="V863" s="9">
        <f>HYPERLINK("#'"&amp;T863&amp;"'!"&amp;U863,"➜ פתח")</f>
        <v/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7" t="inlineStr">
        <is>
          <t>Join</t>
        </is>
      </c>
      <c r="Q864" s="8" t="inlineStr">
        <is>
          <t>EQST.EQUNR -&gt; EQUI.EQUNR</t>
        </is>
      </c>
      <c r="R864" s="7" t="inlineStr">
        <is>
          <t>עץ המוצר של הציוד</t>
        </is>
      </c>
      <c r="S864" s="7" t="inlineStr"/>
      <c r="T864" s="7" t="inlineStr">
        <is>
          <t>ER - Join Map</t>
        </is>
      </c>
      <c r="U864" s="7" t="inlineStr">
        <is>
          <t>A18</t>
        </is>
      </c>
      <c r="V864" s="9">
        <f>HYPERLINK("#'"&amp;T864&amp;"'!"&amp;U864,"➜ פתח")</f>
        <v/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7" t="inlineStr">
        <is>
          <t>Join</t>
        </is>
      </c>
      <c r="Q865" s="8" t="inlineStr">
        <is>
          <t>TPST.STLNR -&gt; STKO.STLNR</t>
        </is>
      </c>
      <c r="R865" s="7" t="inlineStr">
        <is>
          <t>קישור מיקום לעץ המוצר</t>
        </is>
      </c>
      <c r="S865" s="7" t="inlineStr"/>
      <c r="T865" s="7" t="inlineStr">
        <is>
          <t>ER - Join Map</t>
        </is>
      </c>
      <c r="U865" s="7" t="inlineStr">
        <is>
          <t>A19</t>
        </is>
      </c>
      <c r="V865" s="9">
        <f>HYPERLINK("#'"&amp;T865&amp;"'!"&amp;U865,"➜ פתח")</f>
        <v/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7" t="inlineStr">
        <is>
          <t>Join</t>
        </is>
      </c>
      <c r="Q866" s="8" t="inlineStr">
        <is>
          <t>TPST.TPLNR -&gt; IFLOT.TPLNR</t>
        </is>
      </c>
      <c r="R866" s="7" t="inlineStr">
        <is>
          <t>עץ המוצר של המיקום הפונקציונלי</t>
        </is>
      </c>
      <c r="S866" s="7" t="inlineStr"/>
      <c r="T866" s="7" t="inlineStr">
        <is>
          <t>ER - Join Map</t>
        </is>
      </c>
      <c r="U866" s="7" t="inlineStr">
        <is>
          <t>A20</t>
        </is>
      </c>
      <c r="V866" s="9">
        <f>HYPERLINK("#'"&amp;T866&amp;"'!"&amp;U866,"➜ פתח")</f>
        <v/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7" t="inlineStr">
        <is>
          <t>Join</t>
        </is>
      </c>
      <c r="Q867" s="8" t="inlineStr">
        <is>
          <t>IMRG.POINT -&gt; IMPTT.POINT</t>
        </is>
      </c>
      <c r="R867" s="7" t="inlineStr">
        <is>
          <t>מסמכי מדידה תחת נקודת המדידה</t>
        </is>
      </c>
      <c r="S867" s="7" t="inlineStr"/>
      <c r="T867" s="7" t="inlineStr">
        <is>
          <t>ER - Join Map</t>
        </is>
      </c>
      <c r="U867" s="7" t="inlineStr">
        <is>
          <t>A21</t>
        </is>
      </c>
      <c r="V867" s="9">
        <f>HYPERLINK("#'"&amp;T867&amp;"'!"&amp;U867,"➜ פתח")</f>
        <v/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7" t="inlineStr">
        <is>
          <t>Join</t>
        </is>
      </c>
      <c r="Q868" s="8" t="inlineStr">
        <is>
          <t>QPCD.CODEGRUPPE -&gt; QPGR.CODEGRUPPE</t>
        </is>
      </c>
      <c r="R868" s="7" t="inlineStr">
        <is>
          <t>קודים בתוך קבוצת הקוד</t>
        </is>
      </c>
      <c r="S868" s="7" t="inlineStr"/>
      <c r="T868" s="7" t="inlineStr">
        <is>
          <t>ER - Join Map</t>
        </is>
      </c>
      <c r="U868" s="7" t="inlineStr">
        <is>
          <t>A22</t>
        </is>
      </c>
      <c r="V868" s="9">
        <f>HYPERLINK("#'"&amp;T868&amp;"'!"&amp;U868,"➜ פתח")</f>
        <v/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7" t="inlineStr">
        <is>
          <t>Join</t>
        </is>
      </c>
      <c r="Q869" s="8" t="inlineStr">
        <is>
          <t>T352B.CODEGRUPPE -&gt; QPGR.CODEGRUPPE</t>
        </is>
      </c>
      <c r="R869" s="7" t="inlineStr">
        <is>
          <t>קבוצות קוד מותרות בפרופיל הקטלוג</t>
        </is>
      </c>
      <c r="S869" s="7" t="inlineStr"/>
      <c r="T869" s="7" t="inlineStr">
        <is>
          <t>ER - Join Map</t>
        </is>
      </c>
      <c r="U869" s="7" t="inlineStr">
        <is>
          <t>A23</t>
        </is>
      </c>
      <c r="V869" s="9">
        <f>HYPERLINK("#'"&amp;T869&amp;"'!"&amp;U869,"➜ פתח")</f>
        <v/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7" t="inlineStr">
        <is>
          <t>Join</t>
        </is>
      </c>
      <c r="Q870" s="8" t="inlineStr">
        <is>
          <t>QMFE.QMNUM -&gt; QMEL.QMNUM</t>
        </is>
      </c>
      <c r="R870" s="7" t="inlineStr">
        <is>
          <t>פריטי הליקוי תחת ההודעה</t>
        </is>
      </c>
      <c r="S870" s="7" t="inlineStr"/>
      <c r="T870" s="7" t="inlineStr">
        <is>
          <t>ER - Join Map</t>
        </is>
      </c>
      <c r="U870" s="7" t="inlineStr">
        <is>
          <t>A24</t>
        </is>
      </c>
      <c r="V870" s="9">
        <f>HYPERLINK("#'"&amp;T870&amp;"'!"&amp;U870,"➜ פתח")</f>
        <v/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7" t="inlineStr">
        <is>
          <t>Join</t>
        </is>
      </c>
      <c r="Q871" s="8" t="inlineStr">
        <is>
          <t>QMUR.QMNUM -&gt; QMFE.QMNUM</t>
        </is>
      </c>
      <c r="R871" s="7" t="inlineStr">
        <is>
          <t>סיבות תחת פריט ההודעה (דרך QMNUM+FENUM)</t>
        </is>
      </c>
      <c r="S871" s="7" t="inlineStr"/>
      <c r="T871" s="7" t="inlineStr">
        <is>
          <t>ER - Join Map</t>
        </is>
      </c>
      <c r="U871" s="7" t="inlineStr">
        <is>
          <t>A25</t>
        </is>
      </c>
      <c r="V871" s="9">
        <f>HYPERLINK("#'"&amp;T871&amp;"'!"&amp;U871,"➜ פתח")</f>
        <v/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7" t="inlineStr">
        <is>
          <t>Join</t>
        </is>
      </c>
      <c r="Q872" s="8" t="inlineStr">
        <is>
          <t>QMMA.QMNUM -&gt; QMEL.QMNUM</t>
        </is>
      </c>
      <c r="R872" s="7" t="inlineStr">
        <is>
          <t>פעילויות שבוצעו תחת ההודעה</t>
        </is>
      </c>
      <c r="S872" s="7" t="inlineStr"/>
      <c r="T872" s="7" t="inlineStr">
        <is>
          <t>ER - Join Map</t>
        </is>
      </c>
      <c r="U872" s="7" t="inlineStr">
        <is>
          <t>A26</t>
        </is>
      </c>
      <c r="V872" s="9">
        <f>HYPERLINK("#'"&amp;T872&amp;"'!"&amp;U872,"➜ פתח")</f>
        <v/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7" t="inlineStr">
        <is>
          <t>Join</t>
        </is>
      </c>
      <c r="Q873" s="8" t="inlineStr">
        <is>
          <t>QMSM.QMNUM -&gt; QMEL.QMNUM</t>
        </is>
      </c>
      <c r="R873" s="7" t="inlineStr">
        <is>
          <t>משימות לטיפול תחת ההודעה</t>
        </is>
      </c>
      <c r="S873" s="7" t="inlineStr"/>
      <c r="T873" s="7" t="inlineStr">
        <is>
          <t>ER - Join Map</t>
        </is>
      </c>
      <c r="U873" s="7" t="inlineStr">
        <is>
          <t>A27</t>
        </is>
      </c>
      <c r="V873" s="9">
        <f>HYPERLINK("#'"&amp;T873&amp;"'!"&amp;U873,"➜ פתח")</f>
        <v/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7" t="inlineStr">
        <is>
          <t>Join</t>
        </is>
      </c>
      <c r="Q874" s="8" t="inlineStr">
        <is>
          <t>QMEL.EQUNR -&gt; EQUI.EQUNR</t>
        </is>
      </c>
      <c r="R874" s="7" t="inlineStr">
        <is>
          <t>ההודעה מתייחסת לציוד</t>
        </is>
      </c>
      <c r="S874" s="7" t="inlineStr"/>
      <c r="T874" s="7" t="inlineStr">
        <is>
          <t>ER - Join Map</t>
        </is>
      </c>
      <c r="U874" s="7" t="inlineStr">
        <is>
          <t>A28</t>
        </is>
      </c>
      <c r="V874" s="9">
        <f>HYPERLINK("#'"&amp;T874&amp;"'!"&amp;U874,"➜ פתח")</f>
        <v/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7" t="inlineStr">
        <is>
          <t>Join</t>
        </is>
      </c>
      <c r="Q875" s="8" t="inlineStr">
        <is>
          <t>QMEL.TPLNR -&gt; IFLOT.TPLNR</t>
        </is>
      </c>
      <c r="R875" s="7" t="inlineStr">
        <is>
          <t>ההודעה מתייחסת למיקום פונקציונלי</t>
        </is>
      </c>
      <c r="S875" s="7" t="inlineStr"/>
      <c r="T875" s="7" t="inlineStr">
        <is>
          <t>ER - Join Map</t>
        </is>
      </c>
      <c r="U875" s="7" t="inlineStr">
        <is>
          <t>A29</t>
        </is>
      </c>
      <c r="V875" s="9">
        <f>HYPERLINK("#'"&amp;T875&amp;"'!"&amp;U875,"➜ פתח")</f>
        <v/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7" t="inlineStr">
        <is>
          <t>Join</t>
        </is>
      </c>
      <c r="Q876" s="8" t="inlineStr">
        <is>
          <t>QMEL.OBJNR -&gt; JSTO.OBJNR</t>
        </is>
      </c>
      <c r="R876" s="7" t="inlineStr">
        <is>
          <t>אובייקט הסטטוס של ההודעה</t>
        </is>
      </c>
      <c r="S876" s="7" t="inlineStr"/>
      <c r="T876" s="7" t="inlineStr">
        <is>
          <t>ER - Join Map</t>
        </is>
      </c>
      <c r="U876" s="7" t="inlineStr">
        <is>
          <t>A30</t>
        </is>
      </c>
      <c r="V876" s="9">
        <f>HYPERLINK("#'"&amp;T876&amp;"'!"&amp;U876,"➜ פתח")</f>
        <v/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7" t="inlineStr">
        <is>
          <t>Join</t>
        </is>
      </c>
      <c r="Q877" s="8" t="inlineStr">
        <is>
          <t>QMEL.QMART -&gt; TQ80.QMART</t>
        </is>
      </c>
      <c r="R877" s="7" t="inlineStr">
        <is>
          <t>סוג ההודעה מגדיר פריסת מסך ופרופיל קטלוג</t>
        </is>
      </c>
      <c r="S877" s="7" t="inlineStr"/>
      <c r="T877" s="7" t="inlineStr">
        <is>
          <t>ER - Join Map</t>
        </is>
      </c>
      <c r="U877" s="7" t="inlineStr">
        <is>
          <t>A31</t>
        </is>
      </c>
      <c r="V877" s="9">
        <f>HYPERLINK("#'"&amp;T877&amp;"'!"&amp;U877,"➜ פתח")</f>
        <v/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7" t="inlineStr">
        <is>
          <t>Join</t>
        </is>
      </c>
      <c r="Q878" s="8" t="inlineStr">
        <is>
          <t>AFKO.AUFNR -&gt; AUFK.AUFNR</t>
        </is>
      </c>
      <c r="R878" s="7" t="inlineStr">
        <is>
          <t>כותרת נתוני האחזקה/ייצור של הפק"ע</t>
        </is>
      </c>
      <c r="S878" s="7" t="inlineStr"/>
      <c r="T878" s="7" t="inlineStr">
        <is>
          <t>ER - Join Map</t>
        </is>
      </c>
      <c r="U878" s="7" t="inlineStr">
        <is>
          <t>A32</t>
        </is>
      </c>
      <c r="V878" s="9">
        <f>HYPERLINK("#'"&amp;T878&amp;"'!"&amp;U878,"➜ פתח")</f>
        <v/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7" t="inlineStr">
        <is>
          <t>Join</t>
        </is>
      </c>
      <c r="Q879" s="8" t="inlineStr">
        <is>
          <t>AFPO.AUFNR -&gt; AUFK.AUFNR</t>
        </is>
      </c>
      <c r="R879" s="7" t="inlineStr">
        <is>
          <t>פריטי הפק"ע</t>
        </is>
      </c>
      <c r="S879" s="7" t="inlineStr"/>
      <c r="T879" s="7" t="inlineStr">
        <is>
          <t>ER - Join Map</t>
        </is>
      </c>
      <c r="U879" s="7" t="inlineStr">
        <is>
          <t>A33</t>
        </is>
      </c>
      <c r="V879" s="9">
        <f>HYPERLINK("#'"&amp;T879&amp;"'!"&amp;U879,"➜ פתח")</f>
        <v/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7" t="inlineStr">
        <is>
          <t>Join</t>
        </is>
      </c>
      <c r="Q880" s="8" t="inlineStr">
        <is>
          <t>AFIH.AUFNR -&gt; AUFK.AUFNR</t>
        </is>
      </c>
      <c r="R880" s="7" t="inlineStr">
        <is>
          <t>כותרת נתוני האחזקה (PM) של הפק"ע</t>
        </is>
      </c>
      <c r="S880" s="7" t="inlineStr"/>
      <c r="T880" s="7" t="inlineStr">
        <is>
          <t>ER - Join Map</t>
        </is>
      </c>
      <c r="U880" s="7" t="inlineStr">
        <is>
          <t>A34</t>
        </is>
      </c>
      <c r="V880" s="9">
        <f>HYPERLINK("#'"&amp;T880&amp;"'!"&amp;U880,"➜ פתח")</f>
        <v/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7" t="inlineStr">
        <is>
          <t>Join</t>
        </is>
      </c>
      <c r="Q881" s="8" t="inlineStr">
        <is>
          <t>AFVC.AUFPL -&gt; AFKO.AUFPL</t>
        </is>
      </c>
      <c r="R881" s="7" t="inlineStr">
        <is>
          <t>פעולות הפק"ע תחת תוכנית הפעולות</t>
        </is>
      </c>
      <c r="S881" s="7" t="inlineStr"/>
      <c r="T881" s="7" t="inlineStr">
        <is>
          <t>ER - Join Map</t>
        </is>
      </c>
      <c r="U881" s="7" t="inlineStr">
        <is>
          <t>A35</t>
        </is>
      </c>
      <c r="V881" s="9">
        <f>HYPERLINK("#'"&amp;T881&amp;"'!"&amp;U881,"➜ פתח")</f>
        <v/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7" t="inlineStr">
        <is>
          <t>Join</t>
        </is>
      </c>
      <c r="Q882" s="8" t="inlineStr">
        <is>
          <t>AFVC.ARBID -&gt; CRHD.OBJID</t>
        </is>
      </c>
      <c r="R882" s="7" t="inlineStr">
        <is>
          <t>מרכז העבודה המבצע את הפעולה</t>
        </is>
      </c>
      <c r="S882" s="7" t="inlineStr"/>
      <c r="T882" s="7" t="inlineStr">
        <is>
          <t>ER - Join Map</t>
        </is>
      </c>
      <c r="U882" s="7" t="inlineStr">
        <is>
          <t>A36</t>
        </is>
      </c>
      <c r="V882" s="9">
        <f>HYPERLINK("#'"&amp;T882&amp;"'!"&amp;U882,"➜ פתח")</f>
        <v/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7" t="inlineStr">
        <is>
          <t>Join</t>
        </is>
      </c>
      <c r="Q883" s="8" t="inlineStr">
        <is>
          <t>AFIH.EQUNR -&gt; EQUI.EQUNR</t>
        </is>
      </c>
      <c r="R883" s="7" t="inlineStr">
        <is>
          <t>הפק"ע מתייחסת לציוד</t>
        </is>
      </c>
      <c r="S883" s="7" t="inlineStr"/>
      <c r="T883" s="7" t="inlineStr">
        <is>
          <t>ER - Join Map</t>
        </is>
      </c>
      <c r="U883" s="7" t="inlineStr">
        <is>
          <t>A37</t>
        </is>
      </c>
      <c r="V883" s="9">
        <f>HYPERLINK("#'"&amp;T883&amp;"'!"&amp;U883,"➜ פתח")</f>
        <v/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7" t="inlineStr">
        <is>
          <t>Join</t>
        </is>
      </c>
      <c r="Q884" s="8" t="inlineStr">
        <is>
          <t>AFIH.TPLNR -&gt; IFLOT.TPLNR</t>
        </is>
      </c>
      <c r="R884" s="7" t="inlineStr">
        <is>
          <t>הפק"ע מתייחסת למיקום פונקציונלי</t>
        </is>
      </c>
      <c r="S884" s="7" t="inlineStr"/>
      <c r="T884" s="7" t="inlineStr">
        <is>
          <t>ER - Join Map</t>
        </is>
      </c>
      <c r="U884" s="7" t="inlineStr">
        <is>
          <t>A38</t>
        </is>
      </c>
      <c r="V884" s="9">
        <f>HYPERLINK("#'"&amp;T884&amp;"'!"&amp;U884,"➜ פתח")</f>
        <v/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7" t="inlineStr">
        <is>
          <t>Join</t>
        </is>
      </c>
      <c r="Q885" s="8" t="inlineStr">
        <is>
          <t>AUFK.OBJNR -&gt; JSTO.OBJNR</t>
        </is>
      </c>
      <c r="R885" s="7" t="inlineStr">
        <is>
          <t>אובייקט הסטטוס/CO של הפק"ע</t>
        </is>
      </c>
      <c r="S885" s="7" t="inlineStr"/>
      <c r="T885" s="7" t="inlineStr">
        <is>
          <t>ER - Join Map</t>
        </is>
      </c>
      <c r="U885" s="7" t="inlineStr">
        <is>
          <t>A39</t>
        </is>
      </c>
      <c r="V885" s="9">
        <f>HYPERLINK("#'"&amp;T885&amp;"'!"&amp;U885,"➜ פתח")</f>
        <v/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7" t="inlineStr">
        <is>
          <t>Join</t>
        </is>
      </c>
      <c r="Q886" s="8" t="inlineStr">
        <is>
          <t>AUFK.AUART -&gt; T003O.AUART</t>
        </is>
      </c>
      <c r="R886" s="7" t="inlineStr">
        <is>
          <t>סוג הפקודה מגדיר פרמטרים, טווח מספרים ופרופיל סטטוס</t>
        </is>
      </c>
      <c r="S886" s="7" t="inlineStr"/>
      <c r="T886" s="7" t="inlineStr">
        <is>
          <t>ER - Join Map</t>
        </is>
      </c>
      <c r="U886" s="7" t="inlineStr">
        <is>
          <t>A40</t>
        </is>
      </c>
      <c r="V886" s="9">
        <f>HYPERLINK("#'"&amp;T886&amp;"'!"&amp;U886,"➜ פתח")</f>
        <v/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7" t="inlineStr">
        <is>
          <t>Join</t>
        </is>
      </c>
      <c r="Q887" s="8" t="inlineStr">
        <is>
          <t>JEST.OBJNR -&gt; JSTO.OBJNR</t>
        </is>
      </c>
      <c r="R887" s="7" t="inlineStr">
        <is>
          <t>סטטוסים פעילים תחת אובייקט הסטטוס</t>
        </is>
      </c>
      <c r="S887" s="7" t="inlineStr"/>
      <c r="T887" s="7" t="inlineStr">
        <is>
          <t>ER - Join Map</t>
        </is>
      </c>
      <c r="U887" s="7" t="inlineStr">
        <is>
          <t>A41</t>
        </is>
      </c>
      <c r="V887" s="9">
        <f>HYPERLINK("#'"&amp;T887&amp;"'!"&amp;U887,"➜ פתח")</f>
        <v/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7" t="inlineStr">
        <is>
          <t>Join</t>
        </is>
      </c>
      <c r="Q888" s="8" t="inlineStr">
        <is>
          <t>JSTO.STSMA -&gt; TJ30.STSMA</t>
        </is>
      </c>
      <c r="R888" s="7" t="inlineStr">
        <is>
          <t>פרופיל הסטטוס מגדיר את סטטוסי המשתמש</t>
        </is>
      </c>
      <c r="S888" s="7" t="inlineStr"/>
      <c r="T888" s="7" t="inlineStr">
        <is>
          <t>ER - Join Map</t>
        </is>
      </c>
      <c r="U888" s="7" t="inlineStr">
        <is>
          <t>A42</t>
        </is>
      </c>
      <c r="V888" s="9">
        <f>HYPERLINK("#'"&amp;T888&amp;"'!"&amp;U888,"➜ פתח")</f>
        <v/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7" t="inlineStr">
        <is>
          <t>Join</t>
        </is>
      </c>
      <c r="Q889" s="8" t="inlineStr">
        <is>
          <t>T003O.STSMA -&gt; TJ30.STSMA</t>
        </is>
      </c>
      <c r="R889" s="7" t="inlineStr">
        <is>
          <t>פרופיל הסטטוס המשויך לסוג הפקודה</t>
        </is>
      </c>
      <c r="S889" s="7" t="inlineStr"/>
      <c r="T889" s="7" t="inlineStr">
        <is>
          <t>ER - Join Map</t>
        </is>
      </c>
      <c r="U889" s="7" t="inlineStr">
        <is>
          <t>A43</t>
        </is>
      </c>
      <c r="V889" s="9">
        <f>HYPERLINK("#'"&amp;T889&amp;"'!"&amp;U889,"➜ פתח")</f>
        <v/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7" t="inlineStr">
        <is>
          <t>Join</t>
        </is>
      </c>
      <c r="Q890" s="8" t="inlineStr">
        <is>
          <t>RESB.AUFNR -&gt; AUFK.AUFNR</t>
        </is>
      </c>
      <c r="R890" s="7" t="inlineStr">
        <is>
          <t>הזמנות רכיבים של הפק"ע</t>
        </is>
      </c>
      <c r="S890" s="7" t="inlineStr"/>
      <c r="T890" s="7" t="inlineStr">
        <is>
          <t>ER - Join Map</t>
        </is>
      </c>
      <c r="U890" s="7" t="inlineStr">
        <is>
          <t>A44</t>
        </is>
      </c>
      <c r="V890" s="9">
        <f>HYPERLINK("#'"&amp;T890&amp;"'!"&amp;U890,"➜ פתח")</f>
        <v/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7" t="inlineStr">
        <is>
          <t>Join</t>
        </is>
      </c>
      <c r="Q891" s="8" t="inlineStr">
        <is>
          <t>MSEG.MBLNR -&gt; MKPF.MBLNR</t>
        </is>
      </c>
      <c r="R891" s="7" t="inlineStr">
        <is>
          <t>פריטי מסמך החומר תחת הכותרת</t>
        </is>
      </c>
      <c r="S891" s="7" t="inlineStr"/>
      <c r="T891" s="7" t="inlineStr">
        <is>
          <t>ER - Join Map</t>
        </is>
      </c>
      <c r="U891" s="7" t="inlineStr">
        <is>
          <t>A45</t>
        </is>
      </c>
      <c r="V891" s="9">
        <f>HYPERLINK("#'"&amp;T891&amp;"'!"&amp;U891,"➜ פתח")</f>
        <v/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7" t="inlineStr">
        <is>
          <t>Join</t>
        </is>
      </c>
      <c r="Q892" s="8" t="inlineStr">
        <is>
          <t>MSEG.AUFNR -&gt; AUFK.AUFNR</t>
        </is>
      </c>
      <c r="R892" s="7" t="inlineStr">
        <is>
          <t>תנועת המלאי מחויבת לפק"ע</t>
        </is>
      </c>
      <c r="S892" s="7" t="inlineStr"/>
      <c r="T892" s="7" t="inlineStr">
        <is>
          <t>ER - Join Map</t>
        </is>
      </c>
      <c r="U892" s="7" t="inlineStr">
        <is>
          <t>A46</t>
        </is>
      </c>
      <c r="V892" s="9">
        <f>HYPERLINK("#'"&amp;T892&amp;"'!"&amp;U892,"➜ פתח")</f>
        <v/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7" t="inlineStr">
        <is>
          <t>Join</t>
        </is>
      </c>
      <c r="Q893" s="8" t="inlineStr">
        <is>
          <t>EBKN.BANFN -&gt; EBAN.BANFN</t>
        </is>
      </c>
      <c r="R893" s="7" t="inlineStr">
        <is>
          <t>חיוב דרישת הרכש</t>
        </is>
      </c>
      <c r="S893" s="7" t="inlineStr"/>
      <c r="T893" s="7" t="inlineStr">
        <is>
          <t>ER - Join Map</t>
        </is>
      </c>
      <c r="U893" s="7" t="inlineStr">
        <is>
          <t>A47</t>
        </is>
      </c>
      <c r="V893" s="9">
        <f>HYPERLINK("#'"&amp;T893&amp;"'!"&amp;U893,"➜ פתח")</f>
        <v/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7" t="inlineStr">
        <is>
          <t>Join</t>
        </is>
      </c>
      <c r="Q894" s="8" t="inlineStr">
        <is>
          <t>EBKN.AUFNR -&gt; AUFK.AUFNR</t>
        </is>
      </c>
      <c r="R894" s="7" t="inlineStr">
        <is>
          <t>דרישת הרכש מחויבת לפק"ע</t>
        </is>
      </c>
      <c r="S894" s="7" t="inlineStr"/>
      <c r="T894" s="7" t="inlineStr">
        <is>
          <t>ER - Join Map</t>
        </is>
      </c>
      <c r="U894" s="7" t="inlineStr">
        <is>
          <t>A48</t>
        </is>
      </c>
      <c r="V894" s="9">
        <f>HYPERLINK("#'"&amp;T894&amp;"'!"&amp;U894,"➜ פתח")</f>
        <v/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7" t="inlineStr">
        <is>
          <t>Join</t>
        </is>
      </c>
      <c r="Q895" s="8" t="inlineStr">
        <is>
          <t>COSP.OBJNR -&gt; AUFK.OBJNR</t>
        </is>
      </c>
      <c r="R895" s="7" t="inlineStr">
        <is>
          <t>סך עלויות חיצוניות לפי אובייקט הפק"ע</t>
        </is>
      </c>
      <c r="S895" s="7" t="inlineStr"/>
      <c r="T895" s="7" t="inlineStr">
        <is>
          <t>ER - Join Map</t>
        </is>
      </c>
      <c r="U895" s="7" t="inlineStr">
        <is>
          <t>A49</t>
        </is>
      </c>
      <c r="V895" s="9">
        <f>HYPERLINK("#'"&amp;T895&amp;"'!"&amp;U895,"➜ פתח")</f>
        <v/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7" t="inlineStr">
        <is>
          <t>Join</t>
        </is>
      </c>
      <c r="Q896" s="8" t="inlineStr">
        <is>
          <t>COSS.OBJNR -&gt; AUFK.OBJNR</t>
        </is>
      </c>
      <c r="R896" s="7" t="inlineStr">
        <is>
          <t>סך עלויות פנימיות לפי אובייקט הפק"ע</t>
        </is>
      </c>
      <c r="S896" s="7" t="inlineStr"/>
      <c r="T896" s="7" t="inlineStr">
        <is>
          <t>ER - Join Map</t>
        </is>
      </c>
      <c r="U896" s="7" t="inlineStr">
        <is>
          <t>A50</t>
        </is>
      </c>
      <c r="V896" s="9">
        <f>HYPERLINK("#'"&amp;T896&amp;"'!"&amp;U896,"➜ פתח")</f>
        <v/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7" t="inlineStr">
        <is>
          <t>Join</t>
        </is>
      </c>
      <c r="Q897" s="8" t="inlineStr">
        <is>
          <t>COBRA.OBJNR -&gt; AUFK.OBJNR</t>
        </is>
      </c>
      <c r="R897" s="7" t="inlineStr">
        <is>
          <t>כותרת חוק ההתחשבנות של הפק"ע</t>
        </is>
      </c>
      <c r="S897" s="7" t="inlineStr"/>
      <c r="T897" s="7" t="inlineStr">
        <is>
          <t>ER - Join Map</t>
        </is>
      </c>
      <c r="U897" s="7" t="inlineStr">
        <is>
          <t>A51</t>
        </is>
      </c>
      <c r="V897" s="9">
        <f>HYPERLINK("#'"&amp;T897&amp;"'!"&amp;U897,"➜ פתח")</f>
        <v/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7" t="inlineStr">
        <is>
          <t>Join</t>
        </is>
      </c>
      <c r="Q898" s="8" t="inlineStr">
        <is>
          <t>COBRB.OBJNR -&gt; COBRA.OBJNR</t>
        </is>
      </c>
      <c r="R898" s="7" t="inlineStr">
        <is>
          <t>פריטי חוק ההתחשבנות (חוקי חלוקה)</t>
        </is>
      </c>
      <c r="S898" s="7" t="inlineStr"/>
      <c r="T898" s="7" t="inlineStr">
        <is>
          <t>ER - Join Map</t>
        </is>
      </c>
      <c r="U898" s="7" t="inlineStr">
        <is>
          <t>A52</t>
        </is>
      </c>
      <c r="V898" s="9">
        <f>HYPERLINK("#'"&amp;T898&amp;"'!"&amp;U898,"➜ פתח")</f>
        <v/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7" t="inlineStr">
        <is>
          <t>Join</t>
        </is>
      </c>
      <c r="Q899" s="8" t="inlineStr">
        <is>
          <t>MPOS.WARPL -&gt; MPLA.WARPL</t>
        </is>
      </c>
      <c r="R899" s="7" t="inlineStr">
        <is>
          <t>פריטי תכנית האחזקה</t>
        </is>
      </c>
      <c r="S899" s="7" t="inlineStr"/>
      <c r="T899" s="7" t="inlineStr">
        <is>
          <t>ER - Join Map</t>
        </is>
      </c>
      <c r="U899" s="7" t="inlineStr">
        <is>
          <t>A53</t>
        </is>
      </c>
      <c r="V899" s="9">
        <f>HYPERLINK("#'"&amp;T899&amp;"'!"&amp;U899,"➜ פתח")</f>
        <v/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7" t="inlineStr">
        <is>
          <t>Join</t>
        </is>
      </c>
      <c r="Q900" s="8" t="inlineStr">
        <is>
          <t>MPOS.EQUNR -&gt; EQUI.EQUNR</t>
        </is>
      </c>
      <c r="R900" s="7" t="inlineStr">
        <is>
          <t>פריט התכנית מתייחס לציוד</t>
        </is>
      </c>
      <c r="S900" s="7" t="inlineStr"/>
      <c r="T900" s="7" t="inlineStr">
        <is>
          <t>ER - Join Map</t>
        </is>
      </c>
      <c r="U900" s="7" t="inlineStr">
        <is>
          <t>A54</t>
        </is>
      </c>
      <c r="V900" s="9">
        <f>HYPERLINK("#'"&amp;T900&amp;"'!"&amp;U900,"➜ פתח")</f>
        <v/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7" t="inlineStr">
        <is>
          <t>Join</t>
        </is>
      </c>
      <c r="Q901" s="8" t="inlineStr">
        <is>
          <t>MPOS.PLNNR -&gt; PLKO.PLNNR</t>
        </is>
      </c>
      <c r="R901" s="7" t="inlineStr">
        <is>
          <t>רשימת הפעולות המשויכת לפריט</t>
        </is>
      </c>
      <c r="S901" s="7" t="inlineStr"/>
      <c r="T901" s="7" t="inlineStr">
        <is>
          <t>ER - Join Map</t>
        </is>
      </c>
      <c r="U901" s="7" t="inlineStr">
        <is>
          <t>A55</t>
        </is>
      </c>
      <c r="V901" s="9">
        <f>HYPERLINK("#'"&amp;T901&amp;"'!"&amp;U901,"➜ פתח")</f>
        <v/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7" t="inlineStr">
        <is>
          <t>Join</t>
        </is>
      </c>
      <c r="Q902" s="8" t="inlineStr">
        <is>
          <t>MHIO.WARPL -&gt; MPLA.WARPL</t>
        </is>
      </c>
      <c r="R902" s="7" t="inlineStr">
        <is>
          <t>אובייקטי קריאת התכנית</t>
        </is>
      </c>
      <c r="S902" s="7" t="inlineStr"/>
      <c r="T902" s="7" t="inlineStr">
        <is>
          <t>ER - Join Map</t>
        </is>
      </c>
      <c r="U902" s="7" t="inlineStr">
        <is>
          <t>A56</t>
        </is>
      </c>
      <c r="V902" s="9">
        <f>HYPERLINK("#'"&amp;T902&amp;"'!"&amp;U902,"➜ פתח")</f>
        <v/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7" t="inlineStr">
        <is>
          <t>Join</t>
        </is>
      </c>
      <c r="Q903" s="8" t="inlineStr">
        <is>
          <t>MHIO.AUFNR -&gt; AUFK.AUFNR</t>
        </is>
      </c>
      <c r="R903" s="7" t="inlineStr">
        <is>
          <t>הפק"ע שנוצרה מהקריאה</t>
        </is>
      </c>
      <c r="S903" s="7" t="inlineStr"/>
      <c r="T903" s="7" t="inlineStr">
        <is>
          <t>ER - Join Map</t>
        </is>
      </c>
      <c r="U903" s="7" t="inlineStr">
        <is>
          <t>A57</t>
        </is>
      </c>
      <c r="V903" s="9">
        <f>HYPERLINK("#'"&amp;T903&amp;"'!"&amp;U903,"➜ פתח")</f>
        <v/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7" t="inlineStr">
        <is>
          <t>Join</t>
        </is>
      </c>
      <c r="Q904" s="8" t="inlineStr">
        <is>
          <t>MHIS.WARPL -&gt; MPLA.WARPL</t>
        </is>
      </c>
      <c r="R904" s="7" t="inlineStr">
        <is>
          <t>היסטוריית התזמון של התכנית</t>
        </is>
      </c>
      <c r="S904" s="7" t="inlineStr"/>
      <c r="T904" s="7" t="inlineStr">
        <is>
          <t>ER - Join Map</t>
        </is>
      </c>
      <c r="U904" s="7" t="inlineStr">
        <is>
          <t>A58</t>
        </is>
      </c>
      <c r="V904" s="9">
        <f>HYPERLINK("#'"&amp;T904&amp;"'!"&amp;U904,"➜ פתח")</f>
        <v/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7" t="inlineStr">
        <is>
          <t>Join</t>
        </is>
      </c>
      <c r="Q905" s="8" t="inlineStr">
        <is>
          <t>PLPO.PLNNR -&gt; PLKO.PLNNR</t>
        </is>
      </c>
      <c r="R905" s="7" t="inlineStr">
        <is>
          <t>פעולות רשימת הפעולות תחת הכותרת</t>
        </is>
      </c>
      <c r="S905" s="7" t="inlineStr"/>
      <c r="T905" s="7" t="inlineStr">
        <is>
          <t>ER - Join Map</t>
        </is>
      </c>
      <c r="U905" s="7" t="inlineStr">
        <is>
          <t>A59</t>
        </is>
      </c>
      <c r="V905" s="9">
        <f>HYPERLINK("#'"&amp;T905&amp;"'!"&amp;U905,"➜ פתח")</f>
        <v/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7" t="inlineStr">
        <is>
          <t>Join</t>
        </is>
      </c>
      <c r="Q906" s="8" t="inlineStr">
        <is>
          <t>PLPO.ARBID -&gt; CRHD.OBJID</t>
        </is>
      </c>
      <c r="R906" s="7" t="inlineStr">
        <is>
          <t>מרכז העבודה של הפעולה ברשימה</t>
        </is>
      </c>
      <c r="S906" s="7" t="inlineStr"/>
      <c r="T906" s="7" t="inlineStr">
        <is>
          <t>ER - Join Map</t>
        </is>
      </c>
      <c r="U906" s="7" t="inlineStr">
        <is>
          <t>A60</t>
        </is>
      </c>
      <c r="V906" s="9">
        <f>HYPERLINK("#'"&amp;T906&amp;"'!"&amp;U906,"➜ פתח")</f>
        <v/>
      </c>
    </row>
  </sheetData>
  <mergeCells count="25">
    <mergeCell ref="B9:H9"/>
    <mergeCell ref="J2:O3"/>
    <mergeCell ref="F16:F17"/>
    <mergeCell ref="B5:H5"/>
    <mergeCell ref="B13:B14"/>
    <mergeCell ref="D13:D14"/>
    <mergeCell ref="D16:D17"/>
    <mergeCell ref="B10:B11"/>
    <mergeCell ref="B3:H3"/>
    <mergeCell ref="B19:B20"/>
    <mergeCell ref="H19:H20"/>
    <mergeCell ref="F13:F14"/>
    <mergeCell ref="B22:H22"/>
    <mergeCell ref="H13:H14"/>
    <mergeCell ref="H16:H17"/>
    <mergeCell ref="B56:H60"/>
    <mergeCell ref="B2:H2"/>
    <mergeCell ref="C25:F25"/>
    <mergeCell ref="D19:D20"/>
    <mergeCell ref="D10:D11"/>
    <mergeCell ref="F19:F20"/>
    <mergeCell ref="B24:F24"/>
    <mergeCell ref="B16:B17"/>
    <mergeCell ref="F10:F11"/>
    <mergeCell ref="H10:H11"/>
  </mergeCells>
  <hyperlinks>
    <hyperlink xmlns:r="http://schemas.openxmlformats.org/officeDocument/2006/relationships" ref="B10" r:id="rId1"/>
    <hyperlink xmlns:r="http://schemas.openxmlformats.org/officeDocument/2006/relationships" ref="D10" r:id="rId2"/>
    <hyperlink xmlns:r="http://schemas.openxmlformats.org/officeDocument/2006/relationships" ref="F10" r:id="rId3"/>
    <hyperlink xmlns:r="http://schemas.openxmlformats.org/officeDocument/2006/relationships" ref="H10" r:id="rId4"/>
    <hyperlink xmlns:r="http://schemas.openxmlformats.org/officeDocument/2006/relationships" ref="B13" r:id="rId5"/>
    <hyperlink xmlns:r="http://schemas.openxmlformats.org/officeDocument/2006/relationships" ref="D13" r:id="rId6"/>
    <hyperlink xmlns:r="http://schemas.openxmlformats.org/officeDocument/2006/relationships" ref="F13" r:id="rId7"/>
    <hyperlink xmlns:r="http://schemas.openxmlformats.org/officeDocument/2006/relationships" ref="H13" r:id="rId8"/>
    <hyperlink xmlns:r="http://schemas.openxmlformats.org/officeDocument/2006/relationships" ref="B16" r:id="rId9"/>
    <hyperlink xmlns:r="http://schemas.openxmlformats.org/officeDocument/2006/relationships" ref="D16" r:id="rId10"/>
    <hyperlink xmlns:r="http://schemas.openxmlformats.org/officeDocument/2006/relationships" ref="F16" r:id="rId11"/>
    <hyperlink xmlns:r="http://schemas.openxmlformats.org/officeDocument/2006/relationships" ref="H16" r:id="rId12"/>
    <hyperlink xmlns:r="http://schemas.openxmlformats.org/officeDocument/2006/relationships" ref="B19" r:id="rId13"/>
    <hyperlink xmlns:r="http://schemas.openxmlformats.org/officeDocument/2006/relationships" ref="D19" r:id="rId14"/>
    <hyperlink xmlns:r="http://schemas.openxmlformats.org/officeDocument/2006/relationships" ref="F19" r:id="rId15"/>
    <hyperlink xmlns:r="http://schemas.openxmlformats.org/officeDocument/2006/relationships" ref="H19" r:id="rId16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53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1. מבנה ארגוני ותשתית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IFLOT  -  רשומת אב של מיקום פונקציונלי  (Functional location master record)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IL01/IL02/IL03; IH01, IH06</t>
        </is>
      </c>
      <c r="C4" s="43" t="inlineStr">
        <is>
          <t>IFLOT</t>
        </is>
      </c>
      <c r="D4" s="44" t="inlineStr">
        <is>
          <t>TPLNR</t>
        </is>
      </c>
      <c r="E4" s="45" t="inlineStr">
        <is>
          <t>Functional location number</t>
        </is>
      </c>
      <c r="F4" s="46" t="inlineStr">
        <is>
          <t>מספר מיקום פונקציונלי</t>
        </is>
      </c>
      <c r="G4" s="47" t="inlineStr">
        <is>
          <t>PK</t>
        </is>
      </c>
      <c r="H4" s="42" t="inlineStr">
        <is>
          <t>• BAPI_FUNCLOC_CREATE
• BAPI_FUNCLOC_CHANGE
• BAPI_FUNCLOC_GETDETAIL
• ISU_FUNCLOC_GETLIST</t>
        </is>
      </c>
      <c r="I4" s="48" t="inlineStr">
        <is>
          <t>• יצירת מיקום פונקציונלי דרך ממשק תקני
• שינוי מיקום פונקציונלי
• שליפת פרטי מיקום
• שליפת רשימת מיקומים לפי בחירה</t>
        </is>
      </c>
      <c r="J4" s="42" t="inlineStr">
        <is>
          <t>• RIIFLO20
• RIFLET00</t>
        </is>
      </c>
      <c r="K4" s="48" t="inlineStr">
        <is>
          <t>• רשימת מיקומים פונקציונליים (IH06)
• תחזוקת קטגוריות ומסיכות עריכה</t>
        </is>
      </c>
      <c r="L4" s="49" t="inlineStr">
        <is>
          <t>ללא שינוי במודל הנתונים (תואם)</t>
        </is>
      </c>
      <c r="M4" s="49" t="inlineStr">
        <is>
          <t>IFLOT (זהה)</t>
        </is>
      </c>
      <c r="N4" s="49" t="inlineStr">
        <is>
          <t>IL01-03 נתמכים; אסטרטגי: Fiori</t>
        </is>
      </c>
      <c r="O4" s="43" t="inlineStr">
        <is>
          <t>Manage Technical Objects (F2079)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STRNO</t>
        </is>
      </c>
      <c r="E5" s="53" t="inlineStr">
        <is>
          <t>Formatted / structured number</t>
        </is>
      </c>
      <c r="F5" s="54" t="inlineStr">
        <is>
          <t>מספר מבנה מעוצב</t>
        </is>
      </c>
      <c r="G5" s="55" t="inlineStr">
        <is>
          <t>-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FLTYP</t>
        </is>
      </c>
      <c r="E6" s="45" t="inlineStr">
        <is>
          <t>Functional location category</t>
        </is>
      </c>
      <c r="F6" s="46" t="inlineStr">
        <is>
          <t>קטגוריית מיקום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TPLKZ</t>
        </is>
      </c>
      <c r="E7" s="53" t="inlineStr">
        <is>
          <t>Structure indicator (edit mask)</t>
        </is>
      </c>
      <c r="F7" s="54" t="inlineStr">
        <is>
          <t>מחוון מבנה / מסיכת קידוד</t>
        </is>
      </c>
      <c r="G7" s="55" t="inlineStr">
        <is>
          <t>-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1" t="n"/>
      <c r="C8" s="51" t="n"/>
      <c r="D8" s="44" t="inlineStr">
        <is>
          <t>TPLMA</t>
        </is>
      </c>
      <c r="E8" s="45" t="inlineStr">
        <is>
          <t>Superior functional location</t>
        </is>
      </c>
      <c r="F8" s="46" t="inlineStr">
        <is>
          <t>מיקום אב בהיררכיה</t>
        </is>
      </c>
      <c r="G8" s="57" t="inlineStr">
        <is>
          <t>FK</t>
        </is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 ht="20" customHeight="1">
      <c r="A9" s="50" t="n">
        <v>6</v>
      </c>
      <c r="B9" s="58" t="n"/>
      <c r="C9" s="58" t="n"/>
      <c r="D9" s="52" t="inlineStr">
        <is>
          <t>OBJNR</t>
        </is>
      </c>
      <c r="E9" s="53" t="inlineStr">
        <is>
          <t>Object number (status)</t>
        </is>
      </c>
      <c r="F9" s="54" t="inlineStr">
        <is>
          <t>מפתח אובייקט לסטטוס</t>
        </is>
      </c>
      <c r="G9" s="59" t="inlineStr">
        <is>
          <t>FK</t>
        </is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4" customHeight="1">
      <c r="A11" s="40" t="inlineStr">
        <is>
          <t xml:space="preserve">  ◆ טבלה IFLOS  -  תוויות מיקום פונקציונלי (Labels - טבלת ילד של IFLOT)  (Functional location labels (child of IFLOT))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0" customHeight="1">
      <c r="A12" s="41" t="n">
        <v>7</v>
      </c>
      <c r="B12" s="42" t="inlineStr">
        <is>
          <t>IL01/IL02/IL03; IH06</t>
        </is>
      </c>
      <c r="C12" s="43" t="inlineStr">
        <is>
          <t>IFLOS</t>
        </is>
      </c>
      <c r="D12" s="44" t="inlineStr">
        <is>
          <t>TPLNR</t>
        </is>
      </c>
      <c r="E12" s="45" t="inlineStr">
        <is>
          <t>Functional location (internal) - joins IFLOT</t>
        </is>
      </c>
      <c r="F12" s="46" t="inlineStr">
        <is>
          <t>מיקום פונקציונלי (פנימי) - מצטרף ל-IFLOT</t>
        </is>
      </c>
      <c r="G12" s="47" t="inlineStr">
        <is>
          <t>PK/FK</t>
        </is>
      </c>
      <c r="H12" s="42" t="inlineStr">
        <is>
          <t>• BAPI_FUNCLOC_GETDETAIL
• FUNC_LOCATION_LABEL_READ</t>
        </is>
      </c>
      <c r="I12" s="48" t="inlineStr">
        <is>
          <t>• שליפת פרטי מיקום כולל תוויות
• קריאת תווית מיקום פונקציונלי</t>
        </is>
      </c>
      <c r="J12" s="42" t="inlineStr">
        <is>
          <t>• RIIFLO20</t>
        </is>
      </c>
      <c r="K12" s="48" t="inlineStr">
        <is>
          <t>• רשימת מיקומים ותוויות (IH06)</t>
        </is>
      </c>
      <c r="L12" s="49" t="inlineStr">
        <is>
          <t>ללא שינוי (תואם)</t>
        </is>
      </c>
      <c r="M12" s="49" t="inlineStr">
        <is>
          <t>IFLOS (זהה)</t>
        </is>
      </c>
      <c r="N12" s="49" t="inlineStr">
        <is>
          <t>IL01-03; Fiori</t>
        </is>
      </c>
      <c r="O12" s="43" t="inlineStr">
        <is>
          <t>Manage Technical Objects (F2079)</t>
        </is>
      </c>
      <c r="P12" s="49" t="inlineStr">
        <is>
          <t>ללא פעולת המרה ייעודית ב-SUM (טבלה תואמת). מומלץ Regression Test ואימות התאמות אישיות לאחר ההמרה.</t>
        </is>
      </c>
    </row>
    <row r="13" ht="20" customHeight="1">
      <c r="A13" s="50" t="n">
        <v>8</v>
      </c>
      <c r="B13" s="51" t="n"/>
      <c r="C13" s="51" t="n"/>
      <c r="D13" s="52" t="inlineStr">
        <is>
          <t>STRNO</t>
        </is>
      </c>
      <c r="E13" s="53" t="inlineStr">
        <is>
          <t>External / structured label number</t>
        </is>
      </c>
      <c r="F13" s="54" t="inlineStr">
        <is>
          <t>מספר תווית חיצוני / מובנה</t>
        </is>
      </c>
      <c r="G13" s="55" t="inlineStr">
        <is>
          <t>-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TPLKZ</t>
        </is>
      </c>
      <c r="E14" s="45" t="inlineStr">
        <is>
          <t>Structure indicator</t>
        </is>
      </c>
      <c r="F14" s="46" t="inlineStr">
        <is>
          <t>מחוון מבנה</t>
        </is>
      </c>
      <c r="G14" s="57" t="inlineStr">
        <is>
          <t>FK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1" t="n"/>
      <c r="C15" s="51" t="n"/>
      <c r="D15" s="52" t="inlineStr">
        <is>
          <t>TPLVL</t>
        </is>
      </c>
      <c r="E15" s="53" t="inlineStr">
        <is>
          <t>Hierarchy level of label</t>
        </is>
      </c>
      <c r="F15" s="54" t="inlineStr">
        <is>
          <t>רמת היררכיה של התווית</t>
        </is>
      </c>
      <c r="G15" s="55" t="inlineStr">
        <is>
          <t>-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20" customHeight="1">
      <c r="A16" s="41" t="n">
        <v>11</v>
      </c>
      <c r="B16" s="58" t="n"/>
      <c r="C16" s="58" t="n"/>
      <c r="D16" s="44" t="inlineStr">
        <is>
          <t>BEGRU</t>
        </is>
      </c>
      <c r="E16" s="45" t="inlineStr">
        <is>
          <t>Authorization group</t>
        </is>
      </c>
      <c r="F16" s="46" t="inlineStr">
        <is>
          <t>קבוצת הרשאה</t>
        </is>
      </c>
      <c r="G16" s="56" t="inlineStr">
        <is>
          <t>-</t>
        </is>
      </c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4" customHeight="1">
      <c r="A18" s="40" t="inlineStr">
        <is>
          <t xml:space="preserve">  ◆ טבלה ILOA  -  נתוני מיקום וחיוב משותפים  (PM object location &amp; account assignment)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0" customHeight="1">
      <c r="A19" s="50" t="n">
        <v>12</v>
      </c>
      <c r="B19" s="60" t="inlineStr">
        <is>
          <t>IL02; IE02 (ירושה)</t>
        </is>
      </c>
      <c r="C19" s="61" t="inlineStr">
        <is>
          <t>ILOA</t>
        </is>
      </c>
      <c r="D19" s="52" t="inlineStr">
        <is>
          <t>ILOAN</t>
        </is>
      </c>
      <c r="E19" s="53" t="inlineStr">
        <is>
          <t>Location &amp; account assignment key</t>
        </is>
      </c>
      <c r="F19" s="54" t="inlineStr">
        <is>
          <t>מפתח נתוני מיקום/חיוב</t>
        </is>
      </c>
      <c r="G19" s="62" t="inlineStr">
        <is>
          <t>PK</t>
        </is>
      </c>
      <c r="H19" s="60" t="inlineStr">
        <is>
          <t>• ILOA_READ
• ILOA_UPDATE
• ILOA_INHERIT_FROM_FUNCLOC</t>
        </is>
      </c>
      <c r="I19" s="63" t="inlineStr">
        <is>
          <t>• קריאת נתוני מיקום/חיוב
• עדכון נתוני מיקום/חיוב
• ירושת נתונים מהמיקום לציוד</t>
        </is>
      </c>
      <c r="J19" s="60" t="inlineStr">
        <is>
          <t>• RILOAA00</t>
        </is>
      </c>
      <c r="K19" s="63" t="inlineStr">
        <is>
          <t>• התאמת נתוני מיקום/חיוב באובייקטים</t>
        </is>
      </c>
      <c r="L19" s="64" t="inlineStr">
        <is>
          <t>ללא שינוי (תואם)</t>
        </is>
      </c>
      <c r="M19" s="64" t="inlineStr">
        <is>
          <t>ILOA (זהה)</t>
        </is>
      </c>
      <c r="N19" s="64" t="inlineStr">
        <is>
          <t>ללא; מנוהל דרך אובייקט טכני</t>
        </is>
      </c>
      <c r="O19" s="65" t="inlineStr">
        <is>
          <t>Manage Technical Objects (F2079)</t>
        </is>
      </c>
      <c r="P19" s="64" t="inlineStr">
        <is>
          <t>ללא פעולת המרה ייעודית ב-SUM (טבלה תואמת). מומלץ Regression Test ואימות התאמות אישיות לאחר ההמרה.</t>
        </is>
      </c>
    </row>
    <row r="20" ht="20" customHeight="1">
      <c r="A20" s="41" t="n">
        <v>13</v>
      </c>
      <c r="B20" s="51" t="n"/>
      <c r="C20" s="51" t="n"/>
      <c r="D20" s="44" t="inlineStr">
        <is>
          <t>KOSTL</t>
        </is>
      </c>
      <c r="E20" s="45" t="inlineStr">
        <is>
          <t>Cost center</t>
        </is>
      </c>
      <c r="F20" s="46" t="inlineStr">
        <is>
          <t>מרכז עלות</t>
        </is>
      </c>
      <c r="G20" s="57" t="inlineStr">
        <is>
          <t>FK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1" t="n"/>
      <c r="C21" s="51" t="n"/>
      <c r="D21" s="52" t="inlineStr">
        <is>
          <t>SWERK</t>
        </is>
      </c>
      <c r="E21" s="53" t="inlineStr">
        <is>
          <t>Maintenance plant</t>
        </is>
      </c>
      <c r="F21" s="54" t="inlineStr">
        <is>
          <t>מפעל אחזקה</t>
        </is>
      </c>
      <c r="G21" s="59" t="inlineStr">
        <is>
          <t>FK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 ht="20" customHeight="1">
      <c r="A22" s="41" t="n">
        <v>15</v>
      </c>
      <c r="B22" s="51" t="n"/>
      <c r="C22" s="51" t="n"/>
      <c r="D22" s="44" t="inlineStr">
        <is>
          <t>INGRP</t>
        </is>
      </c>
      <c r="E22" s="45" t="inlineStr">
        <is>
          <t>Planner group</t>
        </is>
      </c>
      <c r="F22" s="46" t="inlineStr">
        <is>
          <t>קבוצת תכנון</t>
        </is>
      </c>
      <c r="G22" s="57" t="inlineStr">
        <is>
          <t>FK</t>
        </is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20" customHeight="1">
      <c r="A23" s="50" t="n">
        <v>16</v>
      </c>
      <c r="B23" s="51" t="n"/>
      <c r="C23" s="51" t="n"/>
      <c r="D23" s="52" t="inlineStr">
        <is>
          <t>GEWRK</t>
        </is>
      </c>
      <c r="E23" s="53" t="inlineStr">
        <is>
          <t>Main work center</t>
        </is>
      </c>
      <c r="F23" s="54" t="inlineStr">
        <is>
          <t>מרכז עבודה ראשי</t>
        </is>
      </c>
      <c r="G23" s="59" t="inlineStr">
        <is>
          <t>FK</t>
        </is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 ht="20" customHeight="1">
      <c r="A24" s="41" t="n">
        <v>17</v>
      </c>
      <c r="B24" s="58" t="n"/>
      <c r="C24" s="58" t="n"/>
      <c r="D24" s="44" t="inlineStr">
        <is>
          <t>TPLNR</t>
        </is>
      </c>
      <c r="E24" s="45" t="inlineStr">
        <is>
          <t>Functional location</t>
        </is>
      </c>
      <c r="F24" s="46" t="inlineStr">
        <is>
          <t>מיקום פונקציונלי</t>
        </is>
      </c>
      <c r="G24" s="57" t="inlineStr">
        <is>
          <t>FK</t>
        </is>
      </c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4" customHeight="1">
      <c r="A26" s="40" t="inlineStr">
        <is>
          <t xml:space="preserve">  ◆ טבלה CRHD  -  כותרת מרכז עבודה  (Work center header)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0" customHeight="1">
      <c r="A27" s="50" t="n">
        <v>18</v>
      </c>
      <c r="B27" s="60" t="inlineStr">
        <is>
          <t>IR01/IR02/IR03; CR05, CR06</t>
        </is>
      </c>
      <c r="C27" s="61" t="inlineStr">
        <is>
          <t>CRHD</t>
        </is>
      </c>
      <c r="D27" s="52" t="inlineStr">
        <is>
          <t>OBJID</t>
        </is>
      </c>
      <c r="E27" s="53" t="inlineStr">
        <is>
          <t>Internal work center object ID</t>
        </is>
      </c>
      <c r="F27" s="54" t="inlineStr">
        <is>
          <t>מזהה אובייקט פנימי</t>
        </is>
      </c>
      <c r="G27" s="62" t="inlineStr">
        <is>
          <t>PK</t>
        </is>
      </c>
      <c r="H27" s="60" t="inlineStr">
        <is>
          <t>• CR_WORKCENTER_READ
• CRAP_WORKCENTER_GET_DETAIL</t>
        </is>
      </c>
      <c r="I27" s="63" t="inlineStr">
        <is>
          <t>• קריאת נתוני מרכז עבודה
• שליפת פרטי מרכז עבודה</t>
        </is>
      </c>
      <c r="J27" s="60" t="inlineStr">
        <is>
          <t>• RCRACO00</t>
        </is>
      </c>
      <c r="K27" s="63" t="inlineStr">
        <is>
          <t>• דוח מרכזי עבודה וקיבולות</t>
        </is>
      </c>
      <c r="L27" s="64" t="inlineStr">
        <is>
          <t>ללא שינוי (תואם)</t>
        </is>
      </c>
      <c r="M27" s="64" t="inlineStr">
        <is>
          <t>CRHD (זהה)</t>
        </is>
      </c>
      <c r="N27" s="64" t="inlineStr">
        <is>
          <t>IR01-03 / CR0*; Fiori</t>
        </is>
      </c>
      <c r="O27" s="65" t="inlineStr">
        <is>
          <t>Manage Work Centers (אמת ID)</t>
        </is>
      </c>
      <c r="P27" s="64" t="inlineStr">
        <is>
          <t>ללא פעולת המרה ייעודית ב-SUM (טבלה תואמת). מומלץ Regression Test ואימות התאמות אישיות לאחר ההמרה.</t>
        </is>
      </c>
    </row>
    <row r="28" ht="20" customHeight="1">
      <c r="A28" s="41" t="n">
        <v>19</v>
      </c>
      <c r="B28" s="51" t="n"/>
      <c r="C28" s="51" t="n"/>
      <c r="D28" s="44" t="inlineStr">
        <is>
          <t>ARBPL</t>
        </is>
      </c>
      <c r="E28" s="45" t="inlineStr">
        <is>
          <t>Work center code</t>
        </is>
      </c>
      <c r="F28" s="46" t="inlineStr">
        <is>
          <t>קוד מרכז עבודה</t>
        </is>
      </c>
      <c r="G28" s="56" t="inlineStr">
        <is>
          <t>-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20" customHeight="1">
      <c r="A29" s="50" t="n">
        <v>20</v>
      </c>
      <c r="B29" s="51" t="n"/>
      <c r="C29" s="51" t="n"/>
      <c r="D29" s="52" t="inlineStr">
        <is>
          <t>OBJTY</t>
        </is>
      </c>
      <c r="E29" s="53" t="inlineStr">
        <is>
          <t>Object type ('A'=work center)</t>
        </is>
      </c>
      <c r="F29" s="54" t="inlineStr">
        <is>
          <t>סוג אובייקט</t>
        </is>
      </c>
      <c r="G29" s="62" t="inlineStr">
        <is>
          <t>PK</t>
        </is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 ht="20" customHeight="1">
      <c r="A30" s="41" t="n">
        <v>21</v>
      </c>
      <c r="B30" s="51" t="n"/>
      <c r="C30" s="51" t="n"/>
      <c r="D30" s="44" t="inlineStr">
        <is>
          <t>WERKS</t>
        </is>
      </c>
      <c r="E30" s="45" t="inlineStr">
        <is>
          <t>Plant</t>
        </is>
      </c>
      <c r="F30" s="46" t="inlineStr">
        <is>
          <t>מפעל</t>
        </is>
      </c>
      <c r="G30" s="57" t="inlineStr">
        <is>
          <t>FK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 ht="20" customHeight="1">
      <c r="A31" s="50" t="n">
        <v>22</v>
      </c>
      <c r="B31" s="51" t="n"/>
      <c r="C31" s="51" t="n"/>
      <c r="D31" s="52" t="inlineStr">
        <is>
          <t>VERWE</t>
        </is>
      </c>
      <c r="E31" s="53" t="inlineStr">
        <is>
          <t>Work center usage</t>
        </is>
      </c>
      <c r="F31" s="54" t="inlineStr">
        <is>
          <t>שימוש מרכז עבודה</t>
        </is>
      </c>
      <c r="G31" s="55" t="inlineStr">
        <is>
          <t>-</t>
        </is>
      </c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0" customHeight="1">
      <c r="A32" s="41" t="n">
        <v>23</v>
      </c>
      <c r="B32" s="58" t="n"/>
      <c r="C32" s="58" t="n"/>
      <c r="D32" s="44" t="inlineStr">
        <is>
          <t>VERAN</t>
        </is>
      </c>
      <c r="E32" s="45" t="inlineStr">
        <is>
          <t>Person responsible</t>
        </is>
      </c>
      <c r="F32" s="46" t="inlineStr">
        <is>
          <t>אחראי</t>
        </is>
      </c>
      <c r="G32" s="56" t="inlineStr">
        <is>
          <t>-</t>
        </is>
      </c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4" customHeight="1">
      <c r="A34" s="40" t="inlineStr">
        <is>
          <t xml:space="preserve">  ◆ טבלה CRTX  -  טקסטים של מרכז עבודה  (Work center texts)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0" customHeight="1">
      <c r="A35" s="50" t="n">
        <v>24</v>
      </c>
      <c r="B35" s="60" t="inlineStr">
        <is>
          <t>IR02; IR03</t>
        </is>
      </c>
      <c r="C35" s="61" t="inlineStr">
        <is>
          <t>CRTX</t>
        </is>
      </c>
      <c r="D35" s="52" t="inlineStr">
        <is>
          <t>OBJID</t>
        </is>
      </c>
      <c r="E35" s="53" t="inlineStr">
        <is>
          <t>Work center object ID</t>
        </is>
      </c>
      <c r="F35" s="54" t="inlineStr">
        <is>
          <t>מזהה אובייקט</t>
        </is>
      </c>
      <c r="G35" s="62" t="inlineStr">
        <is>
          <t>PK/FK</t>
        </is>
      </c>
      <c r="H35" s="60" t="inlineStr">
        <is>
          <t>• CR_TEXT_READ</t>
        </is>
      </c>
      <c r="I35" s="63" t="inlineStr">
        <is>
          <t>• קריאת טקסט מרכז עבודה</t>
        </is>
      </c>
      <c r="J35" s="60" t="inlineStr">
        <is>
          <t>• RCRACO00</t>
        </is>
      </c>
      <c r="K35" s="63" t="inlineStr">
        <is>
          <t>• דוח מרכזי עבודה</t>
        </is>
      </c>
      <c r="L35" s="64" t="inlineStr">
        <is>
          <t>ללא שינוי (תואם)</t>
        </is>
      </c>
      <c r="M35" s="64" t="inlineStr">
        <is>
          <t>CRTX (זהה)</t>
        </is>
      </c>
      <c r="N35" s="64" t="inlineStr">
        <is>
          <t>IR0*; Fiori</t>
        </is>
      </c>
      <c r="O35" s="65" t="inlineStr">
        <is>
          <t>Manage Work Centers (אמת ID)</t>
        </is>
      </c>
      <c r="P35" s="64" t="inlineStr">
        <is>
          <t>ללא פעולת המרה ייעודית ב-SUM (טבלה תואמת). מומלץ Regression Test ואימות התאמות אישיות לאחר ההמרה.</t>
        </is>
      </c>
    </row>
    <row r="36" ht="20" customHeight="1">
      <c r="A36" s="41" t="n">
        <v>25</v>
      </c>
      <c r="B36" s="51" t="n"/>
      <c r="C36" s="51" t="n"/>
      <c r="D36" s="44" t="inlineStr">
        <is>
          <t>SPRAS</t>
        </is>
      </c>
      <c r="E36" s="45" t="inlineStr">
        <is>
          <t>Language key</t>
        </is>
      </c>
      <c r="F36" s="46" t="inlineStr">
        <is>
          <t>שפה</t>
        </is>
      </c>
      <c r="G36" s="47" t="inlineStr">
        <is>
          <t>PK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</row>
    <row r="37" ht="20" customHeight="1">
      <c r="A37" s="50" t="n">
        <v>26</v>
      </c>
      <c r="B37" s="58" t="n"/>
      <c r="C37" s="58" t="n"/>
      <c r="D37" s="52" t="inlineStr">
        <is>
          <t>KTEXT</t>
        </is>
      </c>
      <c r="E37" s="53" t="inlineStr">
        <is>
          <t>Work center description</t>
        </is>
      </c>
      <c r="F37" s="54" t="inlineStr">
        <is>
          <t>תיאור מרכז עבודה</t>
        </is>
      </c>
      <c r="G37" s="55" t="inlineStr">
        <is>
          <t>-</t>
        </is>
      </c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4" customHeight="1">
      <c r="A39" s="40" t="inlineStr">
        <is>
          <t xml:space="preserve">  ◆ טבלה T370T  -  טבלת טקסט להגדרות מבנה/קטגוריות PM (Customizing)  (PM structure/category customizing text table)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0" customHeight="1">
      <c r="A40" s="41" t="n">
        <v>27</v>
      </c>
      <c r="B40" s="42" t="inlineStr">
        <is>
          <t>SPRO; OIA1, OIMR</t>
        </is>
      </c>
      <c r="C40" s="43" t="inlineStr">
        <is>
          <t>T370T</t>
        </is>
      </c>
      <c r="D40" s="44" t="inlineStr">
        <is>
          <t>SPRAS</t>
        </is>
      </c>
      <c r="E40" s="45" t="inlineStr">
        <is>
          <t>Language key</t>
        </is>
      </c>
      <c r="F40" s="46" t="inlineStr">
        <is>
          <t>שפה</t>
        </is>
      </c>
      <c r="G40" s="47" t="inlineStr">
        <is>
          <t>PK</t>
        </is>
      </c>
      <c r="H40" s="42" t="inlineStr">
        <is>
          <t>• STRUCTURE_INDICATOR_READ</t>
        </is>
      </c>
      <c r="I40" s="48" t="inlineStr">
        <is>
          <t>• קריאת מחוון מבנה והגדרותיו</t>
        </is>
      </c>
      <c r="J40" s="42" t="inlineStr">
        <is>
          <t>• RIFLET00</t>
        </is>
      </c>
      <c r="K40" s="48" t="inlineStr">
        <is>
          <t>• תחזוקת קטגוריות ומסיכות עריכה</t>
        </is>
      </c>
      <c r="L40" s="49" t="inlineStr">
        <is>
          <t>ללא שינוי (Customizing תואם)</t>
        </is>
      </c>
      <c r="M40" s="49" t="inlineStr">
        <is>
          <t>T370T (זהה)</t>
        </is>
      </c>
      <c r="N40" s="49" t="inlineStr">
        <is>
          <t>SPRO (זהה)</t>
        </is>
      </c>
      <c r="O40" s="43" t="inlineStr">
        <is>
          <t>אין Fiori ייעודי (Customizing)</t>
        </is>
      </c>
      <c r="P40" s="49" t="inlineStr">
        <is>
          <t>ללא פעולת המרה ייעודית ב-SUM (טבלה תואמת). מומלץ Regression Test ואימות התאמות אישיות לאחר ההמרה.</t>
        </is>
      </c>
    </row>
    <row r="41" ht="20" customHeight="1">
      <c r="A41" s="50" t="n">
        <v>28</v>
      </c>
      <c r="B41" s="51" t="n"/>
      <c r="C41" s="51" t="n"/>
      <c r="D41" s="52" t="inlineStr">
        <is>
          <t>FLTYP</t>
        </is>
      </c>
      <c r="E41" s="53" t="inlineStr">
        <is>
          <t>Functional location category</t>
        </is>
      </c>
      <c r="F41" s="54" t="inlineStr">
        <is>
          <t>קטגוריית מיקום</t>
        </is>
      </c>
      <c r="G41" s="62" t="inlineStr">
        <is>
          <t>PK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</row>
    <row r="42" ht="20" customHeight="1">
      <c r="A42" s="41" t="n">
        <v>29</v>
      </c>
      <c r="B42" s="58" t="n"/>
      <c r="C42" s="58" t="n"/>
      <c r="D42" s="44" t="inlineStr">
        <is>
          <t>FLTYPT</t>
        </is>
      </c>
      <c r="E42" s="45" t="inlineStr">
        <is>
          <t>Category description</t>
        </is>
      </c>
      <c r="F42" s="46" t="inlineStr">
        <is>
          <t>תיאור קטגוריה</t>
        </is>
      </c>
      <c r="G42" s="56" t="inlineStr">
        <is>
          <t>-</t>
        </is>
      </c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4" customHeight="1">
      <c r="A45" s="40" t="inlineStr">
        <is>
          <t xml:space="preserve">  ⚙ הרחבות טכניות ושינויי ארכיטקטורה (Technical Extensions: User Exits / BAdIs / ECC vs S/4HANA)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66" t="inlineStr">
        <is>
          <t>סוג (Type)</t>
        </is>
      </c>
      <c r="B46" s="4" t="n"/>
      <c r="C46" s="66" t="inlineStr">
        <is>
          <t>קוד / שם טכני (Code)</t>
        </is>
      </c>
      <c r="D46" s="4" t="n"/>
      <c r="E46" s="66" t="inlineStr">
        <is>
          <t>תיאור / הבדל (Hebrew)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4" customHeight="1">
      <c r="A47" s="67" t="inlineStr">
        <is>
          <t>User Exit (SMOD)</t>
        </is>
      </c>
      <c r="B47" s="4" t="n"/>
      <c r="C47" s="68" t="inlineStr">
        <is>
          <t>ITOB0001</t>
        </is>
      </c>
      <c r="D47" s="4" t="n"/>
      <c r="E47" s="69" t="inlineStr">
        <is>
          <t>הרחבת לקוח לאובייקטים טכניים (מיקום/ציוד) - שדות נוספים ובדיקות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24" customHeight="1">
      <c r="A48" s="70" t="inlineStr">
        <is>
          <t>User Exit (SMOD)</t>
        </is>
      </c>
      <c r="B48" s="4" t="n"/>
      <c r="C48" s="71" t="inlineStr">
        <is>
          <t>IBIP0001</t>
        </is>
      </c>
      <c r="D48" s="4" t="n"/>
      <c r="E48" s="72" t="inlineStr">
        <is>
          <t>ממשק יצירה אצווה (Batch Input/Direct Input) לאובייקטים טכניים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 ht="24" customHeight="1">
      <c r="A49" s="67" t="inlineStr">
        <is>
          <t>BAdI (SE18)</t>
        </is>
      </c>
      <c r="B49" s="4" t="n"/>
      <c r="C49" s="68" t="inlineStr">
        <is>
          <t>BADI_EAM_TECHNICAL_OBJECT</t>
        </is>
      </c>
      <c r="D49" s="4" t="n"/>
      <c r="E49" s="69" t="inlineStr">
        <is>
          <t>BAdI מרכזי להרחבת לוגיקת אובייקטים טכניים ב-S/4HANA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4" customHeight="1">
      <c r="A50" s="70" t="inlineStr">
        <is>
          <t>BAdI (SE18)</t>
        </is>
      </c>
      <c r="B50" s="4" t="n"/>
      <c r="C50" s="71" t="inlineStr">
        <is>
          <t>BADI_EAM_SINGLE_LEVEL_LIST</t>
        </is>
      </c>
      <c r="D50" s="4" t="n"/>
      <c r="E50" s="72" t="inlineStr">
        <is>
          <t>התאמת רשימות אובייקטים חד-רמתיות (IH06/IH08)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24" customHeight="1">
      <c r="A51" s="67" t="inlineStr">
        <is>
          <t>ארכיטקטורה ECC↔S/4</t>
        </is>
      </c>
      <c r="B51" s="4" t="n"/>
      <c r="C51" s="68" t="inlineStr">
        <is>
          <t>—</t>
        </is>
      </c>
      <c r="D51" s="4" t="n"/>
      <c r="E51" s="69" t="inlineStr">
        <is>
          <t>שדה TPLNR ומבנה ההיררכיה ללא שינוי; ב-S/4 ניתן לנהל מיקומים גם דרך Fiori 'Manage Technical Objects' (F2079).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4" customHeight="1">
      <c r="A52" s="70" t="inlineStr">
        <is>
          <t>ארכיטקטורה ECC↔S/4</t>
        </is>
      </c>
      <c r="B52" s="4" t="n"/>
      <c r="C52" s="71" t="inlineStr">
        <is>
          <t>—</t>
        </is>
      </c>
      <c r="D52" s="4" t="n"/>
      <c r="E52" s="72" t="inlineStr">
        <is>
          <t>מחוון מבנה ומסיכות עריכה (Customizing) זהים; ב-S/4 אפשר Linear Asset Management (LAM) למיקומים ליניאריים.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24" customHeight="1">
      <c r="A53" s="67" t="inlineStr">
        <is>
          <t>ארכיטקטורה ECC↔S/4</t>
        </is>
      </c>
      <c r="B53" s="4" t="n"/>
      <c r="C53" s="68" t="inlineStr">
        <is>
          <t>—</t>
        </is>
      </c>
      <c r="D53" s="4" t="n"/>
      <c r="E53" s="69" t="inlineStr">
        <is>
          <t>ITOB0001 עדיין נתמך אך לפיתוח חדש מומלץ BADI_EAM_TECHNICAL_OBJECT.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</sheetData>
  <mergeCells count="99">
    <mergeCell ref="J35:J37"/>
    <mergeCell ref="L35:L37"/>
    <mergeCell ref="A51:B51"/>
    <mergeCell ref="M12:M16"/>
    <mergeCell ref="B27:B32"/>
    <mergeCell ref="C4:C9"/>
    <mergeCell ref="I40:I42"/>
    <mergeCell ref="O4:O9"/>
    <mergeCell ref="A39:P39"/>
    <mergeCell ref="C50:D50"/>
    <mergeCell ref="A11:P11"/>
    <mergeCell ref="H19:H24"/>
    <mergeCell ref="C27:C32"/>
    <mergeCell ref="M27:M32"/>
    <mergeCell ref="C35:C37"/>
    <mergeCell ref="P40:P42"/>
    <mergeCell ref="A53:B53"/>
    <mergeCell ref="E50:P50"/>
    <mergeCell ref="H40:H42"/>
    <mergeCell ref="J40:J42"/>
    <mergeCell ref="O35:O37"/>
    <mergeCell ref="L12:L16"/>
    <mergeCell ref="E52:P52"/>
    <mergeCell ref="I12:I16"/>
    <mergeCell ref="I19:I24"/>
    <mergeCell ref="A26:P26"/>
    <mergeCell ref="K19:K24"/>
    <mergeCell ref="K12:K16"/>
    <mergeCell ref="C19:C24"/>
    <mergeCell ref="A48:B48"/>
    <mergeCell ref="H4:H9"/>
    <mergeCell ref="O12:O16"/>
    <mergeCell ref="E46:P46"/>
    <mergeCell ref="B35:B37"/>
    <mergeCell ref="C47:D47"/>
    <mergeCell ref="A46:B46"/>
    <mergeCell ref="A34:P34"/>
    <mergeCell ref="P27:P32"/>
    <mergeCell ref="H35:H37"/>
    <mergeCell ref="J27:J32"/>
    <mergeCell ref="A45:P45"/>
    <mergeCell ref="B12:B16"/>
    <mergeCell ref="E47:P47"/>
    <mergeCell ref="N12:N16"/>
    <mergeCell ref="N19:N24"/>
    <mergeCell ref="P19:P24"/>
    <mergeCell ref="K35:K37"/>
    <mergeCell ref="C40:C42"/>
    <mergeCell ref="M35:M37"/>
    <mergeCell ref="A52:B52"/>
    <mergeCell ref="C53:D53"/>
    <mergeCell ref="B4:B9"/>
    <mergeCell ref="B40:B42"/>
    <mergeCell ref="N4:N9"/>
    <mergeCell ref="A49:B49"/>
    <mergeCell ref="P4:P9"/>
    <mergeCell ref="A1:B1"/>
    <mergeCell ref="I27:I32"/>
    <mergeCell ref="L40:L42"/>
    <mergeCell ref="N40:N42"/>
    <mergeCell ref="H12:H16"/>
    <mergeCell ref="N35:N37"/>
    <mergeCell ref="P35:P37"/>
    <mergeCell ref="C46:D46"/>
    <mergeCell ref="C51:D51"/>
    <mergeCell ref="B19:B24"/>
    <mergeCell ref="C48:D48"/>
    <mergeCell ref="H27:H32"/>
    <mergeCell ref="K40:K42"/>
    <mergeCell ref="M40:M42"/>
    <mergeCell ref="I4:I9"/>
    <mergeCell ref="A18:P18"/>
    <mergeCell ref="A3:P3"/>
    <mergeCell ref="L27:L32"/>
    <mergeCell ref="O40:O42"/>
    <mergeCell ref="N27:N32"/>
    <mergeCell ref="K4:K9"/>
    <mergeCell ref="C49:D49"/>
    <mergeCell ref="M4:M9"/>
    <mergeCell ref="E51:P51"/>
    <mergeCell ref="J12:J16"/>
    <mergeCell ref="J19:J24"/>
    <mergeCell ref="L19:L24"/>
    <mergeCell ref="I35:I37"/>
    <mergeCell ref="P12:P16"/>
    <mergeCell ref="E49:P49"/>
    <mergeCell ref="C1:P1"/>
    <mergeCell ref="A50:B50"/>
    <mergeCell ref="K27:K32"/>
    <mergeCell ref="J4:J9"/>
    <mergeCell ref="L4:L9"/>
    <mergeCell ref="A47:B47"/>
    <mergeCell ref="E53:P53"/>
    <mergeCell ref="C52:D52"/>
    <mergeCell ref="O27:O32"/>
    <mergeCell ref="C12:C16"/>
    <mergeCell ref="E48:P48"/>
    <mergeCell ref="M19:M24"/>
    <mergeCell ref="O19:O24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40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2. ציוד ונתוני מאסטר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EQUI  -  רשומת אב של ציוד  (Equipment master record)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IE01/IE02/IE03; IH08, IE05</t>
        </is>
      </c>
      <c r="C4" s="43" t="inlineStr">
        <is>
          <t>EQUI</t>
        </is>
      </c>
      <c r="D4" s="44" t="inlineStr">
        <is>
          <t>EQUNR</t>
        </is>
      </c>
      <c r="E4" s="45" t="inlineStr">
        <is>
          <t>Equipment number</t>
        </is>
      </c>
      <c r="F4" s="46" t="inlineStr">
        <is>
          <t>מספר ציוד</t>
        </is>
      </c>
      <c r="G4" s="47" t="inlineStr">
        <is>
          <t>PK</t>
        </is>
      </c>
      <c r="H4" s="42" t="inlineStr">
        <is>
          <t>• BAPI_EQUI_CREATE
• BAPI_EQUI_CHANGE
• BAPI_EQUI_GETDETAIL
• BAPI_EQMT_INSTALL</t>
        </is>
      </c>
      <c r="I4" s="48" t="inlineStr">
        <is>
          <t>• יצירת ציוד דרך ממשק תקני
• שינוי ציוד
• שליפת פרטי ציוד
• התקנת ציוד במיקום/ציוד אב</t>
        </is>
      </c>
      <c r="J4" s="42" t="inlineStr">
        <is>
          <t>• RIEQUI20
• RIEQUI00</t>
        </is>
      </c>
      <c r="K4" s="48" t="inlineStr">
        <is>
          <t>• רשימת ציוד (IH08)
• ניתוח היסטוריית התקנות הציוד</t>
        </is>
      </c>
      <c r="L4" s="49" t="inlineStr">
        <is>
          <t>ללא שינוי במודל הנתונים (תואם)</t>
        </is>
      </c>
      <c r="M4" s="49" t="inlineStr">
        <is>
          <t>EQUI (זהה)</t>
        </is>
      </c>
      <c r="N4" s="49" t="inlineStr">
        <is>
          <t>IE01-03 נתמכים; אסטרטגי: Fiori</t>
        </is>
      </c>
      <c r="O4" s="43" t="inlineStr">
        <is>
          <t>Manage Technical Objects (F2079)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EQTYP</t>
        </is>
      </c>
      <c r="E5" s="53" t="inlineStr">
        <is>
          <t>Equipment category</t>
        </is>
      </c>
      <c r="F5" s="54" t="inlineStr">
        <is>
          <t>קטגוריית ציוד</t>
        </is>
      </c>
      <c r="G5" s="55" t="inlineStr">
        <is>
          <t>-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EQART</t>
        </is>
      </c>
      <c r="E6" s="45" t="inlineStr">
        <is>
          <t>Technical object type</t>
        </is>
      </c>
      <c r="F6" s="46" t="inlineStr">
        <is>
          <t>סוג טכני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HERST</t>
        </is>
      </c>
      <c r="E7" s="53" t="inlineStr">
        <is>
          <t>Manufacturer</t>
        </is>
      </c>
      <c r="F7" s="54" t="inlineStr">
        <is>
          <t>יצרן</t>
        </is>
      </c>
      <c r="G7" s="55" t="inlineStr">
        <is>
          <t>-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1" t="n"/>
      <c r="C8" s="51" t="n"/>
      <c r="D8" s="44" t="inlineStr">
        <is>
          <t>TYPBZ</t>
        </is>
      </c>
      <c r="E8" s="45" t="inlineStr">
        <is>
          <t>Manufacturer model number</t>
        </is>
      </c>
      <c r="F8" s="46" t="inlineStr">
        <is>
          <t>דגם היצרן</t>
        </is>
      </c>
      <c r="G8" s="56" t="inlineStr">
        <is>
          <t>-</t>
        </is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 ht="20" customHeight="1">
      <c r="A9" s="50" t="n">
        <v>6</v>
      </c>
      <c r="B9" s="58" t="n"/>
      <c r="C9" s="58" t="n"/>
      <c r="D9" s="52" t="inlineStr">
        <is>
          <t>OBJNR</t>
        </is>
      </c>
      <c r="E9" s="53" t="inlineStr">
        <is>
          <t>Object number (status)</t>
        </is>
      </c>
      <c r="F9" s="54" t="inlineStr">
        <is>
          <t>מפתח אובייקט לסטטוס</t>
        </is>
      </c>
      <c r="G9" s="59" t="inlineStr">
        <is>
          <t>FK</t>
        </is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4" customHeight="1">
      <c r="A11" s="40" t="inlineStr">
        <is>
          <t xml:space="preserve">  ◆ טבלה EQKT  -  טקסטים (תיאורים) של ציוד  (Equipment short texts)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0" customHeight="1">
      <c r="A12" s="41" t="n">
        <v>7</v>
      </c>
      <c r="B12" s="42" t="inlineStr">
        <is>
          <t>IE02; IE03</t>
        </is>
      </c>
      <c r="C12" s="43" t="inlineStr">
        <is>
          <t>EQKT</t>
        </is>
      </c>
      <c r="D12" s="44" t="inlineStr">
        <is>
          <t>EQUNR</t>
        </is>
      </c>
      <c r="E12" s="45" t="inlineStr">
        <is>
          <t>Equipment number</t>
        </is>
      </c>
      <c r="F12" s="46" t="inlineStr">
        <is>
          <t>מספר ציוד</t>
        </is>
      </c>
      <c r="G12" s="47" t="inlineStr">
        <is>
          <t>PK/FK</t>
        </is>
      </c>
      <c r="H12" s="42" t="inlineStr">
        <is>
          <t>• EQUIPMENT_TEXT_READ</t>
        </is>
      </c>
      <c r="I12" s="48" t="inlineStr">
        <is>
          <t>• קריאת טקסט ציוד</t>
        </is>
      </c>
      <c r="J12" s="42" t="inlineStr">
        <is>
          <t>• RIEQUI20</t>
        </is>
      </c>
      <c r="K12" s="48" t="inlineStr">
        <is>
          <t>• רשימת ציוד עם תיאורים</t>
        </is>
      </c>
      <c r="L12" s="49" t="inlineStr">
        <is>
          <t>ללא שינוי (תואם)</t>
        </is>
      </c>
      <c r="M12" s="49" t="inlineStr">
        <is>
          <t>EQKT (זהה)</t>
        </is>
      </c>
      <c r="N12" s="49" t="inlineStr">
        <is>
          <t>IE0*; Fiori</t>
        </is>
      </c>
      <c r="O12" s="43" t="inlineStr">
        <is>
          <t>Manage Technical Objects (F2079)</t>
        </is>
      </c>
      <c r="P12" s="49" t="inlineStr">
        <is>
          <t>ללא פעולת המרה ייעודית ב-SUM (טבלה תואמת). מומלץ Regression Test ואימות התאמות אישיות לאחר ההמרה.</t>
        </is>
      </c>
    </row>
    <row r="13" ht="20" customHeight="1">
      <c r="A13" s="50" t="n">
        <v>8</v>
      </c>
      <c r="B13" s="51" t="n"/>
      <c r="C13" s="51" t="n"/>
      <c r="D13" s="52" t="inlineStr">
        <is>
          <t>SPRAS</t>
        </is>
      </c>
      <c r="E13" s="53" t="inlineStr">
        <is>
          <t>Language key</t>
        </is>
      </c>
      <c r="F13" s="54" t="inlineStr">
        <is>
          <t>שפה</t>
        </is>
      </c>
      <c r="G13" s="62" t="inlineStr">
        <is>
          <t>PK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8" t="n"/>
      <c r="C14" s="58" t="n"/>
      <c r="D14" s="44" t="inlineStr">
        <is>
          <t>EQKTX</t>
        </is>
      </c>
      <c r="E14" s="45" t="inlineStr">
        <is>
          <t>Equipment description</t>
        </is>
      </c>
      <c r="F14" s="46" t="inlineStr">
        <is>
          <t>תיאור הציוד</t>
        </is>
      </c>
      <c r="G14" s="56" t="inlineStr">
        <is>
          <t>-</t>
        </is>
      </c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4" customHeight="1">
      <c r="A16" s="40" t="inlineStr">
        <is>
          <t xml:space="preserve">  ◆ טבלה EQUZ  -  פלח זמן של ציוד (התקנות/שיוך)  (Equipment time segment)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0" customHeight="1">
      <c r="A17" s="50" t="n">
        <v>10</v>
      </c>
      <c r="B17" s="60" t="inlineStr">
        <is>
          <t>IE02; IE4N (התקנה/פירוק)</t>
        </is>
      </c>
      <c r="C17" s="61" t="inlineStr">
        <is>
          <t>EQUZ</t>
        </is>
      </c>
      <c r="D17" s="52" t="inlineStr">
        <is>
          <t>EQUNR</t>
        </is>
      </c>
      <c r="E17" s="53" t="inlineStr">
        <is>
          <t>Equipment number</t>
        </is>
      </c>
      <c r="F17" s="54" t="inlineStr">
        <is>
          <t>מספר ציוד</t>
        </is>
      </c>
      <c r="G17" s="62" t="inlineStr">
        <is>
          <t>PK/FK</t>
        </is>
      </c>
      <c r="H17" s="60" t="inlineStr">
        <is>
          <t>• EQUI_TIMESEGMENT_READ
• EQUIPMENT_DISMANTLE</t>
        </is>
      </c>
      <c r="I17" s="63" t="inlineStr">
        <is>
          <t>• קריאת פלחי הזמן של הציוד
• פירוק ציוד מהמיקום/ציוד אב</t>
        </is>
      </c>
      <c r="J17" s="60" t="inlineStr">
        <is>
          <t>• RIEQUI00</t>
        </is>
      </c>
      <c r="K17" s="63" t="inlineStr">
        <is>
          <t>• ניתוח שינויי התקנה והיסטוריה</t>
        </is>
      </c>
      <c r="L17" s="64" t="inlineStr">
        <is>
          <t>ללא שינוי (תואם)</t>
        </is>
      </c>
      <c r="M17" s="64" t="inlineStr">
        <is>
          <t>EQUZ (זהה)</t>
        </is>
      </c>
      <c r="N17" s="64" t="inlineStr">
        <is>
          <t>IE4N נתמך; Fiori</t>
        </is>
      </c>
      <c r="O17" s="65" t="inlineStr">
        <is>
          <t>Manage Technical Objects (F2079)</t>
        </is>
      </c>
      <c r="P17" s="64" t="inlineStr">
        <is>
          <t>ללא פעולת המרה ייעודית ב-SUM (טבלה תואמת). מומלץ Regression Test ואימות התאמות אישיות לאחר ההמרה.</t>
        </is>
      </c>
    </row>
    <row r="18" ht="20" customHeight="1">
      <c r="A18" s="41" t="n">
        <v>11</v>
      </c>
      <c r="B18" s="51" t="n"/>
      <c r="C18" s="51" t="n"/>
      <c r="D18" s="44" t="inlineStr">
        <is>
          <t>DATBI</t>
        </is>
      </c>
      <c r="E18" s="45" t="inlineStr">
        <is>
          <t>Valid-to date of segment</t>
        </is>
      </c>
      <c r="F18" s="46" t="inlineStr">
        <is>
          <t>תקף עד</t>
        </is>
      </c>
      <c r="G18" s="47" t="inlineStr">
        <is>
          <t>PK</t>
        </is>
      </c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0" customHeight="1">
      <c r="A19" s="50" t="n">
        <v>12</v>
      </c>
      <c r="B19" s="51" t="n"/>
      <c r="C19" s="51" t="n"/>
      <c r="D19" s="52" t="inlineStr">
        <is>
          <t>HEQUI</t>
        </is>
      </c>
      <c r="E19" s="53" t="inlineStr">
        <is>
          <t>Superior equipment</t>
        </is>
      </c>
      <c r="F19" s="54" t="inlineStr">
        <is>
          <t>ציוד עליון</t>
        </is>
      </c>
      <c r="G19" s="59" t="inlineStr">
        <is>
          <t>FK</t>
        </is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 ht="20" customHeight="1">
      <c r="A20" s="41" t="n">
        <v>13</v>
      </c>
      <c r="B20" s="51" t="n"/>
      <c r="C20" s="51" t="n"/>
      <c r="D20" s="44" t="inlineStr">
        <is>
          <t>ILOAN</t>
        </is>
      </c>
      <c r="E20" s="45" t="inlineStr">
        <is>
          <t>Location/account key</t>
        </is>
      </c>
      <c r="F20" s="46" t="inlineStr">
        <is>
          <t>מפתח מיקום/חיוב</t>
        </is>
      </c>
      <c r="G20" s="57" t="inlineStr">
        <is>
          <t>FK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8" t="n"/>
      <c r="C21" s="58" t="n"/>
      <c r="D21" s="52" t="inlineStr">
        <is>
          <t>EQLFN</t>
        </is>
      </c>
      <c r="E21" s="53" t="inlineStr">
        <is>
          <t>Time segment counter</t>
        </is>
      </c>
      <c r="F21" s="54" t="inlineStr">
        <is>
          <t>מונה פלח זמן</t>
        </is>
      </c>
      <c r="G21" s="62" t="inlineStr">
        <is>
          <t>PK</t>
        </is>
      </c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4" customHeight="1">
      <c r="A23" s="40" t="inlineStr">
        <is>
          <t xml:space="preserve">  ◆ טבלה OBJK  -  רשימת אובייקטים / מספרים סידוריים  (Object list / serial assignment)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0" customHeight="1">
      <c r="A24" s="41" t="n">
        <v>15</v>
      </c>
      <c r="B24" s="42" t="inlineStr">
        <is>
          <t>IQ01/IQ02/IQ03; IQ08, IQ09</t>
        </is>
      </c>
      <c r="C24" s="43" t="inlineStr">
        <is>
          <t>OBJK</t>
        </is>
      </c>
      <c r="D24" s="44" t="inlineStr">
        <is>
          <t>OBKNR</t>
        </is>
      </c>
      <c r="E24" s="45" t="inlineStr">
        <is>
          <t>Object list number</t>
        </is>
      </c>
      <c r="F24" s="46" t="inlineStr">
        <is>
          <t>מספר רשומת אובייקט</t>
        </is>
      </c>
      <c r="G24" s="47" t="inlineStr">
        <is>
          <t>PK</t>
        </is>
      </c>
      <c r="H24" s="42" t="inlineStr">
        <is>
          <t>• SERIAL_NUMBER_CREATE
• SERNR_ADD_TO_DOCUMENT
• BAPI_OBJCL_CREATE</t>
        </is>
      </c>
      <c r="I24" s="48" t="inlineStr">
        <is>
          <t>• יצירת מספר סידורי
• שיוך סריאל לתעודת מלאי
• שיוך סיווג לאובייקט</t>
        </is>
      </c>
      <c r="J24" s="42" t="inlineStr">
        <is>
          <t>• RISERNR0</t>
        </is>
      </c>
      <c r="K24" s="48" t="inlineStr">
        <is>
          <t>• דוח סריאלים מול תנועות מלאי</t>
        </is>
      </c>
      <c r="L24" s="49" t="inlineStr">
        <is>
          <t>ללא שינוי (תואם)</t>
        </is>
      </c>
      <c r="M24" s="49" t="inlineStr">
        <is>
          <t>OBJK (זהה)</t>
        </is>
      </c>
      <c r="N24" s="49" t="inlineStr">
        <is>
          <t>IQ0*; Fiori</t>
        </is>
      </c>
      <c r="O24" s="43" t="inlineStr">
        <is>
          <t>Manage Technical Objects (F2079)</t>
        </is>
      </c>
      <c r="P24" s="49" t="inlineStr">
        <is>
          <t>ללא פעולת המרה ייעודית ב-SUM (טבלה תואמת). מומלץ Regression Test ואימות התאמות אישיות לאחר ההמרה.</t>
        </is>
      </c>
    </row>
    <row r="25" ht="20" customHeight="1">
      <c r="A25" s="50" t="n">
        <v>16</v>
      </c>
      <c r="B25" s="51" t="n"/>
      <c r="C25" s="51" t="n"/>
      <c r="D25" s="52" t="inlineStr">
        <is>
          <t>EQUNR</t>
        </is>
      </c>
      <c r="E25" s="53" t="inlineStr">
        <is>
          <t>Equipment number</t>
        </is>
      </c>
      <c r="F25" s="54" t="inlineStr">
        <is>
          <t>מספר ציוד</t>
        </is>
      </c>
      <c r="G25" s="59" t="inlineStr">
        <is>
          <t>FK</t>
        </is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 ht="20" customHeight="1">
      <c r="A26" s="41" t="n">
        <v>17</v>
      </c>
      <c r="B26" s="51" t="n"/>
      <c r="C26" s="51" t="n"/>
      <c r="D26" s="44" t="inlineStr">
        <is>
          <t>SERNR</t>
        </is>
      </c>
      <c r="E26" s="45" t="inlineStr">
        <is>
          <t>Serial number</t>
        </is>
      </c>
      <c r="F26" s="46" t="inlineStr">
        <is>
          <t>מספר סידורי</t>
        </is>
      </c>
      <c r="G26" s="56" t="inlineStr">
        <is>
          <t>-</t>
        </is>
      </c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 ht="20" customHeight="1">
      <c r="A27" s="50" t="n">
        <v>18</v>
      </c>
      <c r="B27" s="51" t="n"/>
      <c r="C27" s="51" t="n"/>
      <c r="D27" s="52" t="inlineStr">
        <is>
          <t>MATNR</t>
        </is>
      </c>
      <c r="E27" s="53" t="inlineStr">
        <is>
          <t>Material number</t>
        </is>
      </c>
      <c r="F27" s="54" t="inlineStr">
        <is>
          <t>חומר</t>
        </is>
      </c>
      <c r="G27" s="59" t="inlineStr">
        <is>
          <t>FK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20" customHeight="1">
      <c r="A28" s="41" t="n">
        <v>19</v>
      </c>
      <c r="B28" s="58" t="n"/>
      <c r="C28" s="58" t="n"/>
      <c r="D28" s="44" t="inlineStr">
        <is>
          <t>TASER</t>
        </is>
      </c>
      <c r="E28" s="45" t="inlineStr">
        <is>
          <t>Serial number profile usage</t>
        </is>
      </c>
      <c r="F28" s="46" t="inlineStr">
        <is>
          <t>שימוש פרופיל סריאלי</t>
        </is>
      </c>
      <c r="G28" s="56" t="inlineStr">
        <is>
          <t>-</t>
        </is>
      </c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4" customHeight="1">
      <c r="A31" s="40" t="inlineStr">
        <is>
          <t xml:space="preserve">  ⚙ הרחבות טכניות ושינויי ארכיטקטורה (Technical Extensions: User Exits / BAdIs / ECC vs S/4HANA)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66" t="inlineStr">
        <is>
          <t>סוג (Type)</t>
        </is>
      </c>
      <c r="B32" s="4" t="n"/>
      <c r="C32" s="66" t="inlineStr">
        <is>
          <t>קוד / שם טכני (Code)</t>
        </is>
      </c>
      <c r="D32" s="4" t="n"/>
      <c r="E32" s="66" t="inlineStr">
        <is>
          <t>תיאור / הבדל (Hebrew)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4" customHeight="1">
      <c r="A33" s="67" t="inlineStr">
        <is>
          <t>User Exit (SMOD)</t>
        </is>
      </c>
      <c r="B33" s="4" t="n"/>
      <c r="C33" s="68" t="inlineStr">
        <is>
          <t>IEQM0001</t>
        </is>
      </c>
      <c r="D33" s="4" t="n"/>
      <c r="E33" s="69" t="inlineStr">
        <is>
          <t>בדיקות והרחבת שדות בעת יצירת/שינוי ציוד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4" customHeight="1">
      <c r="A34" s="70" t="inlineStr">
        <is>
          <t>User Exit (SMOD)</t>
        </is>
      </c>
      <c r="B34" s="4" t="n"/>
      <c r="C34" s="71" t="inlineStr">
        <is>
          <t>IEQM0003</t>
        </is>
      </c>
      <c r="D34" s="4" t="n"/>
      <c r="E34" s="72" t="inlineStr">
        <is>
          <t>ברירות מחדל וקביעת ערכים אוטומטית לציוד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4" customHeight="1">
      <c r="A35" s="67" t="inlineStr">
        <is>
          <t>User Exit (SMOD)</t>
        </is>
      </c>
      <c r="B35" s="4" t="n"/>
      <c r="C35" s="68" t="inlineStr">
        <is>
          <t>ISER0001</t>
        </is>
      </c>
      <c r="D35" s="4" t="n"/>
      <c r="E35" s="69" t="inlineStr">
        <is>
          <t>הרחבת לוגיקת מספרים סידוריים (Serialization)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4" customHeight="1">
      <c r="A36" s="70" t="inlineStr">
        <is>
          <t>BAdI (SE18)</t>
        </is>
      </c>
      <c r="B36" s="4" t="n"/>
      <c r="C36" s="71" t="inlineStr">
        <is>
          <t>BADI_EAM_TECHNICAL_OBJECT</t>
        </is>
      </c>
      <c r="D36" s="4" t="n"/>
      <c r="E36" s="72" t="inlineStr">
        <is>
          <t>הרחבת לוגיקת ציוד/אובייקט טכני ב-S/4HANA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4" customHeight="1">
      <c r="A37" s="67" t="inlineStr">
        <is>
          <t>BAdI (SE18)</t>
        </is>
      </c>
      <c r="B37" s="4" t="n"/>
      <c r="C37" s="68" t="inlineStr">
        <is>
          <t>EAM_SERNR_ADD_DATA</t>
        </is>
      </c>
      <c r="D37" s="4" t="n"/>
      <c r="E37" s="69" t="inlineStr">
        <is>
          <t>הרחבת נתוני מספר סידורי (אמת שם מדויק ב-SE18)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4" customHeight="1">
      <c r="A38" s="70" t="inlineStr">
        <is>
          <t>ארכיטקטורה ECC↔S/4</t>
        </is>
      </c>
      <c r="B38" s="4" t="n"/>
      <c r="C38" s="71" t="inlineStr">
        <is>
          <t>—</t>
        </is>
      </c>
      <c r="D38" s="4" t="n"/>
      <c r="E38" s="72" t="inlineStr">
        <is>
          <t>מודל EQUI/EQUZ/ILOA ללא שינוי; ירושת נתוני מיקום נשמרת.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4" customHeight="1">
      <c r="A39" s="67" t="inlineStr">
        <is>
          <t>ארכיטקטורה ECC↔S/4</t>
        </is>
      </c>
      <c r="B39" s="4" t="n"/>
      <c r="C39" s="68" t="inlineStr">
        <is>
          <t>—</t>
        </is>
      </c>
      <c r="D39" s="4" t="n"/>
      <c r="E39" s="69" t="inlineStr">
        <is>
          <t>ב-S/4 אינטגרציה אופציונלית ל-Asset Central Foundation / IoT לניטור מצב.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4" customHeight="1">
      <c r="A40" s="70" t="inlineStr">
        <is>
          <t>ארכיטקטורה ECC↔S/4</t>
        </is>
      </c>
      <c r="B40" s="4" t="n"/>
      <c r="C40" s="71" t="inlineStr">
        <is>
          <t>—</t>
        </is>
      </c>
      <c r="D40" s="4" t="n"/>
      <c r="E40" s="72" t="inlineStr">
        <is>
          <t>Classification (סיווג) תואם; שדה MATNR בציוד מושפע מהארכת אורך חומר ל-40 תווים.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</sheetData>
  <mergeCells count="78">
    <mergeCell ref="E38:P38"/>
    <mergeCell ref="M12:M14"/>
    <mergeCell ref="O12:O14"/>
    <mergeCell ref="E40:P40"/>
    <mergeCell ref="C4:C9"/>
    <mergeCell ref="P12:P14"/>
    <mergeCell ref="O4:O9"/>
    <mergeCell ref="A11:P11"/>
    <mergeCell ref="J17:J21"/>
    <mergeCell ref="B12:B14"/>
    <mergeCell ref="A33:B33"/>
    <mergeCell ref="C24:C28"/>
    <mergeCell ref="C36:D36"/>
    <mergeCell ref="O24:O28"/>
    <mergeCell ref="A35:B35"/>
    <mergeCell ref="A39:B39"/>
    <mergeCell ref="C12:C14"/>
    <mergeCell ref="H4:H9"/>
    <mergeCell ref="M17:M21"/>
    <mergeCell ref="O17:O21"/>
    <mergeCell ref="A37:B37"/>
    <mergeCell ref="P24:P28"/>
    <mergeCell ref="L17:L21"/>
    <mergeCell ref="H24:H28"/>
    <mergeCell ref="C40:D40"/>
    <mergeCell ref="E32:P32"/>
    <mergeCell ref="K24:K28"/>
    <mergeCell ref="L12:L14"/>
    <mergeCell ref="N12:N14"/>
    <mergeCell ref="E33:P33"/>
    <mergeCell ref="K12:K14"/>
    <mergeCell ref="A34:B34"/>
    <mergeCell ref="E35:P35"/>
    <mergeCell ref="C34:D34"/>
    <mergeCell ref="B4:B9"/>
    <mergeCell ref="N4:N9"/>
    <mergeCell ref="C17:C21"/>
    <mergeCell ref="A23:P23"/>
    <mergeCell ref="P4:P9"/>
    <mergeCell ref="A36:B36"/>
    <mergeCell ref="A1:B1"/>
    <mergeCell ref="I17:I21"/>
    <mergeCell ref="B24:B28"/>
    <mergeCell ref="N24:N28"/>
    <mergeCell ref="E37:P37"/>
    <mergeCell ref="A32:B32"/>
    <mergeCell ref="A16:P16"/>
    <mergeCell ref="A38:B38"/>
    <mergeCell ref="C32:D32"/>
    <mergeCell ref="C38:D38"/>
    <mergeCell ref="I4:I9"/>
    <mergeCell ref="H17:H21"/>
    <mergeCell ref="A3:P3"/>
    <mergeCell ref="A40:B40"/>
    <mergeCell ref="K4:K9"/>
    <mergeCell ref="M4:M9"/>
    <mergeCell ref="N17:N21"/>
    <mergeCell ref="C33:D33"/>
    <mergeCell ref="K17:K21"/>
    <mergeCell ref="I24:I28"/>
    <mergeCell ref="E34:P34"/>
    <mergeCell ref="C35:D35"/>
    <mergeCell ref="H12:H14"/>
    <mergeCell ref="J12:J14"/>
    <mergeCell ref="M24:M28"/>
    <mergeCell ref="A31:P31"/>
    <mergeCell ref="C1:P1"/>
    <mergeCell ref="E36:P36"/>
    <mergeCell ref="J4:J9"/>
    <mergeCell ref="L4:L9"/>
    <mergeCell ref="C39:D39"/>
    <mergeCell ref="B17:B21"/>
    <mergeCell ref="I12:I14"/>
    <mergeCell ref="C37:D37"/>
    <mergeCell ref="E39:P39"/>
    <mergeCell ref="J24:J28"/>
    <mergeCell ref="P17:P21"/>
    <mergeCell ref="L24:L28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4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3. עצי מוצר של אחזקה (BOM)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STKO  -  כותרת עץ מוצר  (BOM header)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IB01/CS01; CS02/CS03</t>
        </is>
      </c>
      <c r="C4" s="43" t="inlineStr">
        <is>
          <t>STKO</t>
        </is>
      </c>
      <c r="D4" s="44" t="inlineStr">
        <is>
          <t>STLNR</t>
        </is>
      </c>
      <c r="E4" s="45" t="inlineStr">
        <is>
          <t>Bill of material number</t>
        </is>
      </c>
      <c r="F4" s="46" t="inlineStr">
        <is>
          <t>מספר עץ מוצר</t>
        </is>
      </c>
      <c r="G4" s="47" t="inlineStr">
        <is>
          <t>PK</t>
        </is>
      </c>
      <c r="H4" s="42" t="inlineStr">
        <is>
          <t>• CSAP_MAT_BOM_CREATE
• CSAP_MAT_BOM_MAINTAIN
• CS_BT_BOM_HEADER_READ</t>
        </is>
      </c>
      <c r="I4" s="48" t="inlineStr">
        <is>
          <t>• יצירת עץ מוצר
• תחזוקת עץ מוצר
• קריאת כותרת עץ מוצר</t>
        </is>
      </c>
      <c r="J4" s="42" t="inlineStr">
        <is>
          <t>• RCSBI010</t>
        </is>
      </c>
      <c r="K4" s="48" t="inlineStr">
        <is>
          <t>• פיצוץ עץ מוצר רב-רמתי</t>
        </is>
      </c>
      <c r="L4" s="49" t="inlineStr">
        <is>
          <t>ללא שינוי (תואם)</t>
        </is>
      </c>
      <c r="M4" s="49" t="inlineStr">
        <is>
          <t>STKO (זהה)</t>
        </is>
      </c>
      <c r="N4" s="49" t="inlineStr">
        <is>
          <t>CS01-03 / IB01; Fiori</t>
        </is>
      </c>
      <c r="O4" s="43" t="inlineStr">
        <is>
          <t>Manage Bills of Material (אמת ID)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STLTY</t>
        </is>
      </c>
      <c r="E5" s="53" t="inlineStr">
        <is>
          <t>BOM category (E/T/M)</t>
        </is>
      </c>
      <c r="F5" s="54" t="inlineStr">
        <is>
          <t>קטגוריית BOM</t>
        </is>
      </c>
      <c r="G5" s="62" t="inlineStr">
        <is>
          <t>PK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STLAL</t>
        </is>
      </c>
      <c r="E6" s="45" t="inlineStr">
        <is>
          <t>Alternative BOM</t>
        </is>
      </c>
      <c r="F6" s="46" t="inlineStr">
        <is>
          <t>חלופת עץ מוצר</t>
        </is>
      </c>
      <c r="G6" s="47" t="inlineStr">
        <is>
          <t>PK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BMENG</t>
        </is>
      </c>
      <c r="E7" s="53" t="inlineStr">
        <is>
          <t>Base quantity</t>
        </is>
      </c>
      <c r="F7" s="54" t="inlineStr">
        <is>
          <t>כמות בסיס</t>
        </is>
      </c>
      <c r="G7" s="55" t="inlineStr">
        <is>
          <t>-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8" t="n"/>
      <c r="C8" s="58" t="n"/>
      <c r="D8" s="44" t="inlineStr">
        <is>
          <t>STLST</t>
        </is>
      </c>
      <c r="E8" s="45" t="inlineStr">
        <is>
          <t>BOM status</t>
        </is>
      </c>
      <c r="F8" s="46" t="inlineStr">
        <is>
          <t>סטטוס עץ מוצר</t>
        </is>
      </c>
      <c r="G8" s="56" t="inlineStr">
        <is>
          <t>-</t>
        </is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4" customHeight="1">
      <c r="A10" s="40" t="inlineStr">
        <is>
          <t xml:space="preserve">  ◆ טבלה STPO  -  פריטי עץ מוצר (רכיבים)  (BOM item (components))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0" customHeight="1">
      <c r="A11" s="50" t="n">
        <v>6</v>
      </c>
      <c r="B11" s="60" t="inlineStr">
        <is>
          <t>IB02/CS02; CS11, CS15</t>
        </is>
      </c>
      <c r="C11" s="61" t="inlineStr">
        <is>
          <t>STPO</t>
        </is>
      </c>
      <c r="D11" s="52" t="inlineStr">
        <is>
          <t>STLNR</t>
        </is>
      </c>
      <c r="E11" s="53" t="inlineStr">
        <is>
          <t>BOM number</t>
        </is>
      </c>
      <c r="F11" s="54" t="inlineStr">
        <is>
          <t>מספר עץ מוצר</t>
        </is>
      </c>
      <c r="G11" s="62" t="inlineStr">
        <is>
          <t>PK</t>
        </is>
      </c>
      <c r="H11" s="60" t="inlineStr">
        <is>
          <t>• CSAP_BOM_ITEM_MAINTAIN
• CS_BOM_EXPL_MAT_RC1</t>
        </is>
      </c>
      <c r="I11" s="63" t="inlineStr">
        <is>
          <t>• תחזוקת פריטי עץ מוצר
• פיצוץ עץ מוצר לחומר</t>
        </is>
      </c>
      <c r="J11" s="60" t="inlineStr">
        <is>
          <t>• RCSBI010
• CS_BT</t>
        </is>
      </c>
      <c r="K11" s="63" t="inlineStr">
        <is>
          <t>• פיצוץ רב-רמתי
• דוח Where-Used לרכיב</t>
        </is>
      </c>
      <c r="L11" s="64" t="inlineStr">
        <is>
          <t>ללא שינוי (תואם)</t>
        </is>
      </c>
      <c r="M11" s="64" t="inlineStr">
        <is>
          <t>STPO (זהה)</t>
        </is>
      </c>
      <c r="N11" s="64" t="inlineStr">
        <is>
          <t>CS0*; Fiori</t>
        </is>
      </c>
      <c r="O11" s="65" t="inlineStr">
        <is>
          <t>Manage Bills of Material (אמת ID)</t>
        </is>
      </c>
      <c r="P11" s="64" t="inlineStr">
        <is>
          <t>ללא פעולת המרה ייעודית ב-SUM (טבלה תואמת). מומלץ Regression Test ואימות התאמות אישיות לאחר ההמרה.</t>
        </is>
      </c>
    </row>
    <row r="12" ht="20" customHeight="1">
      <c r="A12" s="41" t="n">
        <v>7</v>
      </c>
      <c r="B12" s="51" t="n"/>
      <c r="C12" s="51" t="n"/>
      <c r="D12" s="44" t="inlineStr">
        <is>
          <t>POSNR</t>
        </is>
      </c>
      <c r="E12" s="45" t="inlineStr">
        <is>
          <t>BOM item number</t>
        </is>
      </c>
      <c r="F12" s="46" t="inlineStr">
        <is>
          <t>מספר פריט</t>
        </is>
      </c>
      <c r="G12" s="47" t="inlineStr">
        <is>
          <t>PK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1" t="n"/>
      <c r="C13" s="51" t="n"/>
      <c r="D13" s="52" t="inlineStr">
        <is>
          <t>IDNRK</t>
        </is>
      </c>
      <c r="E13" s="53" t="inlineStr">
        <is>
          <t>Component (BOM item material)</t>
        </is>
      </c>
      <c r="F13" s="54" t="inlineStr">
        <is>
          <t>רכיב / חומר</t>
        </is>
      </c>
      <c r="G13" s="59" t="inlineStr">
        <is>
          <t>FK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MENGE</t>
        </is>
      </c>
      <c r="E14" s="45" t="inlineStr">
        <is>
          <t>Component quantity</t>
        </is>
      </c>
      <c r="F14" s="46" t="inlineStr">
        <is>
          <t>כמות רכיב</t>
        </is>
      </c>
      <c r="G14" s="56" t="inlineStr">
        <is>
          <t>-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8" t="n"/>
      <c r="C15" s="58" t="n"/>
      <c r="D15" s="52" t="inlineStr">
        <is>
          <t>POSTP</t>
        </is>
      </c>
      <c r="E15" s="53" t="inlineStr">
        <is>
          <t>Item category</t>
        </is>
      </c>
      <c r="F15" s="54" t="inlineStr">
        <is>
          <t>סוג פריט</t>
        </is>
      </c>
      <c r="G15" s="55" t="inlineStr">
        <is>
          <t>-</t>
        </is>
      </c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4" customHeight="1">
      <c r="A17" s="40" t="inlineStr">
        <is>
          <t xml:space="preserve">  ◆ טבלה MAST  -  קישור חומר לעץ מוצר  (Material-to-BOM link)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0" customHeight="1">
      <c r="A18" s="41" t="n">
        <v>11</v>
      </c>
      <c r="B18" s="42" t="inlineStr">
        <is>
          <t>CS01; CS02/CS03</t>
        </is>
      </c>
      <c r="C18" s="43" t="inlineStr">
        <is>
          <t>MAST</t>
        </is>
      </c>
      <c r="D18" s="44" t="inlineStr">
        <is>
          <t>MATNR</t>
        </is>
      </c>
      <c r="E18" s="45" t="inlineStr">
        <is>
          <t>Material number</t>
        </is>
      </c>
      <c r="F18" s="46" t="inlineStr">
        <is>
          <t>חומר</t>
        </is>
      </c>
      <c r="G18" s="47" t="inlineStr">
        <is>
          <t>PK/FK</t>
        </is>
      </c>
      <c r="H18" s="42" t="inlineStr">
        <is>
          <t>• CSAP_MAT_BOM_READ</t>
        </is>
      </c>
      <c r="I18" s="48" t="inlineStr">
        <is>
          <t>• קריאת קישור חומר-BOM</t>
        </is>
      </c>
      <c r="J18" s="42" t="inlineStr">
        <is>
          <t>• RCSBI010</t>
        </is>
      </c>
      <c r="K18" s="48" t="inlineStr">
        <is>
          <t>• פיצוץ עץ מוצר לחומר</t>
        </is>
      </c>
      <c r="L18" s="49" t="inlineStr">
        <is>
          <t>ללא שינוי (תואם)</t>
        </is>
      </c>
      <c r="M18" s="49" t="inlineStr">
        <is>
          <t>MAST (זהה)</t>
        </is>
      </c>
      <c r="N18" s="49" t="inlineStr">
        <is>
          <t>CS0*; Fiori</t>
        </is>
      </c>
      <c r="O18" s="43" t="inlineStr">
        <is>
          <t>Manage Bills of Material (אמת ID)</t>
        </is>
      </c>
      <c r="P18" s="49" t="inlineStr">
        <is>
          <t>ללא פעולת המרה ייעודית ב-SUM (טבלה תואמת). מומלץ Regression Test ואימות התאמות אישיות לאחר ההמרה.</t>
        </is>
      </c>
    </row>
    <row r="19" ht="20" customHeight="1">
      <c r="A19" s="50" t="n">
        <v>12</v>
      </c>
      <c r="B19" s="51" t="n"/>
      <c r="C19" s="51" t="n"/>
      <c r="D19" s="52" t="inlineStr">
        <is>
          <t>WERKS</t>
        </is>
      </c>
      <c r="E19" s="53" t="inlineStr">
        <is>
          <t>Plant</t>
        </is>
      </c>
      <c r="F19" s="54" t="inlineStr">
        <is>
          <t>מפעל</t>
        </is>
      </c>
      <c r="G19" s="62" t="inlineStr">
        <is>
          <t>PK</t>
        </is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 ht="20" customHeight="1">
      <c r="A20" s="41" t="n">
        <v>13</v>
      </c>
      <c r="B20" s="51" t="n"/>
      <c r="C20" s="51" t="n"/>
      <c r="D20" s="44" t="inlineStr">
        <is>
          <t>STLAN</t>
        </is>
      </c>
      <c r="E20" s="45" t="inlineStr">
        <is>
          <t>BOM usage (4=maintenance)</t>
        </is>
      </c>
      <c r="F20" s="46" t="inlineStr">
        <is>
          <t>שימוש עץ מוצר</t>
        </is>
      </c>
      <c r="G20" s="47" t="inlineStr">
        <is>
          <t>PK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1" t="n"/>
      <c r="C21" s="51" t="n"/>
      <c r="D21" s="52" t="inlineStr">
        <is>
          <t>STLNR</t>
        </is>
      </c>
      <c r="E21" s="53" t="inlineStr">
        <is>
          <t>BOM number</t>
        </is>
      </c>
      <c r="F21" s="54" t="inlineStr">
        <is>
          <t>מספר עץ מוצר</t>
        </is>
      </c>
      <c r="G21" s="62" t="inlineStr">
        <is>
          <t>PK/FK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 ht="20" customHeight="1">
      <c r="A22" s="41" t="n">
        <v>15</v>
      </c>
      <c r="B22" s="58" t="n"/>
      <c r="C22" s="58" t="n"/>
      <c r="D22" s="44" t="inlineStr">
        <is>
          <t>STLAL</t>
        </is>
      </c>
      <c r="E22" s="45" t="inlineStr">
        <is>
          <t>Alternative BOM</t>
        </is>
      </c>
      <c r="F22" s="46" t="inlineStr">
        <is>
          <t>חלופה</t>
        </is>
      </c>
      <c r="G22" s="56" t="inlineStr">
        <is>
          <t>-</t>
        </is>
      </c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4" customHeight="1">
      <c r="A24" s="40" t="inlineStr">
        <is>
          <t xml:space="preserve">  ◆ טבלה EQST  -  קישור ציוד לעץ מוצר  (Equipment-to-BOM link)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0" customHeight="1">
      <c r="A25" s="50" t="n">
        <v>16</v>
      </c>
      <c r="B25" s="60" t="inlineStr">
        <is>
          <t>IB01; IB02/IB03</t>
        </is>
      </c>
      <c r="C25" s="61" t="inlineStr">
        <is>
          <t>EQST</t>
        </is>
      </c>
      <c r="D25" s="52" t="inlineStr">
        <is>
          <t>EQUNR</t>
        </is>
      </c>
      <c r="E25" s="53" t="inlineStr">
        <is>
          <t>Equipment number</t>
        </is>
      </c>
      <c r="F25" s="54" t="inlineStr">
        <is>
          <t>מספר ציוד</t>
        </is>
      </c>
      <c r="G25" s="62" t="inlineStr">
        <is>
          <t>PK/FK</t>
        </is>
      </c>
      <c r="H25" s="60" t="inlineStr">
        <is>
          <t>• CS_BOM_EXPL_EQU_RC1</t>
        </is>
      </c>
      <c r="I25" s="63" t="inlineStr">
        <is>
          <t>• פיצוץ עץ מוצר של ציוד</t>
        </is>
      </c>
      <c r="J25" s="60" t="inlineStr">
        <is>
          <t>• RCSBI010</t>
        </is>
      </c>
      <c r="K25" s="63" t="inlineStr">
        <is>
          <t>• פיצוץ עץ מוצר של ציוד</t>
        </is>
      </c>
      <c r="L25" s="64" t="inlineStr">
        <is>
          <t>ללא שינוי (תואם)</t>
        </is>
      </c>
      <c r="M25" s="64" t="inlineStr">
        <is>
          <t>EQST (זהה)</t>
        </is>
      </c>
      <c r="N25" s="64" t="inlineStr">
        <is>
          <t>IB01-03; Fiori</t>
        </is>
      </c>
      <c r="O25" s="65" t="inlineStr">
        <is>
          <t>Manage Bills of Material (אמת ID)</t>
        </is>
      </c>
      <c r="P25" s="64" t="inlineStr">
        <is>
          <t>ללא פעולת המרה ייעודית ב-SUM (טבלה תואמת). מומלץ Regression Test ואימות התאמות אישיות לאחר ההמרה.</t>
        </is>
      </c>
    </row>
    <row r="26" ht="20" customHeight="1">
      <c r="A26" s="41" t="n">
        <v>17</v>
      </c>
      <c r="B26" s="51" t="n"/>
      <c r="C26" s="51" t="n"/>
      <c r="D26" s="44" t="inlineStr">
        <is>
          <t>STLNR</t>
        </is>
      </c>
      <c r="E26" s="45" t="inlineStr">
        <is>
          <t>BOM number</t>
        </is>
      </c>
      <c r="F26" s="46" t="inlineStr">
        <is>
          <t>מספר עץ מוצר</t>
        </is>
      </c>
      <c r="G26" s="57" t="inlineStr">
        <is>
          <t>FK</t>
        </is>
      </c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 ht="20" customHeight="1">
      <c r="A27" s="50" t="n">
        <v>18</v>
      </c>
      <c r="B27" s="51" t="n"/>
      <c r="C27" s="51" t="n"/>
      <c r="D27" s="52" t="inlineStr">
        <is>
          <t>STLAL</t>
        </is>
      </c>
      <c r="E27" s="53" t="inlineStr">
        <is>
          <t>Alternative BOM</t>
        </is>
      </c>
      <c r="F27" s="54" t="inlineStr">
        <is>
          <t>חלופה</t>
        </is>
      </c>
      <c r="G27" s="62" t="inlineStr">
        <is>
          <t>PK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20" customHeight="1">
      <c r="A28" s="41" t="n">
        <v>19</v>
      </c>
      <c r="B28" s="58" t="n"/>
      <c r="C28" s="58" t="n"/>
      <c r="D28" s="44" t="inlineStr">
        <is>
          <t>STLAN</t>
        </is>
      </c>
      <c r="E28" s="45" t="inlineStr">
        <is>
          <t>BOM usage</t>
        </is>
      </c>
      <c r="F28" s="46" t="inlineStr">
        <is>
          <t>שימוש עץ מוצר</t>
        </is>
      </c>
      <c r="G28" s="56" t="inlineStr">
        <is>
          <t>-</t>
        </is>
      </c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4" customHeight="1">
      <c r="A30" s="40" t="inlineStr">
        <is>
          <t xml:space="preserve">  ◆ טבלה TPST  -  קישור מיקום פונקציונלי לעץ מוצר  (Functional location-to-BOM link)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0" customHeight="1">
      <c r="A31" s="50" t="n">
        <v>20</v>
      </c>
      <c r="B31" s="60" t="inlineStr">
        <is>
          <t>IB11; IB12/IB13</t>
        </is>
      </c>
      <c r="C31" s="61" t="inlineStr">
        <is>
          <t>TPST</t>
        </is>
      </c>
      <c r="D31" s="52" t="inlineStr">
        <is>
          <t>TPLNR</t>
        </is>
      </c>
      <c r="E31" s="53" t="inlineStr">
        <is>
          <t>Functional location</t>
        </is>
      </c>
      <c r="F31" s="54" t="inlineStr">
        <is>
          <t>מיקום פונקציונלי</t>
        </is>
      </c>
      <c r="G31" s="62" t="inlineStr">
        <is>
          <t>PK/FK</t>
        </is>
      </c>
      <c r="H31" s="60" t="inlineStr">
        <is>
          <t>• CS_BOM_EXPL_FLO_RC1</t>
        </is>
      </c>
      <c r="I31" s="63" t="inlineStr">
        <is>
          <t>• פיצוץ עץ מוצר של מיקום</t>
        </is>
      </c>
      <c r="J31" s="60" t="inlineStr">
        <is>
          <t>• RCSBI020</t>
        </is>
      </c>
      <c r="K31" s="63" t="inlineStr">
        <is>
          <t>• פיצוץ עצי מוצר של מיקומים</t>
        </is>
      </c>
      <c r="L31" s="64" t="inlineStr">
        <is>
          <t>ללא שינוי (תואם)</t>
        </is>
      </c>
      <c r="M31" s="64" t="inlineStr">
        <is>
          <t>TPST (זהה)</t>
        </is>
      </c>
      <c r="N31" s="64" t="inlineStr">
        <is>
          <t>IB11-13; Fiori</t>
        </is>
      </c>
      <c r="O31" s="65" t="inlineStr">
        <is>
          <t>Manage Bills of Material (אמת ID)</t>
        </is>
      </c>
      <c r="P31" s="64" t="inlineStr">
        <is>
          <t>ללא פעולת המרה ייעודית ב-SUM (טבלה תואמת). מומלץ Regression Test ואימות התאמות אישיות לאחר ההמרה.</t>
        </is>
      </c>
    </row>
    <row r="32" ht="20" customHeight="1">
      <c r="A32" s="41" t="n">
        <v>21</v>
      </c>
      <c r="B32" s="51" t="n"/>
      <c r="C32" s="51" t="n"/>
      <c r="D32" s="44" t="inlineStr">
        <is>
          <t>STLNR</t>
        </is>
      </c>
      <c r="E32" s="45" t="inlineStr">
        <is>
          <t>BOM number</t>
        </is>
      </c>
      <c r="F32" s="46" t="inlineStr">
        <is>
          <t>מספר עץ מוצר</t>
        </is>
      </c>
      <c r="G32" s="57" t="inlineStr">
        <is>
          <t>FK</t>
        </is>
      </c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  <row r="33" ht="20" customHeight="1">
      <c r="A33" s="50" t="n">
        <v>22</v>
      </c>
      <c r="B33" s="51" t="n"/>
      <c r="C33" s="51" t="n"/>
      <c r="D33" s="52" t="inlineStr">
        <is>
          <t>STLAL</t>
        </is>
      </c>
      <c r="E33" s="53" t="inlineStr">
        <is>
          <t>Alternative BOM</t>
        </is>
      </c>
      <c r="F33" s="54" t="inlineStr">
        <is>
          <t>חלופה</t>
        </is>
      </c>
      <c r="G33" s="62" t="inlineStr">
        <is>
          <t>PK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</row>
    <row r="34" ht="20" customHeight="1">
      <c r="A34" s="41" t="n">
        <v>23</v>
      </c>
      <c r="B34" s="58" t="n"/>
      <c r="C34" s="58" t="n"/>
      <c r="D34" s="44" t="inlineStr">
        <is>
          <t>STLAN</t>
        </is>
      </c>
      <c r="E34" s="45" t="inlineStr">
        <is>
          <t>BOM usage</t>
        </is>
      </c>
      <c r="F34" s="46" t="inlineStr">
        <is>
          <t>שימוש עץ מוצר</t>
        </is>
      </c>
      <c r="G34" s="56" t="inlineStr">
        <is>
          <t>-</t>
        </is>
      </c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4" customHeight="1">
      <c r="A37" s="40" t="inlineStr">
        <is>
          <t xml:space="preserve">  ⚙ הרחבות טכניות ושינויי ארכיטקטורה (Technical Extensions: User Exits / BAdIs / ECC vs S/4HANA)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66" t="inlineStr">
        <is>
          <t>סוג (Type)</t>
        </is>
      </c>
      <c r="B38" s="4" t="n"/>
      <c r="C38" s="66" t="inlineStr">
        <is>
          <t>קוד / שם טכני (Code)</t>
        </is>
      </c>
      <c r="D38" s="4" t="n"/>
      <c r="E38" s="66" t="inlineStr">
        <is>
          <t>תיאור / הבדל (Hebrew)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4" customHeight="1">
      <c r="A39" s="67" t="inlineStr">
        <is>
          <t>User Exit (SMOD)</t>
        </is>
      </c>
      <c r="B39" s="4" t="n"/>
      <c r="C39" s="68" t="inlineStr">
        <is>
          <t>PCSD0001</t>
        </is>
      </c>
      <c r="D39" s="4" t="n"/>
      <c r="E39" s="69" t="inlineStr">
        <is>
          <t>הרחבת לקוח לעצי מוצר (BOM) - בדיקות פריטים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4" customHeight="1">
      <c r="A40" s="70" t="inlineStr">
        <is>
          <t>User Exit (SMOD)</t>
        </is>
      </c>
      <c r="B40" s="4" t="n"/>
      <c r="C40" s="71" t="inlineStr">
        <is>
          <t>PCSD0002</t>
        </is>
      </c>
      <c r="D40" s="4" t="n"/>
      <c r="E40" s="72" t="inlineStr">
        <is>
          <t>ברירות מחדל לפריטי עץ מוצר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4" customHeight="1">
      <c r="A41" s="67" t="inlineStr">
        <is>
          <t>BAdI (SE18)</t>
        </is>
      </c>
      <c r="B41" s="4" t="n"/>
      <c r="C41" s="68" t="inlineStr">
        <is>
          <t>BOM_UPDATE</t>
        </is>
      </c>
      <c r="D41" s="4" t="n"/>
      <c r="E41" s="69" t="inlineStr">
        <is>
          <t>BAdI לעדכון/בדיקת עצי מוצר (אמת ב-SE18)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4" customHeight="1">
      <c r="A42" s="70" t="inlineStr">
        <is>
          <t>BAdI (SE18)</t>
        </is>
      </c>
      <c r="B42" s="4" t="n"/>
      <c r="C42" s="71" t="inlineStr">
        <is>
          <t>BADI_EAM_TECHNICAL_OBJECT</t>
        </is>
      </c>
      <c r="D42" s="4" t="n"/>
      <c r="E42" s="72" t="inlineStr">
        <is>
          <t>שיוך BOM לאובייקט טכני ב-S/4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4" customHeight="1">
      <c r="A43" s="67" t="inlineStr">
        <is>
          <t>ארכיטקטורה ECC↔S/4</t>
        </is>
      </c>
      <c r="B43" s="4" t="n"/>
      <c r="C43" s="68" t="inlineStr">
        <is>
          <t>—</t>
        </is>
      </c>
      <c r="D43" s="4" t="n"/>
      <c r="E43" s="69" t="inlineStr">
        <is>
          <t>מבני STKO/STPO/MAST/EQST/TPST ללא שינוי; שימוש עץ מוצר 4 (אחזקה) נשמר.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4" customHeight="1">
      <c r="A44" s="70" t="inlineStr">
        <is>
          <t>ארכיטקטורה ECC↔S/4</t>
        </is>
      </c>
      <c r="B44" s="4" t="n"/>
      <c r="C44" s="71" t="inlineStr">
        <is>
          <t>—</t>
        </is>
      </c>
      <c r="D44" s="4" t="n"/>
      <c r="E44" s="72" t="inlineStr">
        <is>
          <t>ב-S/4 ניהול BOM גם דרך Fiori; הארכת אורך חומר משפיעה על IDNRK.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</sheetData>
  <mergeCells count="84">
    <mergeCell ref="E38:P38"/>
    <mergeCell ref="A17:P17"/>
    <mergeCell ref="C11:C15"/>
    <mergeCell ref="H25:H28"/>
    <mergeCell ref="E40:P40"/>
    <mergeCell ref="P18:P22"/>
    <mergeCell ref="A41:B41"/>
    <mergeCell ref="C41:D41"/>
    <mergeCell ref="B4:B8"/>
    <mergeCell ref="A30:P30"/>
    <mergeCell ref="C31:C34"/>
    <mergeCell ref="P4:P8"/>
    <mergeCell ref="K4:K8"/>
    <mergeCell ref="C43:D43"/>
    <mergeCell ref="H4:H8"/>
    <mergeCell ref="L31:L34"/>
    <mergeCell ref="A42:B42"/>
    <mergeCell ref="O18:O22"/>
    <mergeCell ref="E42:P42"/>
    <mergeCell ref="K25:K28"/>
    <mergeCell ref="E44:P44"/>
    <mergeCell ref="A39:B39"/>
    <mergeCell ref="J4:J8"/>
    <mergeCell ref="N25:N28"/>
    <mergeCell ref="P25:P28"/>
    <mergeCell ref="I4:I8"/>
    <mergeCell ref="A10:P10"/>
    <mergeCell ref="O11:O15"/>
    <mergeCell ref="M4:M8"/>
    <mergeCell ref="C40:D40"/>
    <mergeCell ref="H18:H22"/>
    <mergeCell ref="N11:N15"/>
    <mergeCell ref="J18:J22"/>
    <mergeCell ref="E41:P41"/>
    <mergeCell ref="L11:L15"/>
    <mergeCell ref="O31:O34"/>
    <mergeCell ref="E43:P43"/>
    <mergeCell ref="N31:N34"/>
    <mergeCell ref="B11:B15"/>
    <mergeCell ref="A37:P37"/>
    <mergeCell ref="P11:P15"/>
    <mergeCell ref="I18:I22"/>
    <mergeCell ref="P31:P34"/>
    <mergeCell ref="A1:B1"/>
    <mergeCell ref="M18:M22"/>
    <mergeCell ref="K31:K34"/>
    <mergeCell ref="M31:M34"/>
    <mergeCell ref="C44:D44"/>
    <mergeCell ref="M25:M28"/>
    <mergeCell ref="J25:J28"/>
    <mergeCell ref="C4:C8"/>
    <mergeCell ref="L25:L28"/>
    <mergeCell ref="B18:B22"/>
    <mergeCell ref="A38:B38"/>
    <mergeCell ref="C38:D38"/>
    <mergeCell ref="A43:B43"/>
    <mergeCell ref="A3:P3"/>
    <mergeCell ref="A40:B40"/>
    <mergeCell ref="O4:O8"/>
    <mergeCell ref="B31:B34"/>
    <mergeCell ref="L4:L8"/>
    <mergeCell ref="H11:H15"/>
    <mergeCell ref="C42:D42"/>
    <mergeCell ref="J11:J15"/>
    <mergeCell ref="I25:I28"/>
    <mergeCell ref="H31:H34"/>
    <mergeCell ref="C25:C28"/>
    <mergeCell ref="C1:P1"/>
    <mergeCell ref="O25:O28"/>
    <mergeCell ref="K18:K22"/>
    <mergeCell ref="A24:P24"/>
    <mergeCell ref="C18:C22"/>
    <mergeCell ref="I11:I15"/>
    <mergeCell ref="N4:N8"/>
    <mergeCell ref="C39:D39"/>
    <mergeCell ref="J31:J34"/>
    <mergeCell ref="I31:I34"/>
    <mergeCell ref="K11:K15"/>
    <mergeCell ref="M11:M15"/>
    <mergeCell ref="E39:P39"/>
    <mergeCell ref="A44:B44"/>
    <mergeCell ref="B25:B28"/>
    <mergeCell ref="L18:L22"/>
    <mergeCell ref="N18:N22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26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4. נקודות מדידה ומונים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IMPTT  -  רשומת אב של נקודת מדידה / מונה  (Measuring point master)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IK01/IK02/IK03; IK07, IK08</t>
        </is>
      </c>
      <c r="C4" s="43" t="inlineStr">
        <is>
          <t>IMPTT</t>
        </is>
      </c>
      <c r="D4" s="44" t="inlineStr">
        <is>
          <t>POINT</t>
        </is>
      </c>
      <c r="E4" s="45" t="inlineStr">
        <is>
          <t>Measuring point number</t>
        </is>
      </c>
      <c r="F4" s="46" t="inlineStr">
        <is>
          <t>מספר נקודת מדידה</t>
        </is>
      </c>
      <c r="G4" s="47" t="inlineStr">
        <is>
          <t>PK</t>
        </is>
      </c>
      <c r="H4" s="42" t="inlineStr">
        <is>
          <t>• BAPI_MEASUREMENTPOINT_CREATE
• BAPI_MEASUREMENTPOINT_GETLIST
• MEASUREMENT_POINT_READ</t>
        </is>
      </c>
      <c r="I4" s="48" t="inlineStr">
        <is>
          <t>• יצירת נקודת מדידה
• שליפת רשימת נקודות מדידה
• קריאת פרטי נקודת מדידה</t>
        </is>
      </c>
      <c r="J4" s="42" t="inlineStr">
        <is>
          <t>• RIMPOINT</t>
        </is>
      </c>
      <c r="K4" s="48" t="inlineStr">
        <is>
          <t>• רשימת נקודות מדידה ומונים</t>
        </is>
      </c>
      <c r="L4" s="49" t="inlineStr">
        <is>
          <t>ללא שינוי (תואם)</t>
        </is>
      </c>
      <c r="M4" s="49" t="inlineStr">
        <is>
          <t>IMPTT (זהה)</t>
        </is>
      </c>
      <c r="N4" s="49" t="inlineStr">
        <is>
          <t>IK01-03; Fiori</t>
        </is>
      </c>
      <c r="O4" s="43" t="inlineStr">
        <is>
          <t>Manage Measurement Documents (אמת ID)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MPOBJ</t>
        </is>
      </c>
      <c r="E5" s="53" t="inlineStr">
        <is>
          <t>Measuring object (eq./FL)</t>
        </is>
      </c>
      <c r="F5" s="54" t="inlineStr">
        <is>
          <t>אובייקט מדידה</t>
        </is>
      </c>
      <c r="G5" s="59" t="inlineStr">
        <is>
          <t>FK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MPTYP</t>
        </is>
      </c>
      <c r="E6" s="45" t="inlineStr">
        <is>
          <t>Measuring point category</t>
        </is>
      </c>
      <c r="F6" s="46" t="inlineStr">
        <is>
          <t>סוג נקודת מדידה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ATINN</t>
        </is>
      </c>
      <c r="E7" s="53" t="inlineStr">
        <is>
          <t>Internal characteristic</t>
        </is>
      </c>
      <c r="F7" s="54" t="inlineStr">
        <is>
          <t>מאפיין סיווג פנימי</t>
        </is>
      </c>
      <c r="G7" s="59" t="inlineStr">
        <is>
          <t>FK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1" t="n"/>
      <c r="C8" s="51" t="n"/>
      <c r="D8" s="44" t="inlineStr">
        <is>
          <t>INDCT</t>
        </is>
      </c>
      <c r="E8" s="45" t="inlineStr">
        <is>
          <t>Counter direction indicator</t>
        </is>
      </c>
      <c r="F8" s="46" t="inlineStr">
        <is>
          <t>קוד כיוון מונה</t>
        </is>
      </c>
      <c r="G8" s="56" t="inlineStr">
        <is>
          <t>-</t>
        </is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 ht="20" customHeight="1">
      <c r="A9" s="50" t="n">
        <v>6</v>
      </c>
      <c r="B9" s="58" t="n"/>
      <c r="C9" s="58" t="n"/>
      <c r="D9" s="52" t="inlineStr">
        <is>
          <t>DECIM</t>
        </is>
      </c>
      <c r="E9" s="53" t="inlineStr">
        <is>
          <t>Decimal places</t>
        </is>
      </c>
      <c r="F9" s="54" t="inlineStr">
        <is>
          <t>ספרות עשרוניות</t>
        </is>
      </c>
      <c r="G9" s="55" t="inlineStr">
        <is>
          <t>-</t>
        </is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4" customHeight="1">
      <c r="A11" s="40" t="inlineStr">
        <is>
          <t xml:space="preserve">  ◆ טבלה IMRG  -  מסמכי מדידה (קריאות מונה/ערך)  (Measurement documents / readings)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0" customHeight="1">
      <c r="A12" s="41" t="n">
        <v>7</v>
      </c>
      <c r="B12" s="42" t="inlineStr">
        <is>
          <t>IK11/IK12/IK13; IK21, IK41</t>
        </is>
      </c>
      <c r="C12" s="43" t="inlineStr">
        <is>
          <t>IMRG</t>
        </is>
      </c>
      <c r="D12" s="44" t="inlineStr">
        <is>
          <t>MDOCM</t>
        </is>
      </c>
      <c r="E12" s="45" t="inlineStr">
        <is>
          <t>Measurement document number</t>
        </is>
      </c>
      <c r="F12" s="46" t="inlineStr">
        <is>
          <t>מספר מסמך מדידה</t>
        </is>
      </c>
      <c r="G12" s="47" t="inlineStr">
        <is>
          <t>PK</t>
        </is>
      </c>
      <c r="H12" s="42" t="inlineStr">
        <is>
          <t>• BAPI_MEASUREMENTDOCUM_CREATE
• BAPI_MEASUREMENTDOCUM_CREATEM
• MEASUREM_DOCUM_RFC_SINGLE_001</t>
        </is>
      </c>
      <c r="I12" s="48" t="inlineStr">
        <is>
          <t>• יצירת מסמך מדידה
• יצירת מסמכי מדידה מרובים
• קליטת קריאה בודדת RFC</t>
        </is>
      </c>
      <c r="J12" s="42" t="inlineStr">
        <is>
          <t>• RISTRA20</t>
        </is>
      </c>
      <c r="K12" s="48" t="inlineStr">
        <is>
          <t>• ניטור מועדים מבוסס מונה (IP30)</t>
        </is>
      </c>
      <c r="L12" s="49" t="inlineStr">
        <is>
          <t>ללא שינוי (תואם)</t>
        </is>
      </c>
      <c r="M12" s="49" t="inlineStr">
        <is>
          <t>IMRG (זהה)</t>
        </is>
      </c>
      <c r="N12" s="49" t="inlineStr">
        <is>
          <t>IK11-13; Fiori</t>
        </is>
      </c>
      <c r="O12" s="43" t="inlineStr">
        <is>
          <t>Enter Measurement Readings (אמת ID)</t>
        </is>
      </c>
      <c r="P12" s="49" t="inlineStr">
        <is>
          <t>ללא פעולת המרה ייעודית ב-SUM (טבלה תואמת). מומלץ Regression Test ואימות התאמות אישיות לאחר ההמרה.</t>
        </is>
      </c>
    </row>
    <row r="13" ht="20" customHeight="1">
      <c r="A13" s="50" t="n">
        <v>8</v>
      </c>
      <c r="B13" s="51" t="n"/>
      <c r="C13" s="51" t="n"/>
      <c r="D13" s="52" t="inlineStr">
        <is>
          <t>POINT</t>
        </is>
      </c>
      <c r="E13" s="53" t="inlineStr">
        <is>
          <t>Measuring point</t>
        </is>
      </c>
      <c r="F13" s="54" t="inlineStr">
        <is>
          <t>נקודת מדידה</t>
        </is>
      </c>
      <c r="G13" s="59" t="inlineStr">
        <is>
          <t>FK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RECDV</t>
        </is>
      </c>
      <c r="E14" s="45" t="inlineStr">
        <is>
          <t>Measurement reading value</t>
        </is>
      </c>
      <c r="F14" s="46" t="inlineStr">
        <is>
          <t>ערך נמדד</t>
        </is>
      </c>
      <c r="G14" s="56" t="inlineStr">
        <is>
          <t>-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1" t="n"/>
      <c r="C15" s="51" t="n"/>
      <c r="D15" s="52" t="inlineStr">
        <is>
          <t>READG</t>
        </is>
      </c>
      <c r="E15" s="53" t="inlineStr">
        <is>
          <t>Counter reading</t>
        </is>
      </c>
      <c r="F15" s="54" t="inlineStr">
        <is>
          <t>קריאת מונה</t>
        </is>
      </c>
      <c r="G15" s="55" t="inlineStr">
        <is>
          <t>-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20" customHeight="1">
      <c r="A16" s="41" t="n">
        <v>11</v>
      </c>
      <c r="B16" s="51" t="n"/>
      <c r="C16" s="51" t="n"/>
      <c r="D16" s="44" t="inlineStr">
        <is>
          <t>CNTRR</t>
        </is>
      </c>
      <c r="E16" s="45" t="inlineStr">
        <is>
          <t>Counter reading (total)</t>
        </is>
      </c>
      <c r="F16" s="46" t="inlineStr">
        <is>
          <t>קריאה כוללת</t>
        </is>
      </c>
      <c r="G16" s="56" t="inlineStr">
        <is>
          <t>-</t>
        </is>
      </c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</row>
    <row r="17" ht="20" customHeight="1">
      <c r="A17" s="50" t="n">
        <v>12</v>
      </c>
      <c r="B17" s="58" t="n"/>
      <c r="C17" s="58" t="n"/>
      <c r="D17" s="52" t="inlineStr">
        <is>
          <t>CDIFF</t>
        </is>
      </c>
      <c r="E17" s="53" t="inlineStr">
        <is>
          <t>Counter difference</t>
        </is>
      </c>
      <c r="F17" s="54" t="inlineStr">
        <is>
          <t>הפרש מונה</t>
        </is>
      </c>
      <c r="G17" s="55" t="inlineStr">
        <is>
          <t>-</t>
        </is>
      </c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4" customHeight="1">
      <c r="A20" s="40" t="inlineStr">
        <is>
          <t xml:space="preserve">  ⚙ הרחבות טכניות ושינויי ארכיטקטורה (Technical Extensions: User Exits / BAdIs / ECC vs S/4HANA)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66" t="inlineStr">
        <is>
          <t>סוג (Type)</t>
        </is>
      </c>
      <c r="B21" s="4" t="n"/>
      <c r="C21" s="66" t="inlineStr">
        <is>
          <t>קוד / שם טכני (Code)</t>
        </is>
      </c>
      <c r="D21" s="4" t="n"/>
      <c r="E21" s="66" t="inlineStr">
        <is>
          <t>תיאור / הבדל (Hebrew)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4" customHeight="1">
      <c r="A22" s="70" t="inlineStr">
        <is>
          <t>User Exit (SMOD)</t>
        </is>
      </c>
      <c r="B22" s="4" t="n"/>
      <c r="C22" s="71" t="inlineStr">
        <is>
          <t>IMRC0001</t>
        </is>
      </c>
      <c r="D22" s="4" t="n"/>
      <c r="E22" s="72" t="inlineStr">
        <is>
          <t>הרחבת בדיקות בעת קליטת מסמך מדידה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4" customHeight="1">
      <c r="A23" s="67" t="inlineStr">
        <is>
          <t>User Exit (SMOD)</t>
        </is>
      </c>
      <c r="B23" s="4" t="n"/>
      <c r="C23" s="68" t="inlineStr">
        <is>
          <t>IMRC0002</t>
        </is>
      </c>
      <c r="D23" s="4" t="n"/>
      <c r="E23" s="69" t="inlineStr">
        <is>
          <t>לוגיקת העברת קריאות ומונים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4" customHeight="1">
      <c r="A24" s="70" t="inlineStr">
        <is>
          <t>BAdI (SE18)</t>
        </is>
      </c>
      <c r="B24" s="4" t="n"/>
      <c r="C24" s="71" t="inlineStr">
        <is>
          <t>BADI_EAM_MEASPOINT</t>
        </is>
      </c>
      <c r="D24" s="4" t="n"/>
      <c r="E24" s="72" t="inlineStr">
        <is>
          <t>הרחבת נקודות מדידה/מסמכי מדידה (אמת שם ב-SE18)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4" customHeight="1">
      <c r="A25" s="67" t="inlineStr">
        <is>
          <t>ארכיטקטורה ECC↔S/4</t>
        </is>
      </c>
      <c r="B25" s="4" t="n"/>
      <c r="C25" s="68" t="inlineStr">
        <is>
          <t>—</t>
        </is>
      </c>
      <c r="D25" s="4" t="n"/>
      <c r="E25" s="69" t="inlineStr">
        <is>
          <t>IMPTT/IMRG ללא שינוי; לוגיקת גלישת מונה נשמרת.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4" customHeight="1">
      <c r="A26" s="70" t="inlineStr">
        <is>
          <t>ארכיטקטורה ECC↔S/4</t>
        </is>
      </c>
      <c r="B26" s="4" t="n"/>
      <c r="C26" s="71" t="inlineStr">
        <is>
          <t>—</t>
        </is>
      </c>
      <c r="D26" s="4" t="n"/>
      <c r="E26" s="72" t="inlineStr">
        <is>
          <t>ב-S/4 קליטת קריאות אוטומטית דרך IoT/Asset Central ו-Fiori 'Enter Measurement Readings'.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</sheetData>
  <mergeCells count="45">
    <mergeCell ref="M4:M9"/>
    <mergeCell ref="B4:B9"/>
    <mergeCell ref="A24:B24"/>
    <mergeCell ref="C24:D24"/>
    <mergeCell ref="H4:H9"/>
    <mergeCell ref="N4:N9"/>
    <mergeCell ref="P4:P9"/>
    <mergeCell ref="A1:B1"/>
    <mergeCell ref="A20:P20"/>
    <mergeCell ref="C26:D26"/>
    <mergeCell ref="C4:C9"/>
    <mergeCell ref="B12:B17"/>
    <mergeCell ref="A25:B25"/>
    <mergeCell ref="L12:L17"/>
    <mergeCell ref="C25:D25"/>
    <mergeCell ref="O4:O9"/>
    <mergeCell ref="N12:N17"/>
    <mergeCell ref="C1:P1"/>
    <mergeCell ref="C22:D22"/>
    <mergeCell ref="E26:P26"/>
    <mergeCell ref="A11:P11"/>
    <mergeCell ref="A26:B26"/>
    <mergeCell ref="A21:B21"/>
    <mergeCell ref="C21:D21"/>
    <mergeCell ref="C12:C17"/>
    <mergeCell ref="J4:J9"/>
    <mergeCell ref="I12:I17"/>
    <mergeCell ref="E25:P25"/>
    <mergeCell ref="L4:L9"/>
    <mergeCell ref="K12:K17"/>
    <mergeCell ref="M12:M17"/>
    <mergeCell ref="O12:O17"/>
    <mergeCell ref="E22:P22"/>
    <mergeCell ref="A23:B23"/>
    <mergeCell ref="C23:D23"/>
    <mergeCell ref="E21:P21"/>
    <mergeCell ref="A22:B22"/>
    <mergeCell ref="E24:P24"/>
    <mergeCell ref="H12:H17"/>
    <mergeCell ref="I4:I9"/>
    <mergeCell ref="J12:J17"/>
    <mergeCell ref="P12:P17"/>
    <mergeCell ref="E23:P23"/>
    <mergeCell ref="A3:P3"/>
    <mergeCell ref="K4:K9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32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5. קטלוגים, קודים ופרופילים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QPCD  -  קודים בתוך קבוצת קוד  (Codes within a code group)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QS51; QS61</t>
        </is>
      </c>
      <c r="C4" s="43" t="inlineStr">
        <is>
          <t>QPCD</t>
        </is>
      </c>
      <c r="D4" s="44" t="inlineStr">
        <is>
          <t>KATALOGART</t>
        </is>
      </c>
      <c r="E4" s="45" t="inlineStr">
        <is>
          <t>Catalog type (B/C/D/2/5)</t>
        </is>
      </c>
      <c r="F4" s="46" t="inlineStr">
        <is>
          <t>סוג קטלוג</t>
        </is>
      </c>
      <c r="G4" s="47" t="inlineStr">
        <is>
          <t>PK</t>
        </is>
      </c>
      <c r="H4" s="42" t="inlineStr">
        <is>
          <t>• QPK1_CODE_TEXT_READ
• QPK1_CATALOG_READ</t>
        </is>
      </c>
      <c r="I4" s="48" t="inlineStr">
        <is>
          <t>• קריאת קוד וטקסט
• קריאת קטלוג</t>
        </is>
      </c>
      <c r="J4" s="42" t="inlineStr">
        <is>
          <t>• RQEEAW01</t>
        </is>
      </c>
      <c r="K4" s="48" t="inlineStr">
        <is>
          <t>• סקירת מבנה קטלוגים</t>
        </is>
      </c>
      <c r="L4" s="49" t="inlineStr">
        <is>
          <t>ללא שינוי (Customizing/Master תואם)</t>
        </is>
      </c>
      <c r="M4" s="49" t="inlineStr">
        <is>
          <t>QPCD (זהה)</t>
        </is>
      </c>
      <c r="N4" s="49" t="inlineStr">
        <is>
          <t>QS41/QS51 (זהה)</t>
        </is>
      </c>
      <c r="O4" s="43" t="inlineStr">
        <is>
          <t>אין Fiori ייעודי (Customizing)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CODEGRUPPE</t>
        </is>
      </c>
      <c r="E5" s="53" t="inlineStr">
        <is>
          <t>Code group</t>
        </is>
      </c>
      <c r="F5" s="54" t="inlineStr">
        <is>
          <t>קבוצת קוד</t>
        </is>
      </c>
      <c r="G5" s="62" t="inlineStr">
        <is>
          <t>PK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CODE</t>
        </is>
      </c>
      <c r="E6" s="45" t="inlineStr">
        <is>
          <t>Code</t>
        </is>
      </c>
      <c r="F6" s="46" t="inlineStr">
        <is>
          <t>קוד</t>
        </is>
      </c>
      <c r="G6" s="47" t="inlineStr">
        <is>
          <t>PK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8" t="n"/>
      <c r="C7" s="58" t="n"/>
      <c r="D7" s="52" t="inlineStr">
        <is>
          <t>VERSION</t>
        </is>
      </c>
      <c r="E7" s="53" t="inlineStr">
        <is>
          <t>Code version</t>
        </is>
      </c>
      <c r="F7" s="54" t="inlineStr">
        <is>
          <t>גרסת קוד</t>
        </is>
      </c>
      <c r="G7" s="62" t="inlineStr">
        <is>
          <t>PK</t>
        </is>
      </c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24" customHeight="1">
      <c r="A9" s="40" t="inlineStr">
        <is>
          <t xml:space="preserve">  ◆ טבלה QPGR  -  קבוצות קוד (במקום QPCR הלא-תקני)  (Code groups (correct table))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0" customHeight="1">
      <c r="A10" s="41" t="n">
        <v>5</v>
      </c>
      <c r="B10" s="42" t="inlineStr">
        <is>
          <t>QS51; QS61</t>
        </is>
      </c>
      <c r="C10" s="43" t="inlineStr">
        <is>
          <t>QPGR</t>
        </is>
      </c>
      <c r="D10" s="44" t="inlineStr">
        <is>
          <t>KATALOGART</t>
        </is>
      </c>
      <c r="E10" s="45" t="inlineStr">
        <is>
          <t>Catalog type</t>
        </is>
      </c>
      <c r="F10" s="46" t="inlineStr">
        <is>
          <t>סוג קטלוג</t>
        </is>
      </c>
      <c r="G10" s="47" t="inlineStr">
        <is>
          <t>PK</t>
        </is>
      </c>
      <c r="H10" s="42" t="inlineStr">
        <is>
          <t>• QPK1_CODEGROUP_READ</t>
        </is>
      </c>
      <c r="I10" s="48" t="inlineStr">
        <is>
          <t>• קריאת קבוצת קוד</t>
        </is>
      </c>
      <c r="J10" s="42" t="inlineStr">
        <is>
          <t>• RQEEAW02</t>
        </is>
      </c>
      <c r="K10" s="48" t="inlineStr">
        <is>
          <t>• דוח קבוצות קוד וקודים</t>
        </is>
      </c>
      <c r="L10" s="49" t="inlineStr">
        <is>
          <t>ללא שינוי (תואם)</t>
        </is>
      </c>
      <c r="M10" s="49" t="inlineStr">
        <is>
          <t>QPGR (זהה)</t>
        </is>
      </c>
      <c r="N10" s="49" t="inlineStr">
        <is>
          <t>QS51 (זהה)</t>
        </is>
      </c>
      <c r="O10" s="43" t="inlineStr">
        <is>
          <t>אין Fiori ייעודי (Customizing)</t>
        </is>
      </c>
      <c r="P10" s="49" t="inlineStr">
        <is>
          <t>ללא פעולת המרה ייעודית ב-SUM (טבלה תואמת). מומלץ Regression Test ואימות התאמות אישיות לאחר ההמרה.</t>
        </is>
      </c>
    </row>
    <row r="11" ht="20" customHeight="1">
      <c r="A11" s="50" t="n">
        <v>6</v>
      </c>
      <c r="B11" s="51" t="n"/>
      <c r="C11" s="51" t="n"/>
      <c r="D11" s="52" t="inlineStr">
        <is>
          <t>CODEGRUPPE</t>
        </is>
      </c>
      <c r="E11" s="53" t="inlineStr">
        <is>
          <t>Code group</t>
        </is>
      </c>
      <c r="F11" s="54" t="inlineStr">
        <is>
          <t>קבוצת קוד</t>
        </is>
      </c>
      <c r="G11" s="62" t="inlineStr">
        <is>
          <t>PK</t>
        </is>
      </c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</row>
    <row r="12" ht="20" customHeight="1">
      <c r="A12" s="41" t="n">
        <v>7</v>
      </c>
      <c r="B12" s="51" t="n"/>
      <c r="C12" s="51" t="n"/>
      <c r="D12" s="44" t="inlineStr">
        <is>
          <t>STATUS</t>
        </is>
      </c>
      <c r="E12" s="45" t="inlineStr">
        <is>
          <t>Code group status</t>
        </is>
      </c>
      <c r="F12" s="46" t="inlineStr">
        <is>
          <t>סטטוס קבוצה</t>
        </is>
      </c>
      <c r="G12" s="56" t="inlineStr">
        <is>
          <t>-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8" t="n"/>
      <c r="C13" s="58" t="n"/>
      <c r="D13" s="52" t="inlineStr">
        <is>
          <t>VERWMERKM</t>
        </is>
      </c>
      <c r="E13" s="53" t="inlineStr">
        <is>
          <t>Selection set usage</t>
        </is>
      </c>
      <c r="F13" s="54" t="inlineStr">
        <is>
          <t>שימוש בקבוצת בחירה</t>
        </is>
      </c>
      <c r="G13" s="55" t="inlineStr">
        <is>
          <t>-</t>
        </is>
      </c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4" customHeight="1">
      <c r="A15" s="40" t="inlineStr">
        <is>
          <t xml:space="preserve">  ◆ טבלה T352B  -  שיוך פרופיל קטלוג לקבוצות בחירה  (Catalog profile to selection-set link)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0" customHeight="1">
      <c r="A16" s="41" t="n">
        <v>9</v>
      </c>
      <c r="B16" s="42" t="inlineStr">
        <is>
          <t>OIM1; OIN4</t>
        </is>
      </c>
      <c r="C16" s="43" t="inlineStr">
        <is>
          <t>T352B</t>
        </is>
      </c>
      <c r="D16" s="44" t="inlineStr">
        <is>
          <t>RBNR</t>
        </is>
      </c>
      <c r="E16" s="45" t="inlineStr">
        <is>
          <t>Catalog profile</t>
        </is>
      </c>
      <c r="F16" s="46" t="inlineStr">
        <is>
          <t>פרופיל קטלוג</t>
        </is>
      </c>
      <c r="G16" s="47" t="inlineStr">
        <is>
          <t>PK</t>
        </is>
      </c>
      <c r="H16" s="42" t="inlineStr">
        <is>
          <t>• CATALOG_PROFILE_READ</t>
        </is>
      </c>
      <c r="I16" s="48" t="inlineStr">
        <is>
          <t>• קריאת פרופיל קטלוג</t>
        </is>
      </c>
      <c r="J16" s="42" t="inlineStr">
        <is>
          <t>• RIPROFCAT</t>
        </is>
      </c>
      <c r="K16" s="48" t="inlineStr">
        <is>
          <t>• ניתוח פרופילי קטלוג ושיוכם</t>
        </is>
      </c>
      <c r="L16" s="49" t="inlineStr">
        <is>
          <t>ללא שינוי (Customizing תואם)</t>
        </is>
      </c>
      <c r="M16" s="49" t="inlineStr">
        <is>
          <t>T352B (זהה)</t>
        </is>
      </c>
      <c r="N16" s="49" t="inlineStr">
        <is>
          <t>SPRO (זהה)</t>
        </is>
      </c>
      <c r="O16" s="43" t="inlineStr">
        <is>
          <t>אין Fiori ייעודי (Customizing)</t>
        </is>
      </c>
      <c r="P16" s="49" t="inlineStr">
        <is>
          <t>ללא פעולת המרה ייעודית ב-SUM (טבלה תואמת). מומלץ Regression Test ואימות התאמות אישיות לאחר ההמרה.</t>
        </is>
      </c>
    </row>
    <row r="17" ht="20" customHeight="1">
      <c r="A17" s="50" t="n">
        <v>10</v>
      </c>
      <c r="B17" s="51" t="n"/>
      <c r="C17" s="51" t="n"/>
      <c r="D17" s="52" t="inlineStr">
        <is>
          <t>KATALOGART</t>
        </is>
      </c>
      <c r="E17" s="53" t="inlineStr">
        <is>
          <t>Catalog type</t>
        </is>
      </c>
      <c r="F17" s="54" t="inlineStr">
        <is>
          <t>סוג קטלוג</t>
        </is>
      </c>
      <c r="G17" s="62" t="inlineStr">
        <is>
          <t>PK</t>
        </is>
      </c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</row>
    <row r="18" ht="20" customHeight="1">
      <c r="A18" s="41" t="n">
        <v>11</v>
      </c>
      <c r="B18" s="51" t="n"/>
      <c r="C18" s="51" t="n"/>
      <c r="D18" s="44" t="inlineStr">
        <is>
          <t>CODEGRUPPE</t>
        </is>
      </c>
      <c r="E18" s="45" t="inlineStr">
        <is>
          <t>Allowed code group</t>
        </is>
      </c>
      <c r="F18" s="46" t="inlineStr">
        <is>
          <t>קבוצת קוד מותרת</t>
        </is>
      </c>
      <c r="G18" s="57" t="inlineStr">
        <is>
          <t>FK</t>
        </is>
      </c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0" customHeight="1">
      <c r="A19" s="50" t="n">
        <v>12</v>
      </c>
      <c r="B19" s="58" t="n"/>
      <c r="C19" s="58" t="n"/>
      <c r="D19" s="52" t="inlineStr">
        <is>
          <t>AUSWMENGEN</t>
        </is>
      </c>
      <c r="E19" s="53" t="inlineStr">
        <is>
          <t>Selection set</t>
        </is>
      </c>
      <c r="F19" s="54" t="inlineStr">
        <is>
          <t>קבוצת בחירה</t>
        </is>
      </c>
      <c r="G19" s="55" t="inlineStr">
        <is>
          <t>-</t>
        </is>
      </c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4" customHeight="1">
      <c r="A21" s="40" t="inlineStr">
        <is>
          <t xml:space="preserve">  ◆ טבלה T352  -  פרופיל קטלוג (כותרת)  (Catalog profile header)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0" customHeight="1">
      <c r="A22" s="41" t="n">
        <v>13</v>
      </c>
      <c r="B22" s="42" t="inlineStr">
        <is>
          <t>OIM1; QCC0</t>
        </is>
      </c>
      <c r="C22" s="43" t="inlineStr">
        <is>
          <t>T352</t>
        </is>
      </c>
      <c r="D22" s="44" t="inlineStr">
        <is>
          <t>RBNR</t>
        </is>
      </c>
      <c r="E22" s="45" t="inlineStr">
        <is>
          <t>Catalog profile</t>
        </is>
      </c>
      <c r="F22" s="46" t="inlineStr">
        <is>
          <t>פרופיל קטלוג</t>
        </is>
      </c>
      <c r="G22" s="47" t="inlineStr">
        <is>
          <t>PK</t>
        </is>
      </c>
      <c r="H22" s="42" t="inlineStr">
        <is>
          <t>• T352_READ</t>
        </is>
      </c>
      <c r="I22" s="48" t="inlineStr">
        <is>
          <t>• קריאת פרופיל קטלוג</t>
        </is>
      </c>
      <c r="J22" s="42" t="inlineStr">
        <is>
          <t>• RIPROFCAT</t>
        </is>
      </c>
      <c r="K22" s="48" t="inlineStr">
        <is>
          <t>• ניתוח פרופילי קטלוג</t>
        </is>
      </c>
      <c r="L22" s="49" t="inlineStr">
        <is>
          <t>ללא שינוי (Customizing תואם)</t>
        </is>
      </c>
      <c r="M22" s="49" t="inlineStr">
        <is>
          <t>T352 (זהה)</t>
        </is>
      </c>
      <c r="N22" s="49" t="inlineStr">
        <is>
          <t>SPRO (זהה)</t>
        </is>
      </c>
      <c r="O22" s="43" t="inlineStr">
        <is>
          <t>אין Fiori ייעודי (Customizing)</t>
        </is>
      </c>
      <c r="P22" s="49" t="inlineStr">
        <is>
          <t>ללא פעולת המרה ייעודית ב-SUM (טבלה תואמת). מומלץ Regression Test ואימות התאמות אישיות לאחר ההמרה.</t>
        </is>
      </c>
    </row>
    <row r="23" ht="20" customHeight="1">
      <c r="A23" s="50" t="n">
        <v>14</v>
      </c>
      <c r="B23" s="51" t="n"/>
      <c r="C23" s="51" t="n"/>
      <c r="D23" s="52" t="inlineStr">
        <is>
          <t>HERKZ</t>
        </is>
      </c>
      <c r="E23" s="53" t="inlineStr">
        <is>
          <t>Origin indicator</t>
        </is>
      </c>
      <c r="F23" s="54" t="inlineStr">
        <is>
          <t>מחוון מקור</t>
        </is>
      </c>
      <c r="G23" s="55" t="inlineStr">
        <is>
          <t>-</t>
        </is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 ht="20" customHeight="1">
      <c r="A24" s="41" t="n">
        <v>15</v>
      </c>
      <c r="B24" s="58" t="n"/>
      <c r="C24" s="58" t="n"/>
      <c r="D24" s="44" t="inlineStr">
        <is>
          <t>RBNRX</t>
        </is>
      </c>
      <c r="E24" s="45" t="inlineStr">
        <is>
          <t>Profile description</t>
        </is>
      </c>
      <c r="F24" s="46" t="inlineStr">
        <is>
          <t>תיאור פרופיל</t>
        </is>
      </c>
      <c r="G24" s="56" t="inlineStr">
        <is>
          <t>-</t>
        </is>
      </c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4" customHeight="1">
      <c r="A27" s="40" t="inlineStr">
        <is>
          <t xml:space="preserve">  ⚙ הרחבות טכניות ושינויי ארכיטקטורה (Technical Extensions: User Exits / BAdIs / ECC vs S/4HANA)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66" t="inlineStr">
        <is>
          <t>סוג (Type)</t>
        </is>
      </c>
      <c r="B28" s="4" t="n"/>
      <c r="C28" s="66" t="inlineStr">
        <is>
          <t>קוד / שם טכני (Code)</t>
        </is>
      </c>
      <c r="D28" s="4" t="n"/>
      <c r="E28" s="66" t="inlineStr">
        <is>
          <t>תיאור / הבדל (Hebrew)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4" customHeight="1">
      <c r="A29" s="67" t="inlineStr">
        <is>
          <t>User Exit (SMOD)</t>
        </is>
      </c>
      <c r="B29" s="4" t="n"/>
      <c r="C29" s="68" t="inlineStr">
        <is>
          <t>QQMA0001</t>
        </is>
      </c>
      <c r="D29" s="4" t="n"/>
      <c r="E29" s="69" t="inlineStr">
        <is>
          <t>בדיקות כלליות בקטלוגים/קודים (משותף QM-PM)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4" customHeight="1">
      <c r="A30" s="70" t="inlineStr">
        <is>
          <t>BAdI (SE18)</t>
        </is>
      </c>
      <c r="B30" s="4" t="n"/>
      <c r="C30" s="71" t="inlineStr">
        <is>
          <t>BADI_CATALOG</t>
        </is>
      </c>
      <c r="D30" s="4" t="n"/>
      <c r="E30" s="72" t="inlineStr">
        <is>
          <t>הרחבת לוגיקת קטלוגים (אמת שם ב-SE18)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4" customHeight="1">
      <c r="A31" s="67" t="inlineStr">
        <is>
          <t>ארכיטקטורה ECC↔S/4</t>
        </is>
      </c>
      <c r="B31" s="4" t="n"/>
      <c r="C31" s="68" t="inlineStr">
        <is>
          <t>—</t>
        </is>
      </c>
      <c r="D31" s="4" t="n"/>
      <c r="E31" s="69" t="inlineStr">
        <is>
          <t>קטלוגים, קבוצות קוד ופרופילי קטלוג (T352/T352B) ללא שינוי מבני.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4" customHeight="1">
      <c r="A32" s="70" t="inlineStr">
        <is>
          <t>ארכיטקטורה ECC↔S/4</t>
        </is>
      </c>
      <c r="B32" s="4" t="n"/>
      <c r="C32" s="71" t="inlineStr">
        <is>
          <t>—</t>
        </is>
      </c>
      <c r="D32" s="4" t="n"/>
      <c r="E32" s="72" t="inlineStr">
        <is>
          <t>ב-S/4 הקונפיגורציה זהה; ניהול דרך SPRO.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</sheetData>
  <mergeCells count="66">
    <mergeCell ref="A31:B31"/>
    <mergeCell ref="H22:H24"/>
    <mergeCell ref="A30:B30"/>
    <mergeCell ref="H4:H7"/>
    <mergeCell ref="N4:N7"/>
    <mergeCell ref="C30:D30"/>
    <mergeCell ref="E28:P28"/>
    <mergeCell ref="P4:P7"/>
    <mergeCell ref="L16:L19"/>
    <mergeCell ref="H10:H13"/>
    <mergeCell ref="E31:P31"/>
    <mergeCell ref="N16:N19"/>
    <mergeCell ref="A1:B1"/>
    <mergeCell ref="J10:J13"/>
    <mergeCell ref="I16:I19"/>
    <mergeCell ref="C22:C24"/>
    <mergeCell ref="J22:J24"/>
    <mergeCell ref="L22:L24"/>
    <mergeCell ref="C10:C13"/>
    <mergeCell ref="M10:M13"/>
    <mergeCell ref="E30:P30"/>
    <mergeCell ref="C4:C7"/>
    <mergeCell ref="C29:D29"/>
    <mergeCell ref="O4:O7"/>
    <mergeCell ref="A9:P9"/>
    <mergeCell ref="C16:C19"/>
    <mergeCell ref="C1:P1"/>
    <mergeCell ref="M16:M19"/>
    <mergeCell ref="O16:O19"/>
    <mergeCell ref="C31:D31"/>
    <mergeCell ref="A15:P15"/>
    <mergeCell ref="P16:P19"/>
    <mergeCell ref="B10:B13"/>
    <mergeCell ref="B22:B24"/>
    <mergeCell ref="L10:L13"/>
    <mergeCell ref="J4:J7"/>
    <mergeCell ref="E32:P32"/>
    <mergeCell ref="L4:L7"/>
    <mergeCell ref="H16:H19"/>
    <mergeCell ref="A32:B32"/>
    <mergeCell ref="J16:J19"/>
    <mergeCell ref="N10:N13"/>
    <mergeCell ref="N22:N24"/>
    <mergeCell ref="P22:P24"/>
    <mergeCell ref="I10:I13"/>
    <mergeCell ref="I22:I24"/>
    <mergeCell ref="K10:K13"/>
    <mergeCell ref="I4:I7"/>
    <mergeCell ref="K22:K24"/>
    <mergeCell ref="K4:K7"/>
    <mergeCell ref="M22:M24"/>
    <mergeCell ref="A29:B29"/>
    <mergeCell ref="M4:M7"/>
    <mergeCell ref="B4:B7"/>
    <mergeCell ref="A21:P21"/>
    <mergeCell ref="A27:P27"/>
    <mergeCell ref="C32:D32"/>
    <mergeCell ref="A28:B28"/>
    <mergeCell ref="C28:D28"/>
    <mergeCell ref="A3:P3"/>
    <mergeCell ref="K16:K19"/>
    <mergeCell ref="B16:B19"/>
    <mergeCell ref="O10:O13"/>
    <mergeCell ref="O22:O24"/>
    <mergeCell ref="P10:P13"/>
    <mergeCell ref="E29:P29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P5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6. הודעות אחזקה (Notifications)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QMEL  -  כותרת הודעת אחזקה  (Notification header)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IW21/IW22/IW23; IW24, IW28/IW29</t>
        </is>
      </c>
      <c r="C4" s="43" t="inlineStr">
        <is>
          <t>QMEL</t>
        </is>
      </c>
      <c r="D4" s="44" t="inlineStr">
        <is>
          <t>QMNUM</t>
        </is>
      </c>
      <c r="E4" s="45" t="inlineStr">
        <is>
          <t>Notification number</t>
        </is>
      </c>
      <c r="F4" s="46" t="inlineStr">
        <is>
          <t>מספר הודעה</t>
        </is>
      </c>
      <c r="G4" s="47" t="inlineStr">
        <is>
          <t>PK</t>
        </is>
      </c>
      <c r="H4" s="42" t="inlineStr">
        <is>
          <t>• BAPI_ALM_NOTIF_CREATE
• BAPI_ALM_NOTIF_DATA_ADD
• BAPI_ALM_NOTIF_SAVE
• BAPI_ALM_NOTIF_CLOSE
• BAPI_ALM_NOTIF_GET_DETAIL</t>
        </is>
      </c>
      <c r="I4" s="48" t="inlineStr">
        <is>
          <t>• יצירת הודעה דרך ממשק תקני
• הוספת פריט/סיבה/פעילות
• שמירת ההודעה
• סגירת ההודעה
• שליפת פרטי הודעה מלאים</t>
        </is>
      </c>
      <c r="J4" s="42" t="inlineStr">
        <is>
          <t>• RIQMEL20
• RIQMEL00</t>
        </is>
      </c>
      <c r="K4" s="48" t="inlineStr">
        <is>
          <t>• רשימת הודעות (IW28/29)
• ניתוח דפוסי כשל</t>
        </is>
      </c>
      <c r="L4" s="49" t="inlineStr">
        <is>
          <t>ללא שינוי במודל הנתונים (תואם)</t>
        </is>
      </c>
      <c r="M4" s="49" t="inlineStr">
        <is>
          <t>QMEL (זהה)</t>
        </is>
      </c>
      <c r="N4" s="49" t="inlineStr">
        <is>
          <t>IW21-23 נתמכים; אסטרטגי: Fiori</t>
        </is>
      </c>
      <c r="O4" s="43" t="inlineStr">
        <is>
          <t>Report Malfunction (F2215)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QMART</t>
        </is>
      </c>
      <c r="E5" s="53" t="inlineStr">
        <is>
          <t>Notification type (M1/M2/M3)</t>
        </is>
      </c>
      <c r="F5" s="54" t="inlineStr">
        <is>
          <t>סוג הודעה</t>
        </is>
      </c>
      <c r="G5" s="59" t="inlineStr">
        <is>
          <t>FK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QMTXT</t>
        </is>
      </c>
      <c r="E6" s="45" t="inlineStr">
        <is>
          <t>Notification short text</t>
        </is>
      </c>
      <c r="F6" s="46" t="inlineStr">
        <is>
          <t>תיאור קצר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EQUNR</t>
        </is>
      </c>
      <c r="E7" s="53" t="inlineStr">
        <is>
          <t>Reference equipment</t>
        </is>
      </c>
      <c r="F7" s="54" t="inlineStr">
        <is>
          <t>ציוד מתייחס</t>
        </is>
      </c>
      <c r="G7" s="59" t="inlineStr">
        <is>
          <t>FK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1" t="n"/>
      <c r="C8" s="51" t="n"/>
      <c r="D8" s="44" t="inlineStr">
        <is>
          <t>TPLNR</t>
        </is>
      </c>
      <c r="E8" s="45" t="inlineStr">
        <is>
          <t>Reference functional location</t>
        </is>
      </c>
      <c r="F8" s="46" t="inlineStr">
        <is>
          <t>מיקום מתייחס</t>
        </is>
      </c>
      <c r="G8" s="57" t="inlineStr">
        <is>
          <t>FK</t>
        </is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 ht="20" customHeight="1">
      <c r="A9" s="50" t="n">
        <v>6</v>
      </c>
      <c r="B9" s="58" t="n"/>
      <c r="C9" s="58" t="n"/>
      <c r="D9" s="52" t="inlineStr">
        <is>
          <t>OBJNR</t>
        </is>
      </c>
      <c r="E9" s="53" t="inlineStr">
        <is>
          <t>Object number (status)</t>
        </is>
      </c>
      <c r="F9" s="54" t="inlineStr">
        <is>
          <t>מפתח אובייקט לסטטוס</t>
        </is>
      </c>
      <c r="G9" s="59" t="inlineStr">
        <is>
          <t>FK</t>
        </is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4" customHeight="1">
      <c r="A11" s="40" t="inlineStr">
        <is>
          <t xml:space="preserve">  ◆ טבלה QMFE  -  פריטי הודעה (ליקויים)  (Notification items (damage))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0" customHeight="1">
      <c r="A12" s="41" t="n">
        <v>7</v>
      </c>
      <c r="B12" s="42" t="inlineStr">
        <is>
          <t>IW22; IW66</t>
        </is>
      </c>
      <c r="C12" s="43" t="inlineStr">
        <is>
          <t>QMFE</t>
        </is>
      </c>
      <c r="D12" s="44" t="inlineStr">
        <is>
          <t>QMNUM</t>
        </is>
      </c>
      <c r="E12" s="45" t="inlineStr">
        <is>
          <t>Notification number</t>
        </is>
      </c>
      <c r="F12" s="46" t="inlineStr">
        <is>
          <t>מספר הודעה</t>
        </is>
      </c>
      <c r="G12" s="47" t="inlineStr">
        <is>
          <t>PK/FK</t>
        </is>
      </c>
      <c r="H12" s="42" t="inlineStr">
        <is>
          <t>• BAPI_ALM_NOTIF_DATA_ADD
• NOTIF_ITEM_READ</t>
        </is>
      </c>
      <c r="I12" s="48" t="inlineStr">
        <is>
          <t>• הוספת פריט ליקוי
• קריאת פריטי הודעה</t>
        </is>
      </c>
      <c r="J12" s="42" t="inlineStr">
        <is>
          <t>• RIQMEL00</t>
        </is>
      </c>
      <c r="K12" s="48" t="inlineStr">
        <is>
          <t>• ניתוח פריטי ליקוי ודפוסי כשל</t>
        </is>
      </c>
      <c r="L12" s="49" t="inlineStr">
        <is>
          <t>ללא שינוי (תואם)</t>
        </is>
      </c>
      <c r="M12" s="49" t="inlineStr">
        <is>
          <t>QMFE (זהה)</t>
        </is>
      </c>
      <c r="N12" s="49" t="inlineStr">
        <is>
          <t>IW22; Fiori</t>
        </is>
      </c>
      <c r="O12" s="43" t="inlineStr">
        <is>
          <t>Find Maintenance Notification (אמת ID)</t>
        </is>
      </c>
      <c r="P12" s="49" t="inlineStr">
        <is>
          <t>ללא פעולת המרה ייעודית ב-SUM (טבלה תואמת). מומלץ Regression Test ואימות התאמות אישיות לאחר ההמרה.</t>
        </is>
      </c>
    </row>
    <row r="13" ht="20" customHeight="1">
      <c r="A13" s="50" t="n">
        <v>8</v>
      </c>
      <c r="B13" s="51" t="n"/>
      <c r="C13" s="51" t="n"/>
      <c r="D13" s="52" t="inlineStr">
        <is>
          <t>FENUM</t>
        </is>
      </c>
      <c r="E13" s="53" t="inlineStr">
        <is>
          <t>Item number</t>
        </is>
      </c>
      <c r="F13" s="54" t="inlineStr">
        <is>
          <t>מספר פריט</t>
        </is>
      </c>
      <c r="G13" s="62" t="inlineStr">
        <is>
          <t>PK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FEGRP</t>
        </is>
      </c>
      <c r="E14" s="45" t="inlineStr">
        <is>
          <t>Damage code group</t>
        </is>
      </c>
      <c r="F14" s="46" t="inlineStr">
        <is>
          <t>קבוצת קוד ליקוי</t>
        </is>
      </c>
      <c r="G14" s="56" t="inlineStr">
        <is>
          <t>-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1" t="n"/>
      <c r="C15" s="51" t="n"/>
      <c r="D15" s="52" t="inlineStr">
        <is>
          <t>FECOD</t>
        </is>
      </c>
      <c r="E15" s="53" t="inlineStr">
        <is>
          <t>Damage code</t>
        </is>
      </c>
      <c r="F15" s="54" t="inlineStr">
        <is>
          <t>קוד ליקוי</t>
        </is>
      </c>
      <c r="G15" s="55" t="inlineStr">
        <is>
          <t>-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20" customHeight="1">
      <c r="A16" s="41" t="n">
        <v>11</v>
      </c>
      <c r="B16" s="51" t="n"/>
      <c r="C16" s="51" t="n"/>
      <c r="D16" s="44" t="inlineStr">
        <is>
          <t>OTGRP</t>
        </is>
      </c>
      <c r="E16" s="45" t="inlineStr">
        <is>
          <t>Object part code group</t>
        </is>
      </c>
      <c r="F16" s="46" t="inlineStr">
        <is>
          <t>קבוצת אובייקט חלקי</t>
        </is>
      </c>
      <c r="G16" s="56" t="inlineStr">
        <is>
          <t>-</t>
        </is>
      </c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</row>
    <row r="17" ht="20" customHeight="1">
      <c r="A17" s="50" t="n">
        <v>12</v>
      </c>
      <c r="B17" s="58" t="n"/>
      <c r="C17" s="58" t="n"/>
      <c r="D17" s="52" t="inlineStr">
        <is>
          <t>OTEIL</t>
        </is>
      </c>
      <c r="E17" s="53" t="inlineStr">
        <is>
          <t>Object part code</t>
        </is>
      </c>
      <c r="F17" s="54" t="inlineStr">
        <is>
          <t>קוד אובייקט חלקי</t>
        </is>
      </c>
      <c r="G17" s="55" t="inlineStr">
        <is>
          <t>-</t>
        </is>
      </c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4" customHeight="1">
      <c r="A19" s="40" t="inlineStr">
        <is>
          <t xml:space="preserve">  ◆ טבלה QMUR  -  סיבות לליקוי  (Notification causes)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0" customHeight="1">
      <c r="A20" s="41" t="n">
        <v>13</v>
      </c>
      <c r="B20" s="42" t="inlineStr">
        <is>
          <t>IW22; IW67</t>
        </is>
      </c>
      <c r="C20" s="43" t="inlineStr">
        <is>
          <t>QMUR</t>
        </is>
      </c>
      <c r="D20" s="44" t="inlineStr">
        <is>
          <t>QMNUM</t>
        </is>
      </c>
      <c r="E20" s="45" t="inlineStr">
        <is>
          <t>Notification number</t>
        </is>
      </c>
      <c r="F20" s="46" t="inlineStr">
        <is>
          <t>מספר הודעה</t>
        </is>
      </c>
      <c r="G20" s="47" t="inlineStr">
        <is>
          <t>PK/FK</t>
        </is>
      </c>
      <c r="H20" s="42" t="inlineStr">
        <is>
          <t>• NOTIF_CAUSE_READ</t>
        </is>
      </c>
      <c r="I20" s="48" t="inlineStr">
        <is>
          <t>• קריאת סיבות הליקוי</t>
        </is>
      </c>
      <c r="J20" s="42" t="inlineStr">
        <is>
          <t>• RIQMUR00</t>
        </is>
      </c>
      <c r="K20" s="48" t="inlineStr">
        <is>
          <t>• דוח סיבות לניתוח שורש (RCA)</t>
        </is>
      </c>
      <c r="L20" s="49" t="inlineStr">
        <is>
          <t>ללא שינוי (תואם)</t>
        </is>
      </c>
      <c r="M20" s="49" t="inlineStr">
        <is>
          <t>QMUR (זהה)</t>
        </is>
      </c>
      <c r="N20" s="49" t="inlineStr">
        <is>
          <t>IW22; Fiori</t>
        </is>
      </c>
      <c r="O20" s="43" t="inlineStr">
        <is>
          <t>Find Maintenance Notification (אמת ID)</t>
        </is>
      </c>
      <c r="P20" s="49" t="inlineStr">
        <is>
          <t>ללא פעולת המרה ייעודית ב-SUM (טבלה תואמת). מומלץ Regression Test ואימות התאמות אישיות לאחר ההמרה.</t>
        </is>
      </c>
    </row>
    <row r="21" ht="20" customHeight="1">
      <c r="A21" s="50" t="n">
        <v>14</v>
      </c>
      <c r="B21" s="51" t="n"/>
      <c r="C21" s="51" t="n"/>
      <c r="D21" s="52" t="inlineStr">
        <is>
          <t>FENUM</t>
        </is>
      </c>
      <c r="E21" s="53" t="inlineStr">
        <is>
          <t>Item number</t>
        </is>
      </c>
      <c r="F21" s="54" t="inlineStr">
        <is>
          <t>מספר פריט</t>
        </is>
      </c>
      <c r="G21" s="62" t="inlineStr">
        <is>
          <t>PK/FK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 ht="20" customHeight="1">
      <c r="A22" s="41" t="n">
        <v>15</v>
      </c>
      <c r="B22" s="51" t="n"/>
      <c r="C22" s="51" t="n"/>
      <c r="D22" s="44" t="inlineStr">
        <is>
          <t>URNUM</t>
        </is>
      </c>
      <c r="E22" s="45" t="inlineStr">
        <is>
          <t>Cause number</t>
        </is>
      </c>
      <c r="F22" s="46" t="inlineStr">
        <is>
          <t>מספר סיבה</t>
        </is>
      </c>
      <c r="G22" s="47" t="inlineStr">
        <is>
          <t>PK</t>
        </is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20" customHeight="1">
      <c r="A23" s="50" t="n">
        <v>16</v>
      </c>
      <c r="B23" s="51" t="n"/>
      <c r="C23" s="51" t="n"/>
      <c r="D23" s="52" t="inlineStr">
        <is>
          <t>URGRP</t>
        </is>
      </c>
      <c r="E23" s="53" t="inlineStr">
        <is>
          <t>Cause code group</t>
        </is>
      </c>
      <c r="F23" s="54" t="inlineStr">
        <is>
          <t>קבוצת קוד סיבה</t>
        </is>
      </c>
      <c r="G23" s="55" t="inlineStr">
        <is>
          <t>-</t>
        </is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 ht="20" customHeight="1">
      <c r="A24" s="41" t="n">
        <v>17</v>
      </c>
      <c r="B24" s="58" t="n"/>
      <c r="C24" s="58" t="n"/>
      <c r="D24" s="44" t="inlineStr">
        <is>
          <t>URCOD</t>
        </is>
      </c>
      <c r="E24" s="45" t="inlineStr">
        <is>
          <t>Cause code</t>
        </is>
      </c>
      <c r="F24" s="46" t="inlineStr">
        <is>
          <t>קוד סיבה</t>
        </is>
      </c>
      <c r="G24" s="56" t="inlineStr">
        <is>
          <t>-</t>
        </is>
      </c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4" customHeight="1">
      <c r="A26" s="40" t="inlineStr">
        <is>
          <t xml:space="preserve">  ◆ טבלה QMMA  -  פעילויות שבוצעו (במקום QMAA הלא-תקני)  (Notification activities (correct table))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0" customHeight="1">
      <c r="A27" s="50" t="n">
        <v>18</v>
      </c>
      <c r="B27" s="60" t="inlineStr">
        <is>
          <t>IW22; IW67</t>
        </is>
      </c>
      <c r="C27" s="61" t="inlineStr">
        <is>
          <t>QMMA</t>
        </is>
      </c>
      <c r="D27" s="52" t="inlineStr">
        <is>
          <t>QMNUM</t>
        </is>
      </c>
      <c r="E27" s="53" t="inlineStr">
        <is>
          <t>Notification number</t>
        </is>
      </c>
      <c r="F27" s="54" t="inlineStr">
        <is>
          <t>מספר הודעה</t>
        </is>
      </c>
      <c r="G27" s="62" t="inlineStr">
        <is>
          <t>PK/FK</t>
        </is>
      </c>
      <c r="H27" s="60" t="inlineStr">
        <is>
          <t>• NOTIF_ACTIVITY_READ</t>
        </is>
      </c>
      <c r="I27" s="63" t="inlineStr">
        <is>
          <t>• קריאת פעילויות שבוצעו</t>
        </is>
      </c>
      <c r="J27" s="60" t="inlineStr">
        <is>
          <t>• RIQMEL00</t>
        </is>
      </c>
      <c r="K27" s="63" t="inlineStr">
        <is>
          <t>• ניתוח פעילויות הודעה</t>
        </is>
      </c>
      <c r="L27" s="64" t="inlineStr">
        <is>
          <t>ללא שינוי (תואם)</t>
        </is>
      </c>
      <c r="M27" s="64" t="inlineStr">
        <is>
          <t>QMMA (זהה)</t>
        </is>
      </c>
      <c r="N27" s="64" t="inlineStr">
        <is>
          <t>IW22; Fiori</t>
        </is>
      </c>
      <c r="O27" s="65" t="inlineStr">
        <is>
          <t>Report Malfunction (F2215)</t>
        </is>
      </c>
      <c r="P27" s="64" t="inlineStr">
        <is>
          <t>ללא פעולת המרה ייעודית ב-SUM (טבלה תואמת). מומלץ Regression Test ואימות התאמות אישיות לאחר ההמרה.</t>
        </is>
      </c>
    </row>
    <row r="28" ht="20" customHeight="1">
      <c r="A28" s="41" t="n">
        <v>19</v>
      </c>
      <c r="B28" s="51" t="n"/>
      <c r="C28" s="51" t="n"/>
      <c r="D28" s="44" t="inlineStr">
        <is>
          <t>MANUM</t>
        </is>
      </c>
      <c r="E28" s="45" t="inlineStr">
        <is>
          <t>Activity number</t>
        </is>
      </c>
      <c r="F28" s="46" t="inlineStr">
        <is>
          <t>מספר פעילות</t>
        </is>
      </c>
      <c r="G28" s="47" t="inlineStr">
        <is>
          <t>PK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20" customHeight="1">
      <c r="A29" s="50" t="n">
        <v>20</v>
      </c>
      <c r="B29" s="51" t="n"/>
      <c r="C29" s="51" t="n"/>
      <c r="D29" s="52" t="inlineStr">
        <is>
          <t>MNGRP</t>
        </is>
      </c>
      <c r="E29" s="53" t="inlineStr">
        <is>
          <t>Activity code group</t>
        </is>
      </c>
      <c r="F29" s="54" t="inlineStr">
        <is>
          <t>קבוצת קוד פעילות</t>
        </is>
      </c>
      <c r="G29" s="55" t="inlineStr">
        <is>
          <t>-</t>
        </is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 ht="20" customHeight="1">
      <c r="A30" s="41" t="n">
        <v>21</v>
      </c>
      <c r="B30" s="58" t="n"/>
      <c r="C30" s="58" t="n"/>
      <c r="D30" s="44" t="inlineStr">
        <is>
          <t>MNCOD</t>
        </is>
      </c>
      <c r="E30" s="45" t="inlineStr">
        <is>
          <t>Activity code</t>
        </is>
      </c>
      <c r="F30" s="46" t="inlineStr">
        <is>
          <t>קוד פעילות</t>
        </is>
      </c>
      <c r="G30" s="56" t="inlineStr">
        <is>
          <t>-</t>
        </is>
      </c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4" customHeight="1">
      <c r="A32" s="40" t="inlineStr">
        <is>
          <t xml:space="preserve">  ◆ טבלה QMSM  -  משימות לטיפול (במקום QMAS הלא-תקני)  (Notification tasks (correct table))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0" customHeight="1">
      <c r="A33" s="50" t="n">
        <v>22</v>
      </c>
      <c r="B33" s="60" t="inlineStr">
        <is>
          <t>IW22; IW66</t>
        </is>
      </c>
      <c r="C33" s="61" t="inlineStr">
        <is>
          <t>QMSM</t>
        </is>
      </c>
      <c r="D33" s="52" t="inlineStr">
        <is>
          <t>QMNUM</t>
        </is>
      </c>
      <c r="E33" s="53" t="inlineStr">
        <is>
          <t>Notification number</t>
        </is>
      </c>
      <c r="F33" s="54" t="inlineStr">
        <is>
          <t>מספר הודעה</t>
        </is>
      </c>
      <c r="G33" s="62" t="inlineStr">
        <is>
          <t>PK/FK</t>
        </is>
      </c>
      <c r="H33" s="60" t="inlineStr">
        <is>
          <t>• NOTIF_TASK_READ
• BAPI_ALM_NOTIF_TASK_ADD</t>
        </is>
      </c>
      <c r="I33" s="63" t="inlineStr">
        <is>
          <t>• קריאת משימות
• הוספת משימה</t>
        </is>
      </c>
      <c r="J33" s="60" t="inlineStr">
        <is>
          <t>• RIQMEL20</t>
        </is>
      </c>
      <c r="K33" s="63" t="inlineStr">
        <is>
          <t>• מעקב משימות פתוחות</t>
        </is>
      </c>
      <c r="L33" s="64" t="inlineStr">
        <is>
          <t>ללא שינוי (תואם)</t>
        </is>
      </c>
      <c r="M33" s="64" t="inlineStr">
        <is>
          <t>QMSM (זהה)</t>
        </is>
      </c>
      <c r="N33" s="64" t="inlineStr">
        <is>
          <t>IW22; Fiori</t>
        </is>
      </c>
      <c r="O33" s="65" t="inlineStr">
        <is>
          <t>Find Maintenance Notification (אמת ID)</t>
        </is>
      </c>
      <c r="P33" s="64" t="inlineStr">
        <is>
          <t>ללא פעולת המרה ייעודית ב-SUM (טבלה תואמת). מומלץ Regression Test ואימות התאמות אישיות לאחר ההמרה.</t>
        </is>
      </c>
    </row>
    <row r="34" ht="20" customHeight="1">
      <c r="A34" s="41" t="n">
        <v>23</v>
      </c>
      <c r="B34" s="51" t="n"/>
      <c r="C34" s="51" t="n"/>
      <c r="D34" s="44" t="inlineStr">
        <is>
          <t>MANUM</t>
        </is>
      </c>
      <c r="E34" s="45" t="inlineStr">
        <is>
          <t>Task number</t>
        </is>
      </c>
      <c r="F34" s="46" t="inlineStr">
        <is>
          <t>מספר משימה</t>
        </is>
      </c>
      <c r="G34" s="47" t="inlineStr">
        <is>
          <t>PK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</row>
    <row r="35" ht="20" customHeight="1">
      <c r="A35" s="50" t="n">
        <v>24</v>
      </c>
      <c r="B35" s="51" t="n"/>
      <c r="C35" s="51" t="n"/>
      <c r="D35" s="52" t="inlineStr">
        <is>
          <t>MNGRP</t>
        </is>
      </c>
      <c r="E35" s="53" t="inlineStr">
        <is>
          <t>Task code group</t>
        </is>
      </c>
      <c r="F35" s="54" t="inlineStr">
        <is>
          <t>קבוצת קוד משימה</t>
        </is>
      </c>
      <c r="G35" s="55" t="inlineStr">
        <is>
          <t>-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</row>
    <row r="36" ht="20" customHeight="1">
      <c r="A36" s="41" t="n">
        <v>25</v>
      </c>
      <c r="B36" s="51" t="n"/>
      <c r="C36" s="51" t="n"/>
      <c r="D36" s="44" t="inlineStr">
        <is>
          <t>MNCOD</t>
        </is>
      </c>
      <c r="E36" s="45" t="inlineStr">
        <is>
          <t>Task code</t>
        </is>
      </c>
      <c r="F36" s="46" t="inlineStr">
        <is>
          <t>קוד משימה</t>
        </is>
      </c>
      <c r="G36" s="56" t="inlineStr">
        <is>
          <t>-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</row>
    <row r="37" ht="20" customHeight="1">
      <c r="A37" s="50" t="n">
        <v>26</v>
      </c>
      <c r="B37" s="58" t="n"/>
      <c r="C37" s="58" t="n"/>
      <c r="D37" s="52" t="inlineStr">
        <is>
          <t>PSTER</t>
        </is>
      </c>
      <c r="E37" s="53" t="inlineStr">
        <is>
          <t>Task planned completion</t>
        </is>
      </c>
      <c r="F37" s="54" t="inlineStr">
        <is>
          <t>מועד יעד למשימה</t>
        </is>
      </c>
      <c r="G37" s="55" t="inlineStr">
        <is>
          <t>-</t>
        </is>
      </c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4" customHeight="1">
      <c r="A39" s="40" t="inlineStr">
        <is>
          <t xml:space="preserve">  ◆ טבלה TQ80  -  סוגי הודעה (Notification Types - Customizing; הוגדר כ-T356, ש=עדיפויות)  (Notification types (config; correct=TQ80, T356=Priorities))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0" customHeight="1">
      <c r="A40" s="41" t="n">
        <v>27</v>
      </c>
      <c r="B40" s="42" t="inlineStr">
        <is>
          <t>OIAL (פריסת מסך); SPRO, QCC0</t>
        </is>
      </c>
      <c r="C40" s="43" t="inlineStr">
        <is>
          <t>TQ80</t>
        </is>
      </c>
      <c r="D40" s="44" t="inlineStr">
        <is>
          <t>QMART</t>
        </is>
      </c>
      <c r="E40" s="45" t="inlineStr">
        <is>
          <t>Notification type (M1/M2/M3)</t>
        </is>
      </c>
      <c r="F40" s="46" t="inlineStr">
        <is>
          <t>סוג הודעה</t>
        </is>
      </c>
      <c r="G40" s="47" t="inlineStr">
        <is>
          <t>PK</t>
        </is>
      </c>
      <c r="H40" s="42" t="inlineStr">
        <is>
          <t>• PM_NOTIFICATION_TYPE_READ
• PRIORITY_DETERMINE</t>
        </is>
      </c>
      <c r="I40" s="48" t="inlineStr">
        <is>
          <t>• קריאת סוג הודעה והגדרותיו
• קביעת עדיפות לפי סוג</t>
        </is>
      </c>
      <c r="J40" s="42" t="inlineStr">
        <is>
          <t>• RIQMEL20</t>
        </is>
      </c>
      <c r="K40" s="48" t="inlineStr">
        <is>
          <t>• ניתוח הודעות לפי סוג</t>
        </is>
      </c>
      <c r="L40" s="49" t="inlineStr">
        <is>
          <t>ללא שינוי (Customizing תואם)</t>
        </is>
      </c>
      <c r="M40" s="49" t="inlineStr">
        <is>
          <t>TQ80 (זהה)</t>
        </is>
      </c>
      <c r="N40" s="49" t="inlineStr">
        <is>
          <t>SPRO/OIAL (זהה)</t>
        </is>
      </c>
      <c r="O40" s="43" t="inlineStr">
        <is>
          <t>אין Fiori ייעודי (Customizing)</t>
        </is>
      </c>
      <c r="P40" s="49" t="inlineStr">
        <is>
          <t>ללא פעולת המרה ייעודית ב-SUM (טבלה תואמת). מומלץ Regression Test ואימות התאמות אישיות לאחר ההמרה.</t>
        </is>
      </c>
    </row>
    <row r="41" ht="20" customHeight="1">
      <c r="A41" s="50" t="n">
        <v>28</v>
      </c>
      <c r="B41" s="51" t="n"/>
      <c r="C41" s="51" t="n"/>
      <c r="D41" s="52" t="inlineStr">
        <is>
          <t>QMTYP</t>
        </is>
      </c>
      <c r="E41" s="53" t="inlineStr">
        <is>
          <t>Notification category</t>
        </is>
      </c>
      <c r="F41" s="54" t="inlineStr">
        <is>
          <t>קטגוריית הודעה</t>
        </is>
      </c>
      <c r="G41" s="55" t="inlineStr">
        <is>
          <t>-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</row>
    <row r="42" ht="20" customHeight="1">
      <c r="A42" s="41" t="n">
        <v>29</v>
      </c>
      <c r="B42" s="51" t="n"/>
      <c r="C42" s="51" t="n"/>
      <c r="D42" s="44" t="inlineStr">
        <is>
          <t>RBNR</t>
        </is>
      </c>
      <c r="E42" s="45" t="inlineStr">
        <is>
          <t>Catalog profile</t>
        </is>
      </c>
      <c r="F42" s="46" t="inlineStr">
        <is>
          <t>פרופיל קטלוג</t>
        </is>
      </c>
      <c r="G42" s="57" t="inlineStr">
        <is>
          <t>FK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</row>
    <row r="43" ht="20" customHeight="1">
      <c r="A43" s="50" t="n">
        <v>30</v>
      </c>
      <c r="B43" s="58" t="n"/>
      <c r="C43" s="58" t="n"/>
      <c r="D43" s="52" t="inlineStr">
        <is>
          <t>AUART</t>
        </is>
      </c>
      <c r="E43" s="53" t="inlineStr">
        <is>
          <t>Default order type</t>
        </is>
      </c>
      <c r="F43" s="54" t="inlineStr">
        <is>
          <t>סוג פק"ע ברירת מחדל</t>
        </is>
      </c>
      <c r="G43" s="59" t="inlineStr">
        <is>
          <t>FK</t>
        </is>
      </c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4" customHeight="1">
      <c r="A46" s="40" t="inlineStr">
        <is>
          <t xml:space="preserve">  ⚙ הרחבות טכניות ושינויי ארכיטקטורה (Technical Extensions: User Exits / BAdIs / ECC vs S/4HANA)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66" t="inlineStr">
        <is>
          <t>סוג (Type)</t>
        </is>
      </c>
      <c r="B47" s="4" t="n"/>
      <c r="C47" s="66" t="inlineStr">
        <is>
          <t>קוד / שם טכני (Code)</t>
        </is>
      </c>
      <c r="D47" s="4" t="n"/>
      <c r="E47" s="66" t="inlineStr">
        <is>
          <t>תיאור / הבדל (Hebrew)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24" customHeight="1">
      <c r="A48" s="70" t="inlineStr">
        <is>
          <t>User Exit (SMOD)</t>
        </is>
      </c>
      <c r="B48" s="4" t="n"/>
      <c r="C48" s="71" t="inlineStr">
        <is>
          <t>QQMA0014</t>
        </is>
      </c>
      <c r="D48" s="4" t="n"/>
      <c r="E48" s="72" t="inlineStr">
        <is>
          <t>בדיקת לקוח לפני שמירת הודעה (Check before save)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 ht="24" customHeight="1">
      <c r="A49" s="67" t="inlineStr">
        <is>
          <t>User Exit (SMOD)</t>
        </is>
      </c>
      <c r="B49" s="4" t="n"/>
      <c r="C49" s="68" t="inlineStr">
        <is>
          <t>QQMA0010</t>
        </is>
      </c>
      <c r="D49" s="4" t="n"/>
      <c r="E49" s="69" t="inlineStr">
        <is>
          <t>הרחבת שדות וברירות מחדל בכותרת ההודעה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4" customHeight="1">
      <c r="A50" s="70" t="inlineStr">
        <is>
          <t>User Exit (SMOD)</t>
        </is>
      </c>
      <c r="B50" s="4" t="n"/>
      <c r="C50" s="71" t="inlineStr">
        <is>
          <t>QQMA0025</t>
        </is>
      </c>
      <c r="D50" s="4" t="n"/>
      <c r="E50" s="72" t="inlineStr">
        <is>
          <t>הרחבה בעת השלמת/סגירת הודעה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24" customHeight="1">
      <c r="A51" s="67" t="inlineStr">
        <is>
          <t>BAdI (SE18)</t>
        </is>
      </c>
      <c r="B51" s="4" t="n"/>
      <c r="C51" s="68" t="inlineStr">
        <is>
          <t>NOTIF_EVENT_POST</t>
        </is>
      </c>
      <c r="D51" s="4" t="n"/>
      <c r="E51" s="69" t="inlineStr">
        <is>
          <t>BAdI לאירוע רישום/שמירת הודעה (לוגיקה לאחר שמירה)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4" customHeight="1">
      <c r="A52" s="70" t="inlineStr">
        <is>
          <t>BAdI (SE18)</t>
        </is>
      </c>
      <c r="B52" s="4" t="n"/>
      <c r="C52" s="71" t="inlineStr">
        <is>
          <t>NOTIF_EVENT_SAVE</t>
        </is>
      </c>
      <c r="D52" s="4" t="n"/>
      <c r="E52" s="72" t="inlineStr">
        <is>
          <t>BAdI לאירוע שמירת הודעה (בדיקות לפני commit)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24" customHeight="1">
      <c r="A53" s="67" t="inlineStr">
        <is>
          <t>ארכיטקטורה ECC↔S/4</t>
        </is>
      </c>
      <c r="B53" s="4" t="n"/>
      <c r="C53" s="68" t="inlineStr">
        <is>
          <t>—</t>
        </is>
      </c>
      <c r="D53" s="4" t="n"/>
      <c r="E53" s="69" t="inlineStr">
        <is>
          <t>טבלאות QMEL/QMFE/QMUR/QMMA/QMSM ללא שינוי; ניהול סטטוס זהה.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 ht="24" customHeight="1">
      <c r="A54" s="70" t="inlineStr">
        <is>
          <t>ארכיטקטורה ECC↔S/4</t>
        </is>
      </c>
      <c r="B54" s="4" t="n"/>
      <c r="C54" s="71" t="inlineStr">
        <is>
          <t>—</t>
        </is>
      </c>
      <c r="D54" s="4" t="n"/>
      <c r="E54" s="72" t="inlineStr">
        <is>
          <t>ב-S/4 'Report Malfunction' (F2215) ו-Maintenance Request כ-UX אסטרטגי; IW21-23 נתמכים בתאימות.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</sheetData>
  <mergeCells count="99">
    <mergeCell ref="A51:B51"/>
    <mergeCell ref="A19:P19"/>
    <mergeCell ref="J27:J30"/>
    <mergeCell ref="C4:C9"/>
    <mergeCell ref="A54:B54"/>
    <mergeCell ref="C54:D54"/>
    <mergeCell ref="O4:O9"/>
    <mergeCell ref="A39:P39"/>
    <mergeCell ref="H33:H37"/>
    <mergeCell ref="C50:D50"/>
    <mergeCell ref="J33:J37"/>
    <mergeCell ref="K40:K43"/>
    <mergeCell ref="C40:C43"/>
    <mergeCell ref="A11:P11"/>
    <mergeCell ref="K27:K30"/>
    <mergeCell ref="M27:M30"/>
    <mergeCell ref="N20:N24"/>
    <mergeCell ref="K33:K37"/>
    <mergeCell ref="K20:K24"/>
    <mergeCell ref="O27:O30"/>
    <mergeCell ref="M20:M24"/>
    <mergeCell ref="A53:B53"/>
    <mergeCell ref="E50:P50"/>
    <mergeCell ref="A46:P46"/>
    <mergeCell ref="H12:H17"/>
    <mergeCell ref="J12:J17"/>
    <mergeCell ref="E52:P52"/>
    <mergeCell ref="A26:P26"/>
    <mergeCell ref="A48:B48"/>
    <mergeCell ref="H4:H9"/>
    <mergeCell ref="M33:M37"/>
    <mergeCell ref="B27:B30"/>
    <mergeCell ref="P40:P43"/>
    <mergeCell ref="H40:H43"/>
    <mergeCell ref="P27:P30"/>
    <mergeCell ref="C47:D47"/>
    <mergeCell ref="B33:B37"/>
    <mergeCell ref="M40:M43"/>
    <mergeCell ref="P33:P37"/>
    <mergeCell ref="P20:P24"/>
    <mergeCell ref="E54:P54"/>
    <mergeCell ref="C12:C17"/>
    <mergeCell ref="M12:M17"/>
    <mergeCell ref="O12:O17"/>
    <mergeCell ref="E47:P47"/>
    <mergeCell ref="O40:O43"/>
    <mergeCell ref="A52:B52"/>
    <mergeCell ref="P12:P17"/>
    <mergeCell ref="C53:D53"/>
    <mergeCell ref="I27:I30"/>
    <mergeCell ref="B4:B9"/>
    <mergeCell ref="A32:P32"/>
    <mergeCell ref="J20:J24"/>
    <mergeCell ref="N4:N9"/>
    <mergeCell ref="L20:L24"/>
    <mergeCell ref="A49:B49"/>
    <mergeCell ref="P4:P9"/>
    <mergeCell ref="I33:I37"/>
    <mergeCell ref="A1:B1"/>
    <mergeCell ref="I20:I24"/>
    <mergeCell ref="J40:J43"/>
    <mergeCell ref="I12:I17"/>
    <mergeCell ref="C51:D51"/>
    <mergeCell ref="K12:K17"/>
    <mergeCell ref="C48:D48"/>
    <mergeCell ref="L40:L43"/>
    <mergeCell ref="N40:N43"/>
    <mergeCell ref="L27:L30"/>
    <mergeCell ref="N27:N30"/>
    <mergeCell ref="I4:I9"/>
    <mergeCell ref="O20:O24"/>
    <mergeCell ref="L33:L37"/>
    <mergeCell ref="A3:P3"/>
    <mergeCell ref="N33:N37"/>
    <mergeCell ref="K4:K9"/>
    <mergeCell ref="C49:D49"/>
    <mergeCell ref="M4:M9"/>
    <mergeCell ref="I40:I43"/>
    <mergeCell ref="E51:P51"/>
    <mergeCell ref="B12:B17"/>
    <mergeCell ref="L12:L17"/>
    <mergeCell ref="E49:P49"/>
    <mergeCell ref="N12:N17"/>
    <mergeCell ref="B20:B24"/>
    <mergeCell ref="C1:P1"/>
    <mergeCell ref="C27:C30"/>
    <mergeCell ref="A50:B50"/>
    <mergeCell ref="B40:B43"/>
    <mergeCell ref="J4:J9"/>
    <mergeCell ref="H20:H24"/>
    <mergeCell ref="L4:L9"/>
    <mergeCell ref="C33:C37"/>
    <mergeCell ref="A47:B47"/>
    <mergeCell ref="E53:P53"/>
    <mergeCell ref="O33:O37"/>
    <mergeCell ref="C52:D52"/>
    <mergeCell ref="H27:H30"/>
    <mergeCell ref="C20:C24"/>
    <mergeCell ref="E48:P48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P6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7. פקודות עבודה (פק"ע)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AUFK  -  נתוני אב של פקודת עבודה  (Order master data)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IW31/IW32/IW33; IW34, IW38/IW39</t>
        </is>
      </c>
      <c r="C4" s="43" t="inlineStr">
        <is>
          <t>AUFK</t>
        </is>
      </c>
      <c r="D4" s="44" t="inlineStr">
        <is>
          <t>AUFNR</t>
        </is>
      </c>
      <c r="E4" s="45" t="inlineStr">
        <is>
          <t>Order number</t>
        </is>
      </c>
      <c r="F4" s="46" t="inlineStr">
        <is>
          <t>מספר פק"ע</t>
        </is>
      </c>
      <c r="G4" s="47" t="inlineStr">
        <is>
          <t>PK</t>
        </is>
      </c>
      <c r="H4" s="42" t="inlineStr">
        <is>
          <t>• BAPI_ALM_ORDER_MAINTAIN
• BAPI_ALM_ORDER_GET_DETAIL
• BAPI_ALM_ORDERHEAD_GET_LIST</t>
        </is>
      </c>
      <c r="I4" s="48" t="inlineStr">
        <is>
          <t>• יצירה/שינוי פק"ע (ממשק מרכזי)
• שליפת פרטי פק"ע
• שליפת רשימת פק"ע</t>
        </is>
      </c>
      <c r="J4" s="42" t="inlineStr">
        <is>
          <t>• RIAUFK20</t>
        </is>
      </c>
      <c r="K4" s="48" t="inlineStr">
        <is>
          <t>• רשימת פק"ע (IW38/39)</t>
        </is>
      </c>
      <c r="L4" s="49" t="inlineStr">
        <is>
          <t>מותאם - מודל נתונים פשוט יותר לפקודות</t>
        </is>
      </c>
      <c r="M4" s="49" t="inlineStr">
        <is>
          <t>AUFK (זהה) + סטטוס/עלות ב-ACDOCA</t>
        </is>
      </c>
      <c r="N4" s="49" t="inlineStr">
        <is>
          <t>IW31-33 נתמכים; אסטרטגי: Fiori</t>
        </is>
      </c>
      <c r="O4" s="43" t="inlineStr">
        <is>
          <t>Find Maintenance Order (F2393)</t>
        </is>
      </c>
      <c r="P4" s="49" t="inlineStr">
        <is>
          <t>עלויות מומרות ל-Universal Journal (ACDOCA) ב-SUM. COSP/COSS הופכים ל-Views. התאם דוחות עלות מותאמים והרצות התחשבנות.</t>
        </is>
      </c>
    </row>
    <row r="5" ht="20" customHeight="1">
      <c r="A5" s="50" t="n">
        <v>2</v>
      </c>
      <c r="B5" s="51" t="n"/>
      <c r="C5" s="51" t="n"/>
      <c r="D5" s="52" t="inlineStr">
        <is>
          <t>AUART</t>
        </is>
      </c>
      <c r="E5" s="53" t="inlineStr">
        <is>
          <t>Order type (PM01/02/03)</t>
        </is>
      </c>
      <c r="F5" s="54" t="inlineStr">
        <is>
          <t>סוג פק"ע</t>
        </is>
      </c>
      <c r="G5" s="59" t="inlineStr">
        <is>
          <t>FK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KTEXT</t>
        </is>
      </c>
      <c r="E6" s="45" t="inlineStr">
        <is>
          <t>Order short text</t>
        </is>
      </c>
      <c r="F6" s="46" t="inlineStr">
        <is>
          <t>תיאור הפק"ע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OBJNR</t>
        </is>
      </c>
      <c r="E7" s="53" t="inlineStr">
        <is>
          <t>Object number (status/CO)</t>
        </is>
      </c>
      <c r="F7" s="54" t="inlineStr">
        <is>
          <t>מפתח אובייקט</t>
        </is>
      </c>
      <c r="G7" s="59" t="inlineStr">
        <is>
          <t>FK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8" t="n"/>
      <c r="C8" s="58" t="n"/>
      <c r="D8" s="44" t="inlineStr">
        <is>
          <t>KOSTV</t>
        </is>
      </c>
      <c r="E8" s="45" t="inlineStr">
        <is>
          <t>Responsible cost center</t>
        </is>
      </c>
      <c r="F8" s="46" t="inlineStr">
        <is>
          <t>מרכז עלות אחראי</t>
        </is>
      </c>
      <c r="G8" s="57" t="inlineStr">
        <is>
          <t>FK</t>
        </is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4" customHeight="1">
      <c r="A10" s="40" t="inlineStr">
        <is>
          <t xml:space="preserve">  ◆ טבלה AFKO  -  כותרת פקודה (נתוני אחזקה/ייצור)  (Order header data)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0" customHeight="1">
      <c r="A11" s="50" t="n">
        <v>6</v>
      </c>
      <c r="B11" s="60" t="inlineStr">
        <is>
          <t>IW32; IW37N</t>
        </is>
      </c>
      <c r="C11" s="61" t="inlineStr">
        <is>
          <t>AFKO</t>
        </is>
      </c>
      <c r="D11" s="52" t="inlineStr">
        <is>
          <t>AUFNR</t>
        </is>
      </c>
      <c r="E11" s="53" t="inlineStr">
        <is>
          <t>Order number</t>
        </is>
      </c>
      <c r="F11" s="54" t="inlineStr">
        <is>
          <t>מספר פק"ע</t>
        </is>
      </c>
      <c r="G11" s="62" t="inlineStr">
        <is>
          <t>PK/FK</t>
        </is>
      </c>
      <c r="H11" s="60" t="inlineStr">
        <is>
          <t>• CO_ZF_ORDER_HEADER_READ</t>
        </is>
      </c>
      <c r="I11" s="63" t="inlineStr">
        <is>
          <t>• קריאת כותרת הפקודה</t>
        </is>
      </c>
      <c r="J11" s="60" t="inlineStr">
        <is>
          <t>• RIAUFK20</t>
        </is>
      </c>
      <c r="K11" s="63" t="inlineStr">
        <is>
          <t>• רשימת פק"ע</t>
        </is>
      </c>
      <c r="L11" s="64" t="inlineStr">
        <is>
          <t>מותאם (תואם עם פישוטי תזמון)</t>
        </is>
      </c>
      <c r="M11" s="64" t="inlineStr">
        <is>
          <t>AFKO (זהה)</t>
        </is>
      </c>
      <c r="N11" s="64" t="inlineStr">
        <is>
          <t>IW32; Fiori</t>
        </is>
      </c>
      <c r="O11" s="65" t="inlineStr">
        <is>
          <t>Create Maintenance Order (אמת ID)</t>
        </is>
      </c>
      <c r="P11" s="64" t="inlineStr">
        <is>
          <t>אין המרת טבלה הרסנית, אך מודל הנתונים מותאם - הרץ Regression Test ובדוק User Exits/דוחות מותאמים.</t>
        </is>
      </c>
    </row>
    <row r="12" ht="20" customHeight="1">
      <c r="A12" s="41" t="n">
        <v>7</v>
      </c>
      <c r="B12" s="51" t="n"/>
      <c r="C12" s="51" t="n"/>
      <c r="D12" s="44" t="inlineStr">
        <is>
          <t>AUFPL</t>
        </is>
      </c>
      <c r="E12" s="45" t="inlineStr">
        <is>
          <t>Routing/operation plan number</t>
        </is>
      </c>
      <c r="F12" s="46" t="inlineStr">
        <is>
          <t>מספר תוכנית פעולות</t>
        </is>
      </c>
      <c r="G12" s="57" t="inlineStr">
        <is>
          <t>FK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1" t="n"/>
      <c r="C13" s="51" t="n"/>
      <c r="D13" s="52" t="inlineStr">
        <is>
          <t>GLTRP</t>
        </is>
      </c>
      <c r="E13" s="53" t="inlineStr">
        <is>
          <t>Basic finish date</t>
        </is>
      </c>
      <c r="F13" s="54" t="inlineStr">
        <is>
          <t>תאריך סיום בסיסי</t>
        </is>
      </c>
      <c r="G13" s="55" t="inlineStr">
        <is>
          <t>-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GSTRP</t>
        </is>
      </c>
      <c r="E14" s="45" t="inlineStr">
        <is>
          <t>Basic start date</t>
        </is>
      </c>
      <c r="F14" s="46" t="inlineStr">
        <is>
          <t>תאריך התחלה בסיסי</t>
        </is>
      </c>
      <c r="G14" s="56" t="inlineStr">
        <is>
          <t>-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8" t="n"/>
      <c r="C15" s="58" t="n"/>
      <c r="D15" s="52" t="inlineStr">
        <is>
          <t>PLNBEZ</t>
        </is>
      </c>
      <c r="E15" s="53" t="inlineStr">
        <is>
          <t>BOM/material reference</t>
        </is>
      </c>
      <c r="F15" s="54" t="inlineStr">
        <is>
          <t>הפניית עץ מוצר/חומר</t>
        </is>
      </c>
      <c r="G15" s="59" t="inlineStr">
        <is>
          <t>FK</t>
        </is>
      </c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4" customHeight="1">
      <c r="A17" s="40" t="inlineStr">
        <is>
          <t xml:space="preserve">  ◆ טבלה AFVC  -  פעולות הפקודה (Operations - השם התקני; לא AFVG)  (Order operations (correct table name, not AFVG))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0" customHeight="1">
      <c r="A18" s="41" t="n">
        <v>11</v>
      </c>
      <c r="B18" s="42" t="inlineStr">
        <is>
          <t>IW31/IW32/IW33; IW37N, CM01</t>
        </is>
      </c>
      <c r="C18" s="43" t="inlineStr">
        <is>
          <t>AFVC</t>
        </is>
      </c>
      <c r="D18" s="44" t="inlineStr">
        <is>
          <t>AUFPL</t>
        </is>
      </c>
      <c r="E18" s="45" t="inlineStr">
        <is>
          <t>Routing/operations plan no. - joins AFKO</t>
        </is>
      </c>
      <c r="F18" s="46" t="inlineStr">
        <is>
          <t>מספר תוכנית פעולות - מצטרף ל-AFKO</t>
        </is>
      </c>
      <c r="G18" s="47" t="inlineStr">
        <is>
          <t>PK/FK</t>
        </is>
      </c>
      <c r="H18" s="42" t="inlineStr">
        <is>
          <t>• BAPI_ALM_ORDER_MAINTAIN
• CO_ZF_OPERATIONS_READ</t>
        </is>
      </c>
      <c r="I18" s="48" t="inlineStr">
        <is>
          <t>• הוספת/שינוי פעולות בפק"ע (METHOD=OPERATION)
• קריאת פעולות הפקודה</t>
        </is>
      </c>
      <c r="J18" s="42" t="inlineStr">
        <is>
          <t>• RIAFVC00</t>
        </is>
      </c>
      <c r="K18" s="48" t="inlineStr">
        <is>
          <t>• ניתוח פעולות ועומסי קיבולת</t>
        </is>
      </c>
      <c r="L18" s="49" t="inlineStr">
        <is>
          <t>מותאם (תואם)</t>
        </is>
      </c>
      <c r="M18" s="49" t="inlineStr">
        <is>
          <t>AFVC (זהה)</t>
        </is>
      </c>
      <c r="N18" s="49" t="inlineStr">
        <is>
          <t>IW32; Fiori Operations</t>
        </is>
      </c>
      <c r="O18" s="43" t="inlineStr">
        <is>
          <t>Find Maintenance Order (F2393)</t>
        </is>
      </c>
      <c r="P18" s="49" t="inlineStr">
        <is>
          <t>אין המרת טבלה הרסנית, אך מודל הנתונים מותאם - הרץ Regression Test ובדוק User Exits/דוחות מותאמים.</t>
        </is>
      </c>
    </row>
    <row r="19" ht="20" customHeight="1">
      <c r="A19" s="50" t="n">
        <v>12</v>
      </c>
      <c r="B19" s="51" t="n"/>
      <c r="C19" s="51" t="n"/>
      <c r="D19" s="52" t="inlineStr">
        <is>
          <t>APLZL</t>
        </is>
      </c>
      <c r="E19" s="53" t="inlineStr">
        <is>
          <t>Internal operation counter</t>
        </is>
      </c>
      <c r="F19" s="54" t="inlineStr">
        <is>
          <t>מונה פעולה פנימי</t>
        </is>
      </c>
      <c r="G19" s="62" t="inlineStr">
        <is>
          <t>PK</t>
        </is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 ht="20" customHeight="1">
      <c r="A20" s="41" t="n">
        <v>13</v>
      </c>
      <c r="B20" s="51" t="n"/>
      <c r="C20" s="51" t="n"/>
      <c r="D20" s="44" t="inlineStr">
        <is>
          <t>VORNR</t>
        </is>
      </c>
      <c r="E20" s="45" t="inlineStr">
        <is>
          <t>Operation number</t>
        </is>
      </c>
      <c r="F20" s="46" t="inlineStr">
        <is>
          <t>מספר פעולה</t>
        </is>
      </c>
      <c r="G20" s="56" t="inlineStr">
        <is>
          <t>-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1" t="n"/>
      <c r="C21" s="51" t="n"/>
      <c r="D21" s="52" t="inlineStr">
        <is>
          <t>ARBID</t>
        </is>
      </c>
      <c r="E21" s="53" t="inlineStr">
        <is>
          <t>Work center (object id)</t>
        </is>
      </c>
      <c r="F21" s="54" t="inlineStr">
        <is>
          <t>מרכז עבודה (מזהה אובייקט)</t>
        </is>
      </c>
      <c r="G21" s="59" t="inlineStr">
        <is>
          <t>FK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 ht="20" customHeight="1">
      <c r="A22" s="41" t="n">
        <v>15</v>
      </c>
      <c r="B22" s="51" t="n"/>
      <c r="C22" s="51" t="n"/>
      <c r="D22" s="44" t="inlineStr">
        <is>
          <t>STEUS</t>
        </is>
      </c>
      <c r="E22" s="45" t="inlineStr">
        <is>
          <t>Control key (in-house/external)</t>
        </is>
      </c>
      <c r="F22" s="46" t="inlineStr">
        <is>
          <t>מפתח בקרה (פנימי/חיצוני)</t>
        </is>
      </c>
      <c r="G22" s="56" t="inlineStr">
        <is>
          <t>-</t>
        </is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20" customHeight="1">
      <c r="A23" s="50" t="n">
        <v>16</v>
      </c>
      <c r="B23" s="58" t="n"/>
      <c r="C23" s="58" t="n"/>
      <c r="D23" s="52" t="inlineStr">
        <is>
          <t>LTXA1</t>
        </is>
      </c>
      <c r="E23" s="53" t="inlineStr">
        <is>
          <t>Operation short text</t>
        </is>
      </c>
      <c r="F23" s="54" t="inlineStr">
        <is>
          <t>תיאור קצר של הפעולה</t>
        </is>
      </c>
      <c r="G23" s="55" t="inlineStr">
        <is>
          <t>-</t>
        </is>
      </c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4" customHeight="1">
      <c r="A25" s="40" t="inlineStr">
        <is>
          <t xml:space="preserve">  ◆ טבלה AFPO  -  פריט פקודה  (Order item)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0" customHeight="1">
      <c r="A26" s="41" t="n">
        <v>17</v>
      </c>
      <c r="B26" s="42" t="inlineStr">
        <is>
          <t>IW32; IW33</t>
        </is>
      </c>
      <c r="C26" s="43" t="inlineStr">
        <is>
          <t>AFPO</t>
        </is>
      </c>
      <c r="D26" s="44" t="inlineStr">
        <is>
          <t>AUFNR</t>
        </is>
      </c>
      <c r="E26" s="45" t="inlineStr">
        <is>
          <t>Order number</t>
        </is>
      </c>
      <c r="F26" s="46" t="inlineStr">
        <is>
          <t>מספר פק"ע</t>
        </is>
      </c>
      <c r="G26" s="47" t="inlineStr">
        <is>
          <t>PK/FK</t>
        </is>
      </c>
      <c r="H26" s="42" t="inlineStr">
        <is>
          <t>• CO_ZF_ORDER_ITEM_READ</t>
        </is>
      </c>
      <c r="I26" s="48" t="inlineStr">
        <is>
          <t>• קריאת פריט הפקודה</t>
        </is>
      </c>
      <c r="J26" s="42" t="inlineStr">
        <is>
          <t>• RIAFPO00</t>
        </is>
      </c>
      <c r="K26" s="48" t="inlineStr">
        <is>
          <t>• ניתוח פריטי פקודה</t>
        </is>
      </c>
      <c r="L26" s="49" t="inlineStr">
        <is>
          <t>מותאם (תואם)</t>
        </is>
      </c>
      <c r="M26" s="49" t="inlineStr">
        <is>
          <t>AFPO (זהה)</t>
        </is>
      </c>
      <c r="N26" s="49" t="inlineStr">
        <is>
          <t>IW32; Fiori</t>
        </is>
      </c>
      <c r="O26" s="43" t="inlineStr">
        <is>
          <t>Find Maintenance Order (F2393)</t>
        </is>
      </c>
      <c r="P26" s="49" t="inlineStr">
        <is>
          <t>אין המרת טבלה הרסנית, אך מודל הנתונים מותאם - הרץ Regression Test ובדוק User Exits/דוחות מותאמים.</t>
        </is>
      </c>
    </row>
    <row r="27" ht="20" customHeight="1">
      <c r="A27" s="50" t="n">
        <v>18</v>
      </c>
      <c r="B27" s="51" t="n"/>
      <c r="C27" s="51" t="n"/>
      <c r="D27" s="52" t="inlineStr">
        <is>
          <t>POSNR</t>
        </is>
      </c>
      <c r="E27" s="53" t="inlineStr">
        <is>
          <t>Order item number</t>
        </is>
      </c>
      <c r="F27" s="54" t="inlineStr">
        <is>
          <t>מספר פריט</t>
        </is>
      </c>
      <c r="G27" s="62" t="inlineStr">
        <is>
          <t>PK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20" customHeight="1">
      <c r="A28" s="41" t="n">
        <v>19</v>
      </c>
      <c r="B28" s="51" t="n"/>
      <c r="C28" s="51" t="n"/>
      <c r="D28" s="44" t="inlineStr">
        <is>
          <t>MATNR</t>
        </is>
      </c>
      <c r="E28" s="45" t="inlineStr">
        <is>
          <t>Material (refurbishment)</t>
        </is>
      </c>
      <c r="F28" s="46" t="inlineStr">
        <is>
          <t>חומר (שיפוץ)</t>
        </is>
      </c>
      <c r="G28" s="57" t="inlineStr">
        <is>
          <t>FK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20" customHeight="1">
      <c r="A29" s="50" t="n">
        <v>20</v>
      </c>
      <c r="B29" s="58" t="n"/>
      <c r="C29" s="58" t="n"/>
      <c r="D29" s="52" t="inlineStr">
        <is>
          <t>PSAMG</t>
        </is>
      </c>
      <c r="E29" s="53" t="inlineStr">
        <is>
          <t>Order item quantity</t>
        </is>
      </c>
      <c r="F29" s="54" t="inlineStr">
        <is>
          <t>כמות פריט</t>
        </is>
      </c>
      <c r="G29" s="55" t="inlineStr">
        <is>
          <t>-</t>
        </is>
      </c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4" customHeight="1">
      <c r="A31" s="40" t="inlineStr">
        <is>
          <t xml:space="preserve">  ◆ טבלה AFIH  -  כותרת פקודה - נתוני אחזקה (PM)  (Maintenance order header (PM))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0" customHeight="1">
      <c r="A32" s="41" t="n">
        <v>21</v>
      </c>
      <c r="B32" s="42" t="inlineStr">
        <is>
          <t>IW32; IW33</t>
        </is>
      </c>
      <c r="C32" s="43" t="inlineStr">
        <is>
          <t>AFIH</t>
        </is>
      </c>
      <c r="D32" s="44" t="inlineStr">
        <is>
          <t>AUFNR</t>
        </is>
      </c>
      <c r="E32" s="45" t="inlineStr">
        <is>
          <t>Order number</t>
        </is>
      </c>
      <c r="F32" s="46" t="inlineStr">
        <is>
          <t>מספר פק"ע</t>
        </is>
      </c>
      <c r="G32" s="47" t="inlineStr">
        <is>
          <t>PK/FK</t>
        </is>
      </c>
      <c r="H32" s="42" t="inlineStr">
        <is>
          <t>• BAPI_ALM_ORDER_GET_DETAIL</t>
        </is>
      </c>
      <c r="I32" s="48" t="inlineStr">
        <is>
          <t>• שליפת נתוני אחזקה של הפק"ע</t>
        </is>
      </c>
      <c r="J32" s="42" t="inlineStr">
        <is>
          <t>• RIAUFK20</t>
        </is>
      </c>
      <c r="K32" s="48" t="inlineStr">
        <is>
          <t>• רשימת פק"ע אחזקה</t>
        </is>
      </c>
      <c r="L32" s="49" t="inlineStr">
        <is>
          <t>מותאם (תואם)</t>
        </is>
      </c>
      <c r="M32" s="49" t="inlineStr">
        <is>
          <t>AFIH (זהה)</t>
        </is>
      </c>
      <c r="N32" s="49" t="inlineStr">
        <is>
          <t>IW32; Fiori</t>
        </is>
      </c>
      <c r="O32" s="43" t="inlineStr">
        <is>
          <t>Find Maintenance Order (F2393)</t>
        </is>
      </c>
      <c r="P32" s="49" t="inlineStr">
        <is>
          <t>אין המרת טבלה הרסנית, אך מודל הנתונים מותאם - הרץ Regression Test ובדוק User Exits/דוחות מותאמים.</t>
        </is>
      </c>
    </row>
    <row r="33" ht="20" customHeight="1">
      <c r="A33" s="50" t="n">
        <v>22</v>
      </c>
      <c r="B33" s="51" t="n"/>
      <c r="C33" s="51" t="n"/>
      <c r="D33" s="52" t="inlineStr">
        <is>
          <t>EQUNR</t>
        </is>
      </c>
      <c r="E33" s="53" t="inlineStr">
        <is>
          <t>Reference equipment</t>
        </is>
      </c>
      <c r="F33" s="54" t="inlineStr">
        <is>
          <t>ציוד מתייחס</t>
        </is>
      </c>
      <c r="G33" s="59" t="inlineStr">
        <is>
          <t>FK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</row>
    <row r="34" ht="20" customHeight="1">
      <c r="A34" s="41" t="n">
        <v>23</v>
      </c>
      <c r="B34" s="51" t="n"/>
      <c r="C34" s="51" t="n"/>
      <c r="D34" s="44" t="inlineStr">
        <is>
          <t>TPLNR</t>
        </is>
      </c>
      <c r="E34" s="45" t="inlineStr">
        <is>
          <t>Reference functional location</t>
        </is>
      </c>
      <c r="F34" s="46" t="inlineStr">
        <is>
          <t>מיקום מתייחס</t>
        </is>
      </c>
      <c r="G34" s="57" t="inlineStr">
        <is>
          <t>FK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</row>
    <row r="35" ht="20" customHeight="1">
      <c r="A35" s="50" t="n">
        <v>24</v>
      </c>
      <c r="B35" s="51" t="n"/>
      <c r="C35" s="51" t="n"/>
      <c r="D35" s="52" t="inlineStr">
        <is>
          <t>ILART</t>
        </is>
      </c>
      <c r="E35" s="53" t="inlineStr">
        <is>
          <t>Maintenance activity type</t>
        </is>
      </c>
      <c r="F35" s="54" t="inlineStr">
        <is>
          <t>סוג פעילות אחזקה</t>
        </is>
      </c>
      <c r="G35" s="55" t="inlineStr">
        <is>
          <t>-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</row>
    <row r="36" ht="20" customHeight="1">
      <c r="A36" s="41" t="n">
        <v>25</v>
      </c>
      <c r="B36" s="51" t="n"/>
      <c r="C36" s="51" t="n"/>
      <c r="D36" s="44" t="inlineStr">
        <is>
          <t>PRIOK</t>
        </is>
      </c>
      <c r="E36" s="45" t="inlineStr">
        <is>
          <t>Priority</t>
        </is>
      </c>
      <c r="F36" s="46" t="inlineStr">
        <is>
          <t>עדיפות</t>
        </is>
      </c>
      <c r="G36" s="56" t="inlineStr">
        <is>
          <t>-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</row>
    <row r="37" ht="20" customHeight="1">
      <c r="A37" s="50" t="n">
        <v>26</v>
      </c>
      <c r="B37" s="58" t="n"/>
      <c r="C37" s="58" t="n"/>
      <c r="D37" s="52" t="inlineStr">
        <is>
          <t>GEWRK</t>
        </is>
      </c>
      <c r="E37" s="53" t="inlineStr">
        <is>
          <t>Main work center</t>
        </is>
      </c>
      <c r="F37" s="54" t="inlineStr">
        <is>
          <t>מרכז עבודה ראשי</t>
        </is>
      </c>
      <c r="G37" s="59" t="inlineStr">
        <is>
          <t>FK</t>
        </is>
      </c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4" customHeight="1">
      <c r="A39" s="40" t="inlineStr">
        <is>
          <t xml:space="preserve">  ◆ טבלה AFWI  -  תנועות מלאי המקושרות לדיווחי ביצוע  (Goods movements for confirmations)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0" customHeight="1">
      <c r="A40" s="41" t="n">
        <v>27</v>
      </c>
      <c r="B40" s="42" t="inlineStr">
        <is>
          <t>IW41; IW42</t>
        </is>
      </c>
      <c r="C40" s="43" t="inlineStr">
        <is>
          <t>AFWI</t>
        </is>
      </c>
      <c r="D40" s="44" t="inlineStr">
        <is>
          <t>RUECK</t>
        </is>
      </c>
      <c r="E40" s="45" t="inlineStr">
        <is>
          <t>Confirmation counter</t>
        </is>
      </c>
      <c r="F40" s="46" t="inlineStr">
        <is>
          <t>מספר דיווח ביצוע</t>
        </is>
      </c>
      <c r="G40" s="47" t="inlineStr">
        <is>
          <t>PK/FK</t>
        </is>
      </c>
      <c r="H40" s="42" t="inlineStr">
        <is>
          <t>• BAPI_ALM_CONF_CREATE</t>
        </is>
      </c>
      <c r="I40" s="48" t="inlineStr">
        <is>
          <t>• יצירת דיווח ביצוע עם תנועות מלאי</t>
        </is>
      </c>
      <c r="J40" s="42" t="inlineStr">
        <is>
          <t>• RIAFRU00</t>
        </is>
      </c>
      <c r="K40" s="48" t="inlineStr">
        <is>
          <t>• ניתוח דיווחי ביצוע ותנועות נלוות</t>
        </is>
      </c>
      <c r="L40" s="49" t="inlineStr">
        <is>
          <t>מותאם (תנועת מלאי ב-MATDOC)</t>
        </is>
      </c>
      <c r="M40" s="49" t="inlineStr">
        <is>
          <t>AFWI (זהה); מסמך חומר ב-MATDOC</t>
        </is>
      </c>
      <c r="N40" s="49" t="inlineStr">
        <is>
          <t>IW41/IW42; Fiori Confirmation</t>
        </is>
      </c>
      <c r="O40" s="43" t="inlineStr">
        <is>
          <t>Confirm Maintenance Order (אמת ID)</t>
        </is>
      </c>
      <c r="P40" s="49" t="inlineStr">
        <is>
          <t>המרה אוטומטית ל-MATDOC ב-SUM (Silent Data Migration). MKPF/MSEG הופכים ל-Compatibility Views. בדוק קוד Z שקורא ישירות ל-MSEG/MKPF ועדכן ל-CDS/MATDOC.</t>
        </is>
      </c>
    </row>
    <row r="41" ht="20" customHeight="1">
      <c r="A41" s="50" t="n">
        <v>28</v>
      </c>
      <c r="B41" s="51" t="n"/>
      <c r="C41" s="51" t="n"/>
      <c r="D41" s="52" t="inlineStr">
        <is>
          <t>RMZHL</t>
        </is>
      </c>
      <c r="E41" s="53" t="inlineStr">
        <is>
          <t>Confirmation number</t>
        </is>
      </c>
      <c r="F41" s="54" t="inlineStr">
        <is>
          <t>מונה דיווח</t>
        </is>
      </c>
      <c r="G41" s="62" t="inlineStr">
        <is>
          <t>PK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</row>
    <row r="42" ht="20" customHeight="1">
      <c r="A42" s="41" t="n">
        <v>29</v>
      </c>
      <c r="B42" s="51" t="n"/>
      <c r="C42" s="51" t="n"/>
      <c r="D42" s="44" t="inlineStr">
        <is>
          <t>MBLNR</t>
        </is>
      </c>
      <c r="E42" s="45" t="inlineStr">
        <is>
          <t>Material document number</t>
        </is>
      </c>
      <c r="F42" s="46" t="inlineStr">
        <is>
          <t>מסמך חומר</t>
        </is>
      </c>
      <c r="G42" s="57" t="inlineStr">
        <is>
          <t>FK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</row>
    <row r="43" ht="20" customHeight="1">
      <c r="A43" s="50" t="n">
        <v>30</v>
      </c>
      <c r="B43" s="58" t="n"/>
      <c r="C43" s="58" t="n"/>
      <c r="D43" s="52" t="inlineStr">
        <is>
          <t>MATNR</t>
        </is>
      </c>
      <c r="E43" s="53" t="inlineStr">
        <is>
          <t>Material</t>
        </is>
      </c>
      <c r="F43" s="54" t="inlineStr">
        <is>
          <t>חומר</t>
        </is>
      </c>
      <c r="G43" s="59" t="inlineStr">
        <is>
          <t>FK</t>
        </is>
      </c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4" customHeight="1">
      <c r="A45" s="40" t="inlineStr">
        <is>
          <t xml:space="preserve">  ◆ טבלה T003O  -  סוגי פקודה (Order Types - Customizing; הוגדר כ-T350)  (Order types (config; correct=T003O, not T350))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0" customHeight="1">
      <c r="A46" s="41" t="n">
        <v>31</v>
      </c>
      <c r="B46" s="42" t="inlineStr">
        <is>
          <t>SPRO; OIOA, KOT2_OPA</t>
        </is>
      </c>
      <c r="C46" s="43" t="inlineStr">
        <is>
          <t>T003O</t>
        </is>
      </c>
      <c r="D46" s="44" t="inlineStr">
        <is>
          <t>AUART</t>
        </is>
      </c>
      <c r="E46" s="45" t="inlineStr">
        <is>
          <t>Order type (PM01/PM02/PM03)</t>
        </is>
      </c>
      <c r="F46" s="46" t="inlineStr">
        <is>
          <t>סוג פקודה</t>
        </is>
      </c>
      <c r="G46" s="47" t="inlineStr">
        <is>
          <t>PK</t>
        </is>
      </c>
      <c r="H46" s="42" t="inlineStr">
        <is>
          <t>• ORDER_TYPE_READ
• CO_BT_ORDER_TYPE_CHECK</t>
        </is>
      </c>
      <c r="I46" s="48" t="inlineStr">
        <is>
          <t>• קריאת סוג פקודה והגדרותיו
• בדיקת תקינות סוג פקודה</t>
        </is>
      </c>
      <c r="J46" s="42" t="inlineStr">
        <is>
          <t>• RIAUFK20</t>
        </is>
      </c>
      <c r="K46" s="48" t="inlineStr">
        <is>
          <t>• ניתוח פק"ע לפי סוג</t>
        </is>
      </c>
      <c r="L46" s="49" t="inlineStr">
        <is>
          <t>ללא שינוי (Customizing תואם)</t>
        </is>
      </c>
      <c r="M46" s="49" t="inlineStr">
        <is>
          <t>T003O (זהה)</t>
        </is>
      </c>
      <c r="N46" s="49" t="inlineStr">
        <is>
          <t>SPRO/OIOA (זהה)</t>
        </is>
      </c>
      <c r="O46" s="43" t="inlineStr">
        <is>
          <t>אין Fiori ייעודי (Customizing)</t>
        </is>
      </c>
      <c r="P46" s="49" t="inlineStr">
        <is>
          <t>ללא פעולת המרה ייעודית ב-SUM (טבלה תואמת). מומלץ Regression Test ואימות התאמות אישיות לאחר ההמרה.</t>
        </is>
      </c>
    </row>
    <row r="47" ht="20" customHeight="1">
      <c r="A47" s="50" t="n">
        <v>32</v>
      </c>
      <c r="B47" s="51" t="n"/>
      <c r="C47" s="51" t="n"/>
      <c r="D47" s="52" t="inlineStr">
        <is>
          <t>AUTYP</t>
        </is>
      </c>
      <c r="E47" s="53" t="inlineStr">
        <is>
          <t>Order category (30=PM)</t>
        </is>
      </c>
      <c r="F47" s="54" t="inlineStr">
        <is>
          <t>קטגוריית פקודה</t>
        </is>
      </c>
      <c r="G47" s="55" t="inlineStr">
        <is>
          <t>-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</row>
    <row r="48" ht="20" customHeight="1">
      <c r="A48" s="41" t="n">
        <v>33</v>
      </c>
      <c r="B48" s="51" t="n"/>
      <c r="C48" s="51" t="n"/>
      <c r="D48" s="44" t="inlineStr">
        <is>
          <t>STSMA</t>
        </is>
      </c>
      <c r="E48" s="45" t="inlineStr">
        <is>
          <t>Status profile</t>
        </is>
      </c>
      <c r="F48" s="46" t="inlineStr">
        <is>
          <t>פרופיל סטטוס</t>
        </is>
      </c>
      <c r="G48" s="57" t="inlineStr">
        <is>
          <t>FK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</row>
    <row r="49" ht="20" customHeight="1">
      <c r="A49" s="50" t="n">
        <v>34</v>
      </c>
      <c r="B49" s="58" t="n"/>
      <c r="C49" s="58" t="n"/>
      <c r="D49" s="52" t="inlineStr">
        <is>
          <t>NUMKR</t>
        </is>
      </c>
      <c r="E49" s="53" t="inlineStr">
        <is>
          <t>Number range</t>
        </is>
      </c>
      <c r="F49" s="54" t="inlineStr">
        <is>
          <t>טווח מספרים</t>
        </is>
      </c>
      <c r="G49" s="55" t="inlineStr">
        <is>
          <t>-</t>
        </is>
      </c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4" customHeight="1">
      <c r="A52" s="40" t="inlineStr">
        <is>
          <t xml:space="preserve">  ⚙ הרחבות טכניות ושינויי ארכיטקטורה (Technical Extensions: User Exits / BAdIs / ECC vs S/4HANA)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66" t="inlineStr">
        <is>
          <t>סוג (Type)</t>
        </is>
      </c>
      <c r="B53" s="4" t="n"/>
      <c r="C53" s="66" t="inlineStr">
        <is>
          <t>קוד / שם טכני (Code)</t>
        </is>
      </c>
      <c r="D53" s="4" t="n"/>
      <c r="E53" s="66" t="inlineStr">
        <is>
          <t>תיאור / הבדל (Hebrew)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 ht="24" customHeight="1">
      <c r="A54" s="70" t="inlineStr">
        <is>
          <t>User Exit (SMOD)</t>
        </is>
      </c>
      <c r="B54" s="4" t="n"/>
      <c r="C54" s="71" t="inlineStr">
        <is>
          <t>IWO10009</t>
        </is>
      </c>
      <c r="D54" s="4" t="n"/>
      <c r="E54" s="72" t="inlineStr">
        <is>
          <t>הרחבת לקוח לפק"ע - בדיקות והשלמת שדות בכותרת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 ht="24" customHeight="1">
      <c r="A55" s="67" t="inlineStr">
        <is>
          <t>User Exit (SMOD)</t>
        </is>
      </c>
      <c r="B55" s="4" t="n"/>
      <c r="C55" s="68" t="inlineStr">
        <is>
          <t>IWO10002</t>
        </is>
      </c>
      <c r="D55" s="4" t="n"/>
      <c r="E55" s="69" t="inlineStr">
        <is>
          <t>בדיקות בעת שמירת פקודת עבודה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 ht="24" customHeight="1">
      <c r="A56" s="70" t="inlineStr">
        <is>
          <t>User Exit (SMOD)</t>
        </is>
      </c>
      <c r="B56" s="4" t="n"/>
      <c r="C56" s="71" t="inlineStr">
        <is>
          <t>IWO10012</t>
        </is>
      </c>
      <c r="D56" s="4" t="n"/>
      <c r="E56" s="72" t="inlineStr">
        <is>
          <t>בדיקת אישורי עבודה (Permits) בפק"ע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 ht="24" customHeight="1">
      <c r="A57" s="67" t="inlineStr">
        <is>
          <t>User Exit (SMOD)</t>
        </is>
      </c>
      <c r="B57" s="4" t="n"/>
      <c r="C57" s="68" t="inlineStr">
        <is>
          <t>IWO10018</t>
        </is>
      </c>
      <c r="D57" s="4" t="n"/>
      <c r="E57" s="69" t="inlineStr">
        <is>
          <t>בדיקת/הרחבת רכיבים בפק"ע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 ht="24" customHeight="1">
      <c r="A58" s="70" t="inlineStr">
        <is>
          <t>User Exit (SMOD)</t>
        </is>
      </c>
      <c r="B58" s="4" t="n"/>
      <c r="C58" s="71" t="inlineStr">
        <is>
          <t>IWO10024</t>
        </is>
      </c>
      <c r="D58" s="4" t="n"/>
      <c r="E58" s="72" t="inlineStr">
        <is>
          <t>הרחבת פעולות (Operations) בפק"ע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 ht="24" customHeight="1">
      <c r="A59" s="67" t="inlineStr">
        <is>
          <t>BAdI (SE18)</t>
        </is>
      </c>
      <c r="B59" s="4" t="n"/>
      <c r="C59" s="68" t="inlineStr">
        <is>
          <t>WORKORDER_UPDATE</t>
        </is>
      </c>
      <c r="D59" s="4" t="n"/>
      <c r="E59" s="69" t="inlineStr">
        <is>
          <t>BAdI לעדכון/בדיקת פקודת עבודה (לפני שמירה)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 ht="24" customHeight="1">
      <c r="A60" s="70" t="inlineStr">
        <is>
          <t>BAdI (SE18)</t>
        </is>
      </c>
      <c r="B60" s="4" t="n"/>
      <c r="C60" s="71" t="inlineStr">
        <is>
          <t>WORKORDER_GOODSMVT</t>
        </is>
      </c>
      <c r="D60" s="4" t="n"/>
      <c r="E60" s="72" t="inlineStr">
        <is>
          <t>BAdI לתנועות מלאי בפק"ע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 ht="24" customHeight="1">
      <c r="A61" s="67" t="inlineStr">
        <is>
          <t>BAdI (SE18)</t>
        </is>
      </c>
      <c r="B61" s="4" t="n"/>
      <c r="C61" s="68" t="inlineStr">
        <is>
          <t>WORKORDER_INFOSYSTEM</t>
        </is>
      </c>
      <c r="D61" s="4" t="n"/>
      <c r="E61" s="69" t="inlineStr">
        <is>
          <t>BAdI לרשימות/דוחות פק"ע (IW38/39)</t>
        </is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 ht="24" customHeight="1">
      <c r="A62" s="70" t="inlineStr">
        <is>
          <t>ארכיטקטורה ECC↔S/4</t>
        </is>
      </c>
      <c r="B62" s="4" t="n"/>
      <c r="C62" s="71" t="inlineStr">
        <is>
          <t>—</t>
        </is>
      </c>
      <c r="D62" s="4" t="n"/>
      <c r="E62" s="72" t="inlineStr">
        <is>
          <t>מודל AUFK/AFKO/AFPO/AFIH מותאם; עלויות בפועל זורמות ל-ACDOCA (Universal Journal).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 ht="24" customHeight="1">
      <c r="A63" s="67" t="inlineStr">
        <is>
          <t>ארכיטקטורה ECC↔S/4</t>
        </is>
      </c>
      <c r="B63" s="4" t="n"/>
      <c r="C63" s="68" t="inlineStr">
        <is>
          <t>—</t>
        </is>
      </c>
      <c r="D63" s="4" t="n"/>
      <c r="E63" s="69" t="inlineStr">
        <is>
          <t>ב-S/4 'Find/Create Maintenance Order' (F2393) ו-Maintenance Scheduling Board; תזמון פושט.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 ht="24" customHeight="1">
      <c r="A64" s="70" t="inlineStr">
        <is>
          <t>ארכיטקטורה ECC↔S/4</t>
        </is>
      </c>
      <c r="B64" s="4" t="n"/>
      <c r="C64" s="71" t="inlineStr">
        <is>
          <t>—</t>
        </is>
      </c>
      <c r="D64" s="4" t="n"/>
      <c r="E64" s="72" t="inlineStr">
        <is>
          <t>IWO10009 נתמך; לפיתוח חדש מומלץ WORKORDER_UPDATE.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</sheetData>
  <mergeCells count="123">
    <mergeCell ref="C62:D62"/>
    <mergeCell ref="A64:B64"/>
    <mergeCell ref="A17:P17"/>
    <mergeCell ref="C11:C15"/>
    <mergeCell ref="C64:D64"/>
    <mergeCell ref="L18:L23"/>
    <mergeCell ref="A54:B54"/>
    <mergeCell ref="N18:N23"/>
    <mergeCell ref="C54:D54"/>
    <mergeCell ref="O26:O29"/>
    <mergeCell ref="C63:D63"/>
    <mergeCell ref="B4:B8"/>
    <mergeCell ref="A39:P39"/>
    <mergeCell ref="A56:B56"/>
    <mergeCell ref="P4:P8"/>
    <mergeCell ref="K4:K8"/>
    <mergeCell ref="K40:K43"/>
    <mergeCell ref="C40:C43"/>
    <mergeCell ref="C56:D56"/>
    <mergeCell ref="O32:O37"/>
    <mergeCell ref="H4:H8"/>
    <mergeCell ref="E58:P58"/>
    <mergeCell ref="L46:L49"/>
    <mergeCell ref="A53:B53"/>
    <mergeCell ref="M18:M23"/>
    <mergeCell ref="A62:B62"/>
    <mergeCell ref="B26:B29"/>
    <mergeCell ref="J46:J49"/>
    <mergeCell ref="B32:B37"/>
    <mergeCell ref="J4:J8"/>
    <mergeCell ref="H26:H29"/>
    <mergeCell ref="A59:B59"/>
    <mergeCell ref="I4:I8"/>
    <mergeCell ref="A52:P52"/>
    <mergeCell ref="A61:B61"/>
    <mergeCell ref="P40:P43"/>
    <mergeCell ref="E59:P59"/>
    <mergeCell ref="A10:P10"/>
    <mergeCell ref="H40:H43"/>
    <mergeCell ref="B18:B23"/>
    <mergeCell ref="O11:O15"/>
    <mergeCell ref="M40:M43"/>
    <mergeCell ref="M4:M8"/>
    <mergeCell ref="E61:P61"/>
    <mergeCell ref="N11:N15"/>
    <mergeCell ref="E57:P57"/>
    <mergeCell ref="E54:P54"/>
    <mergeCell ref="C60:D60"/>
    <mergeCell ref="A45:P45"/>
    <mergeCell ref="M26:M29"/>
    <mergeCell ref="C46:C49"/>
    <mergeCell ref="L11:L15"/>
    <mergeCell ref="O46:O49"/>
    <mergeCell ref="O40:O43"/>
    <mergeCell ref="E56:P56"/>
    <mergeCell ref="C32:C37"/>
    <mergeCell ref="M32:M37"/>
    <mergeCell ref="B11:B15"/>
    <mergeCell ref="A63:B63"/>
    <mergeCell ref="C57:D57"/>
    <mergeCell ref="P11:P15"/>
    <mergeCell ref="C53:D53"/>
    <mergeCell ref="K18:K23"/>
    <mergeCell ref="C18:C23"/>
    <mergeCell ref="N26:N29"/>
    <mergeCell ref="P26:P29"/>
    <mergeCell ref="C58:D58"/>
    <mergeCell ref="A1:B1"/>
    <mergeCell ref="B46:B49"/>
    <mergeCell ref="E60:P60"/>
    <mergeCell ref="L32:L37"/>
    <mergeCell ref="N32:N37"/>
    <mergeCell ref="N46:N49"/>
    <mergeCell ref="H46:H49"/>
    <mergeCell ref="J40:J43"/>
    <mergeCell ref="K46:K49"/>
    <mergeCell ref="M46:M49"/>
    <mergeCell ref="A55:B55"/>
    <mergeCell ref="C59:D59"/>
    <mergeCell ref="A57:B57"/>
    <mergeCell ref="C4:C8"/>
    <mergeCell ref="C61:D61"/>
    <mergeCell ref="A25:P25"/>
    <mergeCell ref="L40:L43"/>
    <mergeCell ref="N40:N43"/>
    <mergeCell ref="P18:P23"/>
    <mergeCell ref="E62:P62"/>
    <mergeCell ref="H18:H23"/>
    <mergeCell ref="J18:J23"/>
    <mergeCell ref="A3:P3"/>
    <mergeCell ref="E64:P64"/>
    <mergeCell ref="O4:O8"/>
    <mergeCell ref="I40:I43"/>
    <mergeCell ref="A60:B60"/>
    <mergeCell ref="L4:L8"/>
    <mergeCell ref="I26:I29"/>
    <mergeCell ref="H11:H15"/>
    <mergeCell ref="K26:K29"/>
    <mergeCell ref="E63:P63"/>
    <mergeCell ref="J11:J15"/>
    <mergeCell ref="C26:C29"/>
    <mergeCell ref="P46:P49"/>
    <mergeCell ref="I32:I37"/>
    <mergeCell ref="O18:O23"/>
    <mergeCell ref="K32:K37"/>
    <mergeCell ref="A31:P31"/>
    <mergeCell ref="C55:D55"/>
    <mergeCell ref="C1:P1"/>
    <mergeCell ref="I11:I15"/>
    <mergeCell ref="I18:I23"/>
    <mergeCell ref="J26:J29"/>
    <mergeCell ref="B40:B43"/>
    <mergeCell ref="N4:N8"/>
    <mergeCell ref="L26:L29"/>
    <mergeCell ref="E53:P53"/>
    <mergeCell ref="P32:P37"/>
    <mergeCell ref="H32:H37"/>
    <mergeCell ref="J32:J37"/>
    <mergeCell ref="E55:P55"/>
    <mergeCell ref="K11:K15"/>
    <mergeCell ref="M11:M15"/>
    <mergeCell ref="I46:I49"/>
    <mergeCell ref="A58:B58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41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8. ניהול סטטוסים (Status Mgmt)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JEST  -  סטטוס אובייקט (פעיל/לא פעיל)  (Individual object status)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BS22/BS23; IW33, IE03</t>
        </is>
      </c>
      <c r="C4" s="43" t="inlineStr">
        <is>
          <t>JEST</t>
        </is>
      </c>
      <c r="D4" s="44" t="inlineStr">
        <is>
          <t>OBJNR</t>
        </is>
      </c>
      <c r="E4" s="45" t="inlineStr">
        <is>
          <t>Object number</t>
        </is>
      </c>
      <c r="F4" s="46" t="inlineStr">
        <is>
          <t>מפתח אובייקט</t>
        </is>
      </c>
      <c r="G4" s="47" t="inlineStr">
        <is>
          <t>PK/FK</t>
        </is>
      </c>
      <c r="H4" s="42" t="inlineStr">
        <is>
          <t>• STATUS_READ
• STATUS_CHANGE_INTERN
• STATUS_CHANGE_EXTERN</t>
        </is>
      </c>
      <c r="I4" s="48" t="inlineStr">
        <is>
          <t>• קריאת סטטוסי אובייקט
• שינוי סטטוס מערכת פנימי
• שינוי סטטוס משתמש</t>
        </is>
      </c>
      <c r="J4" s="42" t="inlineStr">
        <is>
          <t>• RISTAT00</t>
        </is>
      </c>
      <c r="K4" s="48" t="inlineStr">
        <is>
          <t>• ניתוח סטטוסים פעילים לאובייקטים</t>
        </is>
      </c>
      <c r="L4" s="49" t="inlineStr">
        <is>
          <t>ללא שינוי (תואם)</t>
        </is>
      </c>
      <c r="M4" s="49" t="inlineStr">
        <is>
          <t>JEST (זהה)</t>
        </is>
      </c>
      <c r="N4" s="49" t="inlineStr">
        <is>
          <t>BS22/BS23 (זהה)</t>
        </is>
      </c>
      <c r="O4" s="43" t="inlineStr">
        <is>
          <t>מוטמע באפליקציות PM (אין ייעודי)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STAT</t>
        </is>
      </c>
      <c r="E5" s="53" t="inlineStr">
        <is>
          <t>Status code</t>
        </is>
      </c>
      <c r="F5" s="54" t="inlineStr">
        <is>
          <t>קוד סטטוס</t>
        </is>
      </c>
      <c r="G5" s="62" t="inlineStr">
        <is>
          <t>PK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INACT</t>
        </is>
      </c>
      <c r="E6" s="45" t="inlineStr">
        <is>
          <t>Inactive indicator</t>
        </is>
      </c>
      <c r="F6" s="46" t="inlineStr">
        <is>
          <t>מחוון לא-פעיל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8" t="n"/>
      <c r="C7" s="58" t="n"/>
      <c r="D7" s="52" t="inlineStr">
        <is>
          <t>CHGNR</t>
        </is>
      </c>
      <c r="E7" s="53" t="inlineStr">
        <is>
          <t>Change number</t>
        </is>
      </c>
      <c r="F7" s="54" t="inlineStr">
        <is>
          <t>מספר שינוי</t>
        </is>
      </c>
      <c r="G7" s="55" t="inlineStr">
        <is>
          <t>-</t>
        </is>
      </c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24" customHeight="1">
      <c r="A9" s="40" t="inlineStr">
        <is>
          <t xml:space="preserve">  ◆ טבלה JSTO  -  כותרת אובייקט סטטוס + פרופיל  (Status object header + profile)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0" customHeight="1">
      <c r="A10" s="41" t="n">
        <v>5</v>
      </c>
      <c r="B10" s="42" t="inlineStr">
        <is>
          <t>BS02/BS03; OIBS</t>
        </is>
      </c>
      <c r="C10" s="43" t="inlineStr">
        <is>
          <t>JSTO</t>
        </is>
      </c>
      <c r="D10" s="44" t="inlineStr">
        <is>
          <t>OBJNR</t>
        </is>
      </c>
      <c r="E10" s="45" t="inlineStr">
        <is>
          <t>Object number</t>
        </is>
      </c>
      <c r="F10" s="46" t="inlineStr">
        <is>
          <t>מפתח אובייקט</t>
        </is>
      </c>
      <c r="G10" s="47" t="inlineStr">
        <is>
          <t>PK</t>
        </is>
      </c>
      <c r="H10" s="42" t="inlineStr">
        <is>
          <t>• STATUS_OBJECT_CREATE
• STATUS_PROFILE_READ</t>
        </is>
      </c>
      <c r="I10" s="48" t="inlineStr">
        <is>
          <t>• יצירת אובייקט סטטוס
• קריאת פרופיל סטטוס</t>
        </is>
      </c>
      <c r="J10" s="42" t="inlineStr">
        <is>
          <t>• RIBS0200</t>
        </is>
      </c>
      <c r="K10" s="48" t="inlineStr">
        <is>
          <t>• סקירת פרופילי סטטוס וחסימות</t>
        </is>
      </c>
      <c r="L10" s="49" t="inlineStr">
        <is>
          <t>ללא שינוי (תואם)</t>
        </is>
      </c>
      <c r="M10" s="49" t="inlineStr">
        <is>
          <t>JSTO (זהה)</t>
        </is>
      </c>
      <c r="N10" s="49" t="inlineStr">
        <is>
          <t>BS02/BS03 (זהה)</t>
        </is>
      </c>
      <c r="O10" s="43" t="inlineStr">
        <is>
          <t>מוטמע באפליקציות PM (אין ייעודי)</t>
        </is>
      </c>
      <c r="P10" s="49" t="inlineStr">
        <is>
          <t>ללא פעולת המרה ייעודית ב-SUM (טבלה תואמת). מומלץ Regression Test ואימות התאמות אישיות לאחר ההמרה.</t>
        </is>
      </c>
    </row>
    <row r="11" ht="20" customHeight="1">
      <c r="A11" s="50" t="n">
        <v>6</v>
      </c>
      <c r="B11" s="51" t="n"/>
      <c r="C11" s="51" t="n"/>
      <c r="D11" s="52" t="inlineStr">
        <is>
          <t>STSMA</t>
        </is>
      </c>
      <c r="E11" s="53" t="inlineStr">
        <is>
          <t>Status profile</t>
        </is>
      </c>
      <c r="F11" s="54" t="inlineStr">
        <is>
          <t>פרופיל סטטוס</t>
        </is>
      </c>
      <c r="G11" s="59" t="inlineStr">
        <is>
          <t>FK</t>
        </is>
      </c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</row>
    <row r="12" ht="20" customHeight="1">
      <c r="A12" s="41" t="n">
        <v>7</v>
      </c>
      <c r="B12" s="51" t="n"/>
      <c r="C12" s="51" t="n"/>
      <c r="D12" s="44" t="inlineStr">
        <is>
          <t>OBTYP</t>
        </is>
      </c>
      <c r="E12" s="45" t="inlineStr">
        <is>
          <t>Object type</t>
        </is>
      </c>
      <c r="F12" s="46" t="inlineStr">
        <is>
          <t>סוג אובייקט</t>
        </is>
      </c>
      <c r="G12" s="56" t="inlineStr">
        <is>
          <t>-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8" t="n"/>
      <c r="C13" s="58" t="n"/>
      <c r="D13" s="52" t="inlineStr">
        <is>
          <t>CHGKZ</t>
        </is>
      </c>
      <c r="E13" s="53" t="inlineStr">
        <is>
          <t>Change flag</t>
        </is>
      </c>
      <c r="F13" s="54" t="inlineStr">
        <is>
          <t>מחוון שינוי</t>
        </is>
      </c>
      <c r="G13" s="55" t="inlineStr">
        <is>
          <t>-</t>
        </is>
      </c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4" customHeight="1">
      <c r="A15" s="40" t="inlineStr">
        <is>
          <t xml:space="preserve">  ◆ טבלה TJ02T  -  טקסטים של סטטוסי מערכת  (System status texts)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0" customHeight="1">
      <c r="A16" s="41" t="n">
        <v>9</v>
      </c>
      <c r="B16" s="42" t="inlineStr">
        <is>
          <t>BS23; BS22</t>
        </is>
      </c>
      <c r="C16" s="43" t="inlineStr">
        <is>
          <t>TJ02T</t>
        </is>
      </c>
      <c r="D16" s="44" t="inlineStr">
        <is>
          <t>ISTAT</t>
        </is>
      </c>
      <c r="E16" s="45" t="inlineStr">
        <is>
          <t>Internal system status</t>
        </is>
      </c>
      <c r="F16" s="46" t="inlineStr">
        <is>
          <t>סטטוס מערכת פנימי</t>
        </is>
      </c>
      <c r="G16" s="47" t="inlineStr">
        <is>
          <t>PK</t>
        </is>
      </c>
      <c r="H16" s="42" t="inlineStr">
        <is>
          <t>• STATUS_TEXT_READ</t>
        </is>
      </c>
      <c r="I16" s="48" t="inlineStr">
        <is>
          <t>• קריאת טקסט סטטוס מערכת</t>
        </is>
      </c>
      <c r="J16" s="42" t="inlineStr">
        <is>
          <t>• RISTAT00</t>
        </is>
      </c>
      <c r="K16" s="48" t="inlineStr">
        <is>
          <t>• פענוח קודי סטטוס בדוחות</t>
        </is>
      </c>
      <c r="L16" s="49" t="inlineStr">
        <is>
          <t>ללא שינוי (תואם)</t>
        </is>
      </c>
      <c r="M16" s="49" t="inlineStr">
        <is>
          <t>TJ02T (זהה)</t>
        </is>
      </c>
      <c r="N16" s="49" t="inlineStr">
        <is>
          <t>BS23 (זהה)</t>
        </is>
      </c>
      <c r="O16" s="43" t="inlineStr">
        <is>
          <t>מוטמע (אין ייעודי)</t>
        </is>
      </c>
      <c r="P16" s="49" t="inlineStr">
        <is>
          <t>ללא פעולת המרה ייעודית ב-SUM (טבלה תואמת). מומלץ Regression Test ואימות התאמות אישיות לאחר ההמרה.</t>
        </is>
      </c>
    </row>
    <row r="17" ht="20" customHeight="1">
      <c r="A17" s="50" t="n">
        <v>10</v>
      </c>
      <c r="B17" s="51" t="n"/>
      <c r="C17" s="51" t="n"/>
      <c r="D17" s="52" t="inlineStr">
        <is>
          <t>SPRAS</t>
        </is>
      </c>
      <c r="E17" s="53" t="inlineStr">
        <is>
          <t>Language key</t>
        </is>
      </c>
      <c r="F17" s="54" t="inlineStr">
        <is>
          <t>שפה</t>
        </is>
      </c>
      <c r="G17" s="62" t="inlineStr">
        <is>
          <t>PK</t>
        </is>
      </c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</row>
    <row r="18" ht="20" customHeight="1">
      <c r="A18" s="41" t="n">
        <v>11</v>
      </c>
      <c r="B18" s="51" t="n"/>
      <c r="C18" s="51" t="n"/>
      <c r="D18" s="44" t="inlineStr">
        <is>
          <t>TXT04</t>
        </is>
      </c>
      <c r="E18" s="45" t="inlineStr">
        <is>
          <t>Status code (CRTD/REL/TECO/CLSD)</t>
        </is>
      </c>
      <c r="F18" s="46" t="inlineStr">
        <is>
          <t>קוד סטטוס מקוצר</t>
        </is>
      </c>
      <c r="G18" s="56" t="inlineStr">
        <is>
          <t>-</t>
        </is>
      </c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0" customHeight="1">
      <c r="A19" s="50" t="n">
        <v>12</v>
      </c>
      <c r="B19" s="58" t="n"/>
      <c r="C19" s="58" t="n"/>
      <c r="D19" s="52" t="inlineStr">
        <is>
          <t>TXT30</t>
        </is>
      </c>
      <c r="E19" s="53" t="inlineStr">
        <is>
          <t>Status long text</t>
        </is>
      </c>
      <c r="F19" s="54" t="inlineStr">
        <is>
          <t>תיאור ארוך</t>
        </is>
      </c>
      <c r="G19" s="55" t="inlineStr">
        <is>
          <t>-</t>
        </is>
      </c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4" customHeight="1">
      <c r="A21" s="40" t="inlineStr">
        <is>
          <t xml:space="preserve">  ◆ טבלה TJ30T  -  טקסטים של סטטוסי משתמש  (User status texts)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0" customHeight="1">
      <c r="A22" s="41" t="n">
        <v>13</v>
      </c>
      <c r="B22" s="42" t="inlineStr">
        <is>
          <t>BS02; BS03</t>
        </is>
      </c>
      <c r="C22" s="43" t="inlineStr">
        <is>
          <t>TJ30T</t>
        </is>
      </c>
      <c r="D22" s="44" t="inlineStr">
        <is>
          <t>STSMA</t>
        </is>
      </c>
      <c r="E22" s="45" t="inlineStr">
        <is>
          <t>Status profile</t>
        </is>
      </c>
      <c r="F22" s="46" t="inlineStr">
        <is>
          <t>פרופיל סטטוס</t>
        </is>
      </c>
      <c r="G22" s="47" t="inlineStr">
        <is>
          <t>PK</t>
        </is>
      </c>
      <c r="H22" s="42" t="inlineStr">
        <is>
          <t>• USER_STATUS_TEXT_READ</t>
        </is>
      </c>
      <c r="I22" s="48" t="inlineStr">
        <is>
          <t>• קריאת טקסט סטטוס משתמש</t>
        </is>
      </c>
      <c r="J22" s="42" t="inlineStr">
        <is>
          <t>• RIBS0200</t>
        </is>
      </c>
      <c r="K22" s="48" t="inlineStr">
        <is>
          <t>• סקירת סטטוסי משתמש בפרופיל</t>
        </is>
      </c>
      <c r="L22" s="49" t="inlineStr">
        <is>
          <t>ללא שינוי (תואם)</t>
        </is>
      </c>
      <c r="M22" s="49" t="inlineStr">
        <is>
          <t>TJ30T (זהה)</t>
        </is>
      </c>
      <c r="N22" s="49" t="inlineStr">
        <is>
          <t>BS02/BS03 (זהה)</t>
        </is>
      </c>
      <c r="O22" s="43" t="inlineStr">
        <is>
          <t>מוטמע (אין ייעודי)</t>
        </is>
      </c>
      <c r="P22" s="49" t="inlineStr">
        <is>
          <t>ללא פעולת המרה ייעודית ב-SUM (טבלה תואמת). מומלץ Regression Test ואימות התאמות אישיות לאחר ההמרה.</t>
        </is>
      </c>
    </row>
    <row r="23" ht="20" customHeight="1">
      <c r="A23" s="50" t="n">
        <v>14</v>
      </c>
      <c r="B23" s="51" t="n"/>
      <c r="C23" s="51" t="n"/>
      <c r="D23" s="52" t="inlineStr">
        <is>
          <t>ESTAT</t>
        </is>
      </c>
      <c r="E23" s="53" t="inlineStr">
        <is>
          <t>User status</t>
        </is>
      </c>
      <c r="F23" s="54" t="inlineStr">
        <is>
          <t>סטטוס משתמש</t>
        </is>
      </c>
      <c r="G23" s="62" t="inlineStr">
        <is>
          <t>PK</t>
        </is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 ht="20" customHeight="1">
      <c r="A24" s="41" t="n">
        <v>15</v>
      </c>
      <c r="B24" s="51" t="n"/>
      <c r="C24" s="51" t="n"/>
      <c r="D24" s="44" t="inlineStr">
        <is>
          <t>SPRAS</t>
        </is>
      </c>
      <c r="E24" s="45" t="inlineStr">
        <is>
          <t>Language key</t>
        </is>
      </c>
      <c r="F24" s="46" t="inlineStr">
        <is>
          <t>שפה</t>
        </is>
      </c>
      <c r="G24" s="47" t="inlineStr">
        <is>
          <t>PK</t>
        </is>
      </c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 ht="20" customHeight="1">
      <c r="A25" s="50" t="n">
        <v>16</v>
      </c>
      <c r="B25" s="51" t="n"/>
      <c r="C25" s="51" t="n"/>
      <c r="D25" s="52" t="inlineStr">
        <is>
          <t>TXT04</t>
        </is>
      </c>
      <c r="E25" s="53" t="inlineStr">
        <is>
          <t>User status short code</t>
        </is>
      </c>
      <c r="F25" s="54" t="inlineStr">
        <is>
          <t>קוד מקוצר</t>
        </is>
      </c>
      <c r="G25" s="55" t="inlineStr">
        <is>
          <t>-</t>
        </is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 ht="20" customHeight="1">
      <c r="A26" s="41" t="n">
        <v>17</v>
      </c>
      <c r="B26" s="58" t="n"/>
      <c r="C26" s="58" t="n"/>
      <c r="D26" s="44" t="inlineStr">
        <is>
          <t>TXT30</t>
        </is>
      </c>
      <c r="E26" s="45" t="inlineStr">
        <is>
          <t>User status text</t>
        </is>
      </c>
      <c r="F26" s="46" t="inlineStr">
        <is>
          <t>תיאור סטטוס משתמש</t>
        </is>
      </c>
      <c r="G26" s="56" t="inlineStr">
        <is>
          <t>-</t>
        </is>
      </c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4" customHeight="1">
      <c r="A28" s="40" t="inlineStr">
        <is>
          <t xml:space="preserve">  ◆ טבלה TJ30  -  סטטוסי משתמש בפרופיל (User Status - לתהליכי CBC)  (User statuses within status profile (workflow control))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0" customHeight="1">
      <c r="A29" s="50" t="n">
        <v>18</v>
      </c>
      <c r="B29" s="60" t="inlineStr">
        <is>
          <t>BS02/BS03; OIBS</t>
        </is>
      </c>
      <c r="C29" s="61" t="inlineStr">
        <is>
          <t>TJ30</t>
        </is>
      </c>
      <c r="D29" s="52" t="inlineStr">
        <is>
          <t>STSMA</t>
        </is>
      </c>
      <c r="E29" s="53" t="inlineStr">
        <is>
          <t>Status profile</t>
        </is>
      </c>
      <c r="F29" s="54" t="inlineStr">
        <is>
          <t>פרופיל סטטוס</t>
        </is>
      </c>
      <c r="G29" s="62" t="inlineStr">
        <is>
          <t>PK/FK</t>
        </is>
      </c>
      <c r="H29" s="60" t="inlineStr">
        <is>
          <t>• STATUS_USER_CHANGE
• STATUS_PROFILE_READ</t>
        </is>
      </c>
      <c r="I29" s="63" t="inlineStr">
        <is>
          <t>• שינוי סטטוס משתמש
• קריאת פרופיל וסטטוסי המשתמש</t>
        </is>
      </c>
      <c r="J29" s="60" t="inlineStr">
        <is>
          <t>• RIBS0200</t>
        </is>
      </c>
      <c r="K29" s="63" t="inlineStr">
        <is>
          <t>• סקירת פרופילי סטטוס וחסימות תהליך</t>
        </is>
      </c>
      <c r="L29" s="64" t="inlineStr">
        <is>
          <t>ללא שינוי (תואם)</t>
        </is>
      </c>
      <c r="M29" s="64" t="inlineStr">
        <is>
          <t>TJ30 (זהה)</t>
        </is>
      </c>
      <c r="N29" s="64" t="inlineStr">
        <is>
          <t>BS02/BS03 (זהה)</t>
        </is>
      </c>
      <c r="O29" s="65" t="inlineStr">
        <is>
          <t>מוטמע באפליקציות PM (אין ייעודי)</t>
        </is>
      </c>
      <c r="P29" s="64" t="inlineStr">
        <is>
          <t>ללא פעולת המרה ייעודית ב-SUM (טבלה תואמת). מומלץ Regression Test ואימות התאמות אישיות לאחר ההמרה.</t>
        </is>
      </c>
    </row>
    <row r="30" ht="20" customHeight="1">
      <c r="A30" s="41" t="n">
        <v>19</v>
      </c>
      <c r="B30" s="51" t="n"/>
      <c r="C30" s="51" t="n"/>
      <c r="D30" s="44" t="inlineStr">
        <is>
          <t>ESTAT</t>
        </is>
      </c>
      <c r="E30" s="45" t="inlineStr">
        <is>
          <t>User status</t>
        </is>
      </c>
      <c r="F30" s="46" t="inlineStr">
        <is>
          <t>סטטוס משתמש</t>
        </is>
      </c>
      <c r="G30" s="47" t="inlineStr">
        <is>
          <t>PK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 ht="20" customHeight="1">
      <c r="A31" s="50" t="n">
        <v>20</v>
      </c>
      <c r="B31" s="51" t="n"/>
      <c r="C31" s="51" t="n"/>
      <c r="D31" s="52" t="inlineStr">
        <is>
          <t>TXT04</t>
        </is>
      </c>
      <c r="E31" s="53" t="inlineStr">
        <is>
          <t>User status short code</t>
        </is>
      </c>
      <c r="F31" s="54" t="inlineStr">
        <is>
          <t>קוד מקוצר</t>
        </is>
      </c>
      <c r="G31" s="55" t="inlineStr">
        <is>
          <t>-</t>
        </is>
      </c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0" customHeight="1">
      <c r="A32" s="41" t="n">
        <v>21</v>
      </c>
      <c r="B32" s="51" t="n"/>
      <c r="C32" s="51" t="n"/>
      <c r="D32" s="44" t="inlineStr">
        <is>
          <t>ANWND</t>
        </is>
      </c>
      <c r="E32" s="45" t="inlineStr">
        <is>
          <t>Application (PM=order/notif.)</t>
        </is>
      </c>
      <c r="F32" s="46" t="inlineStr">
        <is>
          <t>יישום (PM)</t>
        </is>
      </c>
      <c r="G32" s="56" t="inlineStr">
        <is>
          <t>-</t>
        </is>
      </c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  <row r="33" ht="20" customHeight="1">
      <c r="A33" s="50" t="n">
        <v>22</v>
      </c>
      <c r="B33" s="58" t="n"/>
      <c r="C33" s="58" t="n"/>
      <c r="D33" s="52" t="inlineStr">
        <is>
          <t>VORNR</t>
        </is>
      </c>
      <c r="E33" s="53" t="inlineStr">
        <is>
          <t>Status sequence number</t>
        </is>
      </c>
      <c r="F33" s="54" t="inlineStr">
        <is>
          <t>מספר סדר סטטוס</t>
        </is>
      </c>
      <c r="G33" s="55" t="inlineStr">
        <is>
          <t>-</t>
        </is>
      </c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4" customHeight="1">
      <c r="A36" s="40" t="inlineStr">
        <is>
          <t xml:space="preserve">  ⚙ הרחבות טכניות ושינויי ארכיטקטורה (Technical Extensions: User Exits / BAdIs / ECC vs S/4HANA)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66" t="inlineStr">
        <is>
          <t>סוג (Type)</t>
        </is>
      </c>
      <c r="B37" s="4" t="n"/>
      <c r="C37" s="66" t="inlineStr">
        <is>
          <t>קוד / שם טכני (Code)</t>
        </is>
      </c>
      <c r="D37" s="4" t="n"/>
      <c r="E37" s="66" t="inlineStr">
        <is>
          <t>תיאור / הבדל (Hebrew)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4" customHeight="1">
      <c r="A38" s="70" t="inlineStr">
        <is>
          <t>User Exit (SMOD)</t>
        </is>
      </c>
      <c r="B38" s="4" t="n"/>
      <c r="C38" s="71" t="inlineStr">
        <is>
          <t>STATUS (BS02/BS22)</t>
        </is>
      </c>
      <c r="D38" s="4" t="n"/>
      <c r="E38" s="72" t="inlineStr">
        <is>
          <t>סטטוס משתמש מוגדר בפרופיל ולא דרך user-exit ייעודי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4" customHeight="1">
      <c r="A39" s="67" t="inlineStr">
        <is>
          <t>BAdI (SE18)</t>
        </is>
      </c>
      <c r="B39" s="4" t="n"/>
      <c r="C39" s="68" t="inlineStr">
        <is>
          <t>BADI_STATUS_MANAGEMENT</t>
        </is>
      </c>
      <c r="D39" s="4" t="n"/>
      <c r="E39" s="69" t="inlineStr">
        <is>
          <t>הרחבת לוגיקת סטטוס (אמת שם ב-SE18)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4" customHeight="1">
      <c r="A40" s="70" t="inlineStr">
        <is>
          <t>ארכיטקטורה ECC↔S/4</t>
        </is>
      </c>
      <c r="B40" s="4" t="n"/>
      <c r="C40" s="71" t="inlineStr">
        <is>
          <t>—</t>
        </is>
      </c>
      <c r="D40" s="4" t="n"/>
      <c r="E40" s="72" t="inlineStr">
        <is>
          <t>JEST/JSTO/TJ02T/TJ30T ללא שינוי; חוקי החסימה (כגון GI לפני REL) זהים.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4" customHeight="1">
      <c r="A41" s="67" t="inlineStr">
        <is>
          <t>ארכיטקטורה ECC↔S/4</t>
        </is>
      </c>
      <c r="B41" s="4" t="n"/>
      <c r="C41" s="68" t="inlineStr">
        <is>
          <t>—</t>
        </is>
      </c>
      <c r="D41" s="4" t="n"/>
      <c r="E41" s="69" t="inlineStr">
        <is>
          <t>ב-S/4 ניהול סטטוס מוטמע באפליקציות Fiori של האובייקט.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</sheetData>
  <mergeCells count="78">
    <mergeCell ref="E38:P38"/>
    <mergeCell ref="H22:H26"/>
    <mergeCell ref="E40:P40"/>
    <mergeCell ref="A28:P28"/>
    <mergeCell ref="A41:B41"/>
    <mergeCell ref="A9:P9"/>
    <mergeCell ref="C41:D41"/>
    <mergeCell ref="C16:C19"/>
    <mergeCell ref="M29:M33"/>
    <mergeCell ref="M16:M19"/>
    <mergeCell ref="O16:O19"/>
    <mergeCell ref="J4:J7"/>
    <mergeCell ref="L4:L7"/>
    <mergeCell ref="P29:P33"/>
    <mergeCell ref="B22:B26"/>
    <mergeCell ref="N22:N26"/>
    <mergeCell ref="P22:P26"/>
    <mergeCell ref="M22:M26"/>
    <mergeCell ref="B16:B19"/>
    <mergeCell ref="A39:B39"/>
    <mergeCell ref="H10:H13"/>
    <mergeCell ref="J10:J13"/>
    <mergeCell ref="C4:C7"/>
    <mergeCell ref="O4:O7"/>
    <mergeCell ref="I29:I33"/>
    <mergeCell ref="A37:B37"/>
    <mergeCell ref="C40:D40"/>
    <mergeCell ref="A36:P36"/>
    <mergeCell ref="E41:P41"/>
    <mergeCell ref="I10:I13"/>
    <mergeCell ref="K10:K13"/>
    <mergeCell ref="B4:B7"/>
    <mergeCell ref="K16:K19"/>
    <mergeCell ref="A21:P21"/>
    <mergeCell ref="O10:O13"/>
    <mergeCell ref="H4:H7"/>
    <mergeCell ref="B29:B33"/>
    <mergeCell ref="L29:L33"/>
    <mergeCell ref="L16:L19"/>
    <mergeCell ref="N29:N33"/>
    <mergeCell ref="N16:N19"/>
    <mergeCell ref="A1:B1"/>
    <mergeCell ref="J22:J26"/>
    <mergeCell ref="L22:L26"/>
    <mergeCell ref="P16:P19"/>
    <mergeCell ref="B10:B13"/>
    <mergeCell ref="L10:L13"/>
    <mergeCell ref="E37:P37"/>
    <mergeCell ref="A38:B38"/>
    <mergeCell ref="C38:D38"/>
    <mergeCell ref="K4:K7"/>
    <mergeCell ref="C29:C33"/>
    <mergeCell ref="M4:M7"/>
    <mergeCell ref="O29:O33"/>
    <mergeCell ref="A3:P3"/>
    <mergeCell ref="A40:B40"/>
    <mergeCell ref="C22:C26"/>
    <mergeCell ref="O22:O26"/>
    <mergeCell ref="N4:N7"/>
    <mergeCell ref="P4:P7"/>
    <mergeCell ref="I16:I19"/>
    <mergeCell ref="C10:C13"/>
    <mergeCell ref="M10:M13"/>
    <mergeCell ref="C1:P1"/>
    <mergeCell ref="A15:P15"/>
    <mergeCell ref="H29:H33"/>
    <mergeCell ref="H16:H19"/>
    <mergeCell ref="J29:J33"/>
    <mergeCell ref="J16:J19"/>
    <mergeCell ref="N10:N13"/>
    <mergeCell ref="C39:D39"/>
    <mergeCell ref="I4:I7"/>
    <mergeCell ref="K29:K33"/>
    <mergeCell ref="C37:D37"/>
    <mergeCell ref="E39:P39"/>
    <mergeCell ref="I22:I26"/>
    <mergeCell ref="K22:K26"/>
    <mergeCell ref="P10:P13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8A9EA7"/>
    <outlinePr summaryBelow="1" summaryRight="1"/>
    <pageSetUpPr fitToPage="1"/>
  </sheetPr>
  <dimension ref="A1:P57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9. אינטגרציית מלאי ורכש (PM-MM)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RESB  -  הזמנת רכיבים (Reservation)  (Reservation / dependent requirements)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MB1A/MIGO; MB21, IW32</t>
        </is>
      </c>
      <c r="C4" s="43" t="inlineStr">
        <is>
          <t>RESB</t>
        </is>
      </c>
      <c r="D4" s="44" t="inlineStr">
        <is>
          <t>RSNUM</t>
        </is>
      </c>
      <c r="E4" s="45" t="inlineStr">
        <is>
          <t>Reservation number</t>
        </is>
      </c>
      <c r="F4" s="46" t="inlineStr">
        <is>
          <t>מספר הזמנה</t>
        </is>
      </c>
      <c r="G4" s="47" t="inlineStr">
        <is>
          <t>PK</t>
        </is>
      </c>
      <c r="H4" s="42" t="inlineStr">
        <is>
          <t>• BAPI_RESERVATION_CREATE1
• BAPI_GOODSMVT_CREATE
• RESERVATION_READ</t>
        </is>
      </c>
      <c r="I4" s="48" t="inlineStr">
        <is>
          <t>• יצירת הזמנת מלאי
• רישום פליטת חומר (261)
• קריאת הזמנת רכיבים</t>
        </is>
      </c>
      <c r="J4" s="42" t="inlineStr">
        <is>
          <t>• RM07RESL</t>
        </is>
      </c>
      <c r="K4" s="48" t="inlineStr">
        <is>
          <t>• דוח הזמנות מלאי פתוחות</t>
        </is>
      </c>
      <c r="L4" s="49" t="inlineStr">
        <is>
          <t>ללא שינוי (תואם)</t>
        </is>
      </c>
      <c r="M4" s="49" t="inlineStr">
        <is>
          <t>RESB (זהה)</t>
        </is>
      </c>
      <c r="N4" s="49" t="inlineStr">
        <is>
          <t>MIGO/MB1A נתמכים; Fiori</t>
        </is>
      </c>
      <c r="O4" s="43" t="inlineStr">
        <is>
          <t>Post Goods Movement / MIGO (אמת ID)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RSPOS</t>
        </is>
      </c>
      <c r="E5" s="53" t="inlineStr">
        <is>
          <t>Reservation item</t>
        </is>
      </c>
      <c r="F5" s="54" t="inlineStr">
        <is>
          <t>פריט הזמנה</t>
        </is>
      </c>
      <c r="G5" s="62" t="inlineStr">
        <is>
          <t>PK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MATNR</t>
        </is>
      </c>
      <c r="E6" s="45" t="inlineStr">
        <is>
          <t>Component material</t>
        </is>
      </c>
      <c r="F6" s="46" t="inlineStr">
        <is>
          <t>חומר רכיב</t>
        </is>
      </c>
      <c r="G6" s="57" t="inlineStr">
        <is>
          <t>FK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BDMNG</t>
        </is>
      </c>
      <c r="E7" s="53" t="inlineStr">
        <is>
          <t>Requirement quantity</t>
        </is>
      </c>
      <c r="F7" s="54" t="inlineStr">
        <is>
          <t>כמות נדרשת</t>
        </is>
      </c>
      <c r="G7" s="55" t="inlineStr">
        <is>
          <t>-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1" t="n"/>
      <c r="C8" s="51" t="n"/>
      <c r="D8" s="44" t="inlineStr">
        <is>
          <t>ENMNG</t>
        </is>
      </c>
      <c r="E8" s="45" t="inlineStr">
        <is>
          <t>Quantity withdrawn</t>
        </is>
      </c>
      <c r="F8" s="46" t="inlineStr">
        <is>
          <t>כמות שנפלטה</t>
        </is>
      </c>
      <c r="G8" s="56" t="inlineStr">
        <is>
          <t>-</t>
        </is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 ht="20" customHeight="1">
      <c r="A9" s="50" t="n">
        <v>6</v>
      </c>
      <c r="B9" s="58" t="n"/>
      <c r="C9" s="58" t="n"/>
      <c r="D9" s="52" t="inlineStr">
        <is>
          <t>AUFNR</t>
        </is>
      </c>
      <c r="E9" s="53" t="inlineStr">
        <is>
          <t>Order (account assignment)</t>
        </is>
      </c>
      <c r="F9" s="54" t="inlineStr">
        <is>
          <t>פק"ע מחויבת</t>
        </is>
      </c>
      <c r="G9" s="59" t="inlineStr">
        <is>
          <t>FK</t>
        </is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4" customHeight="1">
      <c r="A11" s="40" t="inlineStr">
        <is>
          <t xml:space="preserve">  ◆ טבלה EBAN  -  דרישת רכש (Purchase Requisition)  (Purchase requisition)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0" customHeight="1">
      <c r="A12" s="41" t="n">
        <v>7</v>
      </c>
      <c r="B12" s="42" t="inlineStr">
        <is>
          <t>ME51N; ME52N/ME53N, ME57</t>
        </is>
      </c>
      <c r="C12" s="43" t="inlineStr">
        <is>
          <t>EBAN</t>
        </is>
      </c>
      <c r="D12" s="44" t="inlineStr">
        <is>
          <t>BANFN</t>
        </is>
      </c>
      <c r="E12" s="45" t="inlineStr">
        <is>
          <t>Purchase requisition number</t>
        </is>
      </c>
      <c r="F12" s="46" t="inlineStr">
        <is>
          <t>מספר דרישת רכש</t>
        </is>
      </c>
      <c r="G12" s="47" t="inlineStr">
        <is>
          <t>PK</t>
        </is>
      </c>
      <c r="H12" s="42" t="inlineStr">
        <is>
          <t>• BAPI_PR_CREATE
• BAPI_REQUISITION_GETDETAIL</t>
        </is>
      </c>
      <c r="I12" s="48" t="inlineStr">
        <is>
          <t>• יצירת דרישת רכש
• שליפת פרטי דרישת רכש</t>
        </is>
      </c>
      <c r="J12" s="42" t="inlineStr">
        <is>
          <t>• RM06BANF</t>
        </is>
      </c>
      <c r="K12" s="48" t="inlineStr">
        <is>
          <t>• דוח דרישות רכש פתוחות</t>
        </is>
      </c>
      <c r="L12" s="49" t="inlineStr">
        <is>
          <t>מותאם (Business Partner לספקים)</t>
        </is>
      </c>
      <c r="M12" s="49" t="inlineStr">
        <is>
          <t>EBAN (זהה)</t>
        </is>
      </c>
      <c r="N12" s="49" t="inlineStr">
        <is>
          <t>ME51N נתמך; ספק דרך BP</t>
        </is>
      </c>
      <c r="O12" s="43" t="inlineStr">
        <is>
          <t>Manage Purchase Requisitions (אמת ID)</t>
        </is>
      </c>
      <c r="P12" s="49" t="inlineStr">
        <is>
          <t>נדרש CVI והמרת ספקים/לקוחות ל-Business Partner לפני/במהלך ההמרה (Pre-check חובה).</t>
        </is>
      </c>
    </row>
    <row r="13" ht="20" customHeight="1">
      <c r="A13" s="50" t="n">
        <v>8</v>
      </c>
      <c r="B13" s="51" t="n"/>
      <c r="C13" s="51" t="n"/>
      <c r="D13" s="52" t="inlineStr">
        <is>
          <t>BNFPO</t>
        </is>
      </c>
      <c r="E13" s="53" t="inlineStr">
        <is>
          <t>Requisition item</t>
        </is>
      </c>
      <c r="F13" s="54" t="inlineStr">
        <is>
          <t>פריט דרישה</t>
        </is>
      </c>
      <c r="G13" s="62" t="inlineStr">
        <is>
          <t>PK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MATNR</t>
        </is>
      </c>
      <c r="E14" s="45" t="inlineStr">
        <is>
          <t>Material</t>
        </is>
      </c>
      <c r="F14" s="46" t="inlineStr">
        <is>
          <t>חומר</t>
        </is>
      </c>
      <c r="G14" s="57" t="inlineStr">
        <is>
          <t>FK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1" t="n"/>
      <c r="C15" s="51" t="n"/>
      <c r="D15" s="52" t="inlineStr">
        <is>
          <t>KNTTP</t>
        </is>
      </c>
      <c r="E15" s="53" t="inlineStr">
        <is>
          <t>Account assignment cat. (F=order)</t>
        </is>
      </c>
      <c r="F15" s="54" t="inlineStr">
        <is>
          <t>סוג חיוב</t>
        </is>
      </c>
      <c r="G15" s="55" t="inlineStr">
        <is>
          <t>-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20" customHeight="1">
      <c r="A16" s="41" t="n">
        <v>11</v>
      </c>
      <c r="B16" s="58" t="n"/>
      <c r="C16" s="58" t="n"/>
      <c r="D16" s="44" t="inlineStr">
        <is>
          <t>MENGE</t>
        </is>
      </c>
      <c r="E16" s="45" t="inlineStr">
        <is>
          <t>Requisition quantity</t>
        </is>
      </c>
      <c r="F16" s="46" t="inlineStr">
        <is>
          <t>כמות</t>
        </is>
      </c>
      <c r="G16" s="56" t="inlineStr">
        <is>
          <t>-</t>
        </is>
      </c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4" customHeight="1">
      <c r="A18" s="40" t="inlineStr">
        <is>
          <t xml:space="preserve">  ◆ טבלה EBKN  -  חיוב דרישת רכש (לפק"ע)  (Requisition account assignment)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0" customHeight="1">
      <c r="A19" s="50" t="n">
        <v>12</v>
      </c>
      <c r="B19" s="60" t="inlineStr">
        <is>
          <t>ME51N; ME52N</t>
        </is>
      </c>
      <c r="C19" s="61" t="inlineStr">
        <is>
          <t>EBKN</t>
        </is>
      </c>
      <c r="D19" s="52" t="inlineStr">
        <is>
          <t>BANFN</t>
        </is>
      </c>
      <c r="E19" s="53" t="inlineStr">
        <is>
          <t>Purchase requisition number</t>
        </is>
      </c>
      <c r="F19" s="54" t="inlineStr">
        <is>
          <t>מספר דרישת רכש</t>
        </is>
      </c>
      <c r="G19" s="62" t="inlineStr">
        <is>
          <t>PK/FK</t>
        </is>
      </c>
      <c r="H19" s="60" t="inlineStr">
        <is>
          <t>• ACCOUNT_ASSIGNMENT_READ</t>
        </is>
      </c>
      <c r="I19" s="63" t="inlineStr">
        <is>
          <t>• קריאת נתוני חיוב לדרישה</t>
        </is>
      </c>
      <c r="J19" s="60" t="inlineStr">
        <is>
          <t>• RM06BANF</t>
        </is>
      </c>
      <c r="K19" s="63" t="inlineStr">
        <is>
          <t>• דוח דרישות רכש מחויבות לפק"ע</t>
        </is>
      </c>
      <c r="L19" s="64" t="inlineStr">
        <is>
          <t>מותאם (חיוב ל-ACDOCA)</t>
        </is>
      </c>
      <c r="M19" s="64" t="inlineStr">
        <is>
          <t>EBKN (זהה); עלות בפועל ב-ACDOCA</t>
        </is>
      </c>
      <c r="N19" s="64" t="inlineStr">
        <is>
          <t>ME51N; Fiori</t>
        </is>
      </c>
      <c r="O19" s="65" t="inlineStr">
        <is>
          <t>Manage Purchase Requisitions (אמת ID)</t>
        </is>
      </c>
      <c r="P19" s="64" t="inlineStr">
        <is>
          <t>עלויות מומרות ל-Universal Journal (ACDOCA) ב-SUM. COSP/COSS הופכים ל-Views. התאם דוחות עלות מותאמים והרצות התחשבנות.</t>
        </is>
      </c>
    </row>
    <row r="20" ht="20" customHeight="1">
      <c r="A20" s="41" t="n">
        <v>13</v>
      </c>
      <c r="B20" s="51" t="n"/>
      <c r="C20" s="51" t="n"/>
      <c r="D20" s="44" t="inlineStr">
        <is>
          <t>BNFPO</t>
        </is>
      </c>
      <c r="E20" s="45" t="inlineStr">
        <is>
          <t>Requisition item</t>
        </is>
      </c>
      <c r="F20" s="46" t="inlineStr">
        <is>
          <t>פריט דרישה</t>
        </is>
      </c>
      <c r="G20" s="47" t="inlineStr">
        <is>
          <t>PK/FK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1" t="n"/>
      <c r="C21" s="51" t="n"/>
      <c r="D21" s="52" t="inlineStr">
        <is>
          <t>AUFNR</t>
        </is>
      </c>
      <c r="E21" s="53" t="inlineStr">
        <is>
          <t>Order (account assignment)</t>
        </is>
      </c>
      <c r="F21" s="54" t="inlineStr">
        <is>
          <t>פק"ע מחויבת</t>
        </is>
      </c>
      <c r="G21" s="59" t="inlineStr">
        <is>
          <t>FK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 ht="20" customHeight="1">
      <c r="A22" s="41" t="n">
        <v>15</v>
      </c>
      <c r="B22" s="51" t="n"/>
      <c r="C22" s="51" t="n"/>
      <c r="D22" s="44" t="inlineStr">
        <is>
          <t>KOSTL</t>
        </is>
      </c>
      <c r="E22" s="45" t="inlineStr">
        <is>
          <t>Cost center</t>
        </is>
      </c>
      <c r="F22" s="46" t="inlineStr">
        <is>
          <t>מרכז עלות</t>
        </is>
      </c>
      <c r="G22" s="57" t="inlineStr">
        <is>
          <t>FK</t>
        </is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20" customHeight="1">
      <c r="A23" s="50" t="n">
        <v>16</v>
      </c>
      <c r="B23" s="58" t="n"/>
      <c r="C23" s="58" t="n"/>
      <c r="D23" s="52" t="inlineStr">
        <is>
          <t>SAKTO</t>
        </is>
      </c>
      <c r="E23" s="53" t="inlineStr">
        <is>
          <t>G/L account</t>
        </is>
      </c>
      <c r="F23" s="54" t="inlineStr">
        <is>
          <t>חשבון ראשי</t>
        </is>
      </c>
      <c r="G23" s="59" t="inlineStr">
        <is>
          <t>FK</t>
        </is>
      </c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4" customHeight="1">
      <c r="A25" s="40" t="inlineStr">
        <is>
          <t xml:space="preserve">  ◆ טבלה MSEG  -  פריטי מסמך חומר (תנועות מלאי)  (Material document items)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0" customHeight="1">
      <c r="A26" s="41" t="n">
        <v>17</v>
      </c>
      <c r="B26" s="42" t="inlineStr">
        <is>
          <t>MIGO/MB1A; MB31, MB1C</t>
        </is>
      </c>
      <c r="C26" s="43" t="inlineStr">
        <is>
          <t>MSEG</t>
        </is>
      </c>
      <c r="D26" s="44" t="inlineStr">
        <is>
          <t>MBLNR</t>
        </is>
      </c>
      <c r="E26" s="45" t="inlineStr">
        <is>
          <t>Material document number</t>
        </is>
      </c>
      <c r="F26" s="46" t="inlineStr">
        <is>
          <t>מספר מסמך חומר</t>
        </is>
      </c>
      <c r="G26" s="47" t="inlineStr">
        <is>
          <t>PK/FK</t>
        </is>
      </c>
      <c r="H26" s="42" t="inlineStr">
        <is>
          <t>• BAPI_GOODSMVT_CREATE
• BAPI_GOODSMVT_GETITEMS</t>
        </is>
      </c>
      <c r="I26" s="48" t="inlineStr">
        <is>
          <t>• רישום תנועת מלאי
• שליפת פריטי תנועה</t>
        </is>
      </c>
      <c r="J26" s="42" t="inlineStr">
        <is>
          <t>• RM07DOCS</t>
        </is>
      </c>
      <c r="K26" s="48" t="inlineStr">
        <is>
          <t>• דוח מסמכי חומר לפי פק"ע/תנועה</t>
        </is>
      </c>
      <c r="L26" s="49" t="inlineStr">
        <is>
          <t>הוחלף - מסמכי חומר מאוחדים ב-MATDOC</t>
        </is>
      </c>
      <c r="M26" s="49" t="inlineStr">
        <is>
          <t>MATDOC (MSEG=View תאימות)</t>
        </is>
      </c>
      <c r="N26" s="49" t="inlineStr">
        <is>
          <t>MIGO נתמך; Fiori</t>
        </is>
      </c>
      <c r="O26" s="43" t="inlineStr">
        <is>
          <t>Post Goods Movement (אמת ID)</t>
        </is>
      </c>
      <c r="P26" s="49" t="inlineStr">
        <is>
          <t>המרה אוטומטית ל-MATDOC ב-SUM (Silent Data Migration). MKPF/MSEG הופכים ל-Compatibility Views. בדוק קוד Z שקורא ישירות ל-MSEG/MKPF ועדכן ל-CDS/MATDOC.</t>
        </is>
      </c>
    </row>
    <row r="27" ht="20" customHeight="1">
      <c r="A27" s="50" t="n">
        <v>18</v>
      </c>
      <c r="B27" s="51" t="n"/>
      <c r="C27" s="51" t="n"/>
      <c r="D27" s="52" t="inlineStr">
        <is>
          <t>ZEILE</t>
        </is>
      </c>
      <c r="E27" s="53" t="inlineStr">
        <is>
          <t>Material document item</t>
        </is>
      </c>
      <c r="F27" s="54" t="inlineStr">
        <is>
          <t>פריט מסמך</t>
        </is>
      </c>
      <c r="G27" s="62" t="inlineStr">
        <is>
          <t>PK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20" customHeight="1">
      <c r="A28" s="41" t="n">
        <v>19</v>
      </c>
      <c r="B28" s="51" t="n"/>
      <c r="C28" s="51" t="n"/>
      <c r="D28" s="44" t="inlineStr">
        <is>
          <t>BWART</t>
        </is>
      </c>
      <c r="E28" s="45" t="inlineStr">
        <is>
          <t>Movement type (261/101)</t>
        </is>
      </c>
      <c r="F28" s="46" t="inlineStr">
        <is>
          <t>סוג תנועה</t>
        </is>
      </c>
      <c r="G28" s="56" t="inlineStr">
        <is>
          <t>-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20" customHeight="1">
      <c r="A29" s="50" t="n">
        <v>20</v>
      </c>
      <c r="B29" s="51" t="n"/>
      <c r="C29" s="51" t="n"/>
      <c r="D29" s="52" t="inlineStr">
        <is>
          <t>MATNR</t>
        </is>
      </c>
      <c r="E29" s="53" t="inlineStr">
        <is>
          <t>Material</t>
        </is>
      </c>
      <c r="F29" s="54" t="inlineStr">
        <is>
          <t>חומר</t>
        </is>
      </c>
      <c r="G29" s="59" t="inlineStr">
        <is>
          <t>FK</t>
        </is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 ht="20" customHeight="1">
      <c r="A30" s="41" t="n">
        <v>21</v>
      </c>
      <c r="B30" s="51" t="n"/>
      <c r="C30" s="51" t="n"/>
      <c r="D30" s="44" t="inlineStr">
        <is>
          <t>MENGE</t>
        </is>
      </c>
      <c r="E30" s="45" t="inlineStr">
        <is>
          <t>Quantity</t>
        </is>
      </c>
      <c r="F30" s="46" t="inlineStr">
        <is>
          <t>כמות</t>
        </is>
      </c>
      <c r="G30" s="56" t="inlineStr">
        <is>
          <t>-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 ht="20" customHeight="1">
      <c r="A31" s="50" t="n">
        <v>22</v>
      </c>
      <c r="B31" s="58" t="n"/>
      <c r="C31" s="58" t="n"/>
      <c r="D31" s="52" t="inlineStr">
        <is>
          <t>AUFNR</t>
        </is>
      </c>
      <c r="E31" s="53" t="inlineStr">
        <is>
          <t>Order (account assignment)</t>
        </is>
      </c>
      <c r="F31" s="54" t="inlineStr">
        <is>
          <t>פק"ע מחויבת</t>
        </is>
      </c>
      <c r="G31" s="59" t="inlineStr">
        <is>
          <t>FK</t>
        </is>
      </c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4" customHeight="1">
      <c r="A33" s="40" t="inlineStr">
        <is>
          <t xml:space="preserve">  ◆ טבלה MKPF  -  כותרת מסמך חומר  (Material document header)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0" customHeight="1">
      <c r="A34" s="41" t="n">
        <v>23</v>
      </c>
      <c r="B34" s="42" t="inlineStr">
        <is>
          <t>MIGO; MB1A</t>
        </is>
      </c>
      <c r="C34" s="43" t="inlineStr">
        <is>
          <t>MKPF</t>
        </is>
      </c>
      <c r="D34" s="44" t="inlineStr">
        <is>
          <t>MBLNR</t>
        </is>
      </c>
      <c r="E34" s="45" t="inlineStr">
        <is>
          <t>Material document number</t>
        </is>
      </c>
      <c r="F34" s="46" t="inlineStr">
        <is>
          <t>מספר מסמך חומר</t>
        </is>
      </c>
      <c r="G34" s="47" t="inlineStr">
        <is>
          <t>PK</t>
        </is>
      </c>
      <c r="H34" s="42" t="inlineStr">
        <is>
          <t>• BAPI_GOODSMVT_GETDETAIL</t>
        </is>
      </c>
      <c r="I34" s="48" t="inlineStr">
        <is>
          <t>• שליפת פרטי מסמך חומר</t>
        </is>
      </c>
      <c r="J34" s="42" t="inlineStr">
        <is>
          <t>• RM07DOCS</t>
        </is>
      </c>
      <c r="K34" s="48" t="inlineStr">
        <is>
          <t>• דוח מסמכי חומר</t>
        </is>
      </c>
      <c r="L34" s="49" t="inlineStr">
        <is>
          <t>הוחלף - מאוחד ב-MATDOC</t>
        </is>
      </c>
      <c r="M34" s="49" t="inlineStr">
        <is>
          <t>MATDOC (MKPF=View תאימות)</t>
        </is>
      </c>
      <c r="N34" s="49" t="inlineStr">
        <is>
          <t>MIGO נתמך; Fiori</t>
        </is>
      </c>
      <c r="O34" s="43" t="inlineStr">
        <is>
          <t>Post Goods Movement (אמת ID)</t>
        </is>
      </c>
      <c r="P34" s="49" t="inlineStr">
        <is>
          <t>המרה אוטומטית ל-MATDOC ב-SUM (Silent Data Migration). MKPF/MSEG הופכים ל-Compatibility Views. בדוק קוד Z שקורא ישירות ל-MSEG/MKPF ועדכן ל-CDS/MATDOC.</t>
        </is>
      </c>
    </row>
    <row r="35" ht="20" customHeight="1">
      <c r="A35" s="50" t="n">
        <v>24</v>
      </c>
      <c r="B35" s="51" t="n"/>
      <c r="C35" s="51" t="n"/>
      <c r="D35" s="52" t="inlineStr">
        <is>
          <t>MJAHR</t>
        </is>
      </c>
      <c r="E35" s="53" t="inlineStr">
        <is>
          <t>Material document year</t>
        </is>
      </c>
      <c r="F35" s="54" t="inlineStr">
        <is>
          <t>שנת מסמך</t>
        </is>
      </c>
      <c r="G35" s="62" t="inlineStr">
        <is>
          <t>PK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</row>
    <row r="36" ht="20" customHeight="1">
      <c r="A36" s="41" t="n">
        <v>25</v>
      </c>
      <c r="B36" s="51" t="n"/>
      <c r="C36" s="51" t="n"/>
      <c r="D36" s="44" t="inlineStr">
        <is>
          <t>BLDAT</t>
        </is>
      </c>
      <c r="E36" s="45" t="inlineStr">
        <is>
          <t>Document date</t>
        </is>
      </c>
      <c r="F36" s="46" t="inlineStr">
        <is>
          <t>תאריך מסמך</t>
        </is>
      </c>
      <c r="G36" s="56" t="inlineStr">
        <is>
          <t>-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</row>
    <row r="37" ht="20" customHeight="1">
      <c r="A37" s="50" t="n">
        <v>26</v>
      </c>
      <c r="B37" s="51" t="n"/>
      <c r="C37" s="51" t="n"/>
      <c r="D37" s="52" t="inlineStr">
        <is>
          <t>BUDAT</t>
        </is>
      </c>
      <c r="E37" s="53" t="inlineStr">
        <is>
          <t>Posting date</t>
        </is>
      </c>
      <c r="F37" s="54" t="inlineStr">
        <is>
          <t>תאריך רישום</t>
        </is>
      </c>
      <c r="G37" s="55" t="inlineStr">
        <is>
          <t>-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</row>
    <row r="38" ht="20" customHeight="1">
      <c r="A38" s="41" t="n">
        <v>27</v>
      </c>
      <c r="B38" s="58" t="n"/>
      <c r="C38" s="58" t="n"/>
      <c r="D38" s="44" t="inlineStr">
        <is>
          <t>USNAM</t>
        </is>
      </c>
      <c r="E38" s="45" t="inlineStr">
        <is>
          <t>User name</t>
        </is>
      </c>
      <c r="F38" s="46" t="inlineStr">
        <is>
          <t>משתמש</t>
        </is>
      </c>
      <c r="G38" s="56" t="inlineStr">
        <is>
          <t>-</t>
        </is>
      </c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4" customHeight="1">
      <c r="A40" s="40" t="inlineStr">
        <is>
          <t xml:space="preserve">  ◆ טבלה BUT000  -  רשומת אב שותף עסקי (BP - השפעת מעבר על תפקידי PM)  (Business Partner general data (S/4 transition impact on PM))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0" customHeight="1">
      <c r="A41" s="50" t="n">
        <v>28</v>
      </c>
      <c r="B41" s="60" t="inlineStr">
        <is>
          <t>BP; (ECC: XK01/MK01 לספקים)</t>
        </is>
      </c>
      <c r="C41" s="61" t="inlineStr">
        <is>
          <t>BUT000</t>
        </is>
      </c>
      <c r="D41" s="52" t="inlineStr">
        <is>
          <t>PARTNER</t>
        </is>
      </c>
      <c r="E41" s="53" t="inlineStr">
        <is>
          <t>Business partner number</t>
        </is>
      </c>
      <c r="F41" s="54" t="inlineStr">
        <is>
          <t>מספר שותף עסקי</t>
        </is>
      </c>
      <c r="G41" s="62" t="inlineStr">
        <is>
          <t>PK</t>
        </is>
      </c>
      <c r="H41" s="60" t="inlineStr">
        <is>
          <t>• BAPI_BUPA_CREATE_FROM_DATA
• CVI_VENDOR_TO_BP_CONVERT</t>
        </is>
      </c>
      <c r="I41" s="63" t="inlineStr">
        <is>
          <t>• יצירת שותף עסקי
• המרת ספק ל-BP (CVI)</t>
        </is>
      </c>
      <c r="J41" s="60" t="inlineStr">
        <is>
          <t>• MDS_LOAD_COCKPIT</t>
        </is>
      </c>
      <c r="K41" s="63" t="inlineStr">
        <is>
          <t>• סנכרון Customer/Vendor Integration ל-BP</t>
        </is>
      </c>
      <c r="L41" s="64" t="inlineStr">
        <is>
          <t>הוחלף - Business Partner מחליף ספקים/לקוחות (CVI חובה)</t>
        </is>
      </c>
      <c r="M41" s="64" t="inlineStr">
        <is>
          <t>BUT000 + LFA1 (View תאימות); ספק PM דרך BP</t>
        </is>
      </c>
      <c r="N41" s="64" t="inlineStr">
        <is>
          <t>BP (מחליף XK01/MK01)</t>
        </is>
      </c>
      <c r="O41" s="65" t="inlineStr">
        <is>
          <t>Manage Business Partner Master Data (אמת ID)</t>
        </is>
      </c>
      <c r="P41" s="64" t="inlineStr">
        <is>
          <t>נדרש CVI והמרת ספקים/לקוחות ל-Business Partner לפני/במהלך ההמרה (Pre-check חובה).</t>
        </is>
      </c>
    </row>
    <row r="42" ht="20" customHeight="1">
      <c r="A42" s="41" t="n">
        <v>29</v>
      </c>
      <c r="B42" s="51" t="n"/>
      <c r="C42" s="51" t="n"/>
      <c r="D42" s="44" t="inlineStr">
        <is>
          <t>TYPE</t>
        </is>
      </c>
      <c r="E42" s="45" t="inlineStr">
        <is>
          <t>BP category (1=person/2=org/3=group)</t>
        </is>
      </c>
      <c r="F42" s="46" t="inlineStr">
        <is>
          <t>קטגוריית שותף</t>
        </is>
      </c>
      <c r="G42" s="56" t="inlineStr">
        <is>
          <t>-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</row>
    <row r="43" ht="20" customHeight="1">
      <c r="A43" s="50" t="n">
        <v>30</v>
      </c>
      <c r="B43" s="51" t="n"/>
      <c r="C43" s="51" t="n"/>
      <c r="D43" s="52" t="inlineStr">
        <is>
          <t>BU_GROUP</t>
        </is>
      </c>
      <c r="E43" s="53" t="inlineStr">
        <is>
          <t>BP grouping (number range)</t>
        </is>
      </c>
      <c r="F43" s="54" t="inlineStr">
        <is>
          <t>קבוצת שותף</t>
        </is>
      </c>
      <c r="G43" s="55" t="inlineStr">
        <is>
          <t>-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</row>
    <row r="44" ht="20" customHeight="1">
      <c r="A44" s="41" t="n">
        <v>31</v>
      </c>
      <c r="B44" s="51" t="n"/>
      <c r="C44" s="51" t="n"/>
      <c r="D44" s="44" t="inlineStr">
        <is>
          <t>BPKIND</t>
        </is>
      </c>
      <c r="E44" s="45" t="inlineStr">
        <is>
          <t>BP type</t>
        </is>
      </c>
      <c r="F44" s="46" t="inlineStr">
        <is>
          <t>סוג שותף</t>
        </is>
      </c>
      <c r="G44" s="56" t="inlineStr">
        <is>
          <t>-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</row>
    <row r="45" ht="20" customHeight="1">
      <c r="A45" s="50" t="n">
        <v>32</v>
      </c>
      <c r="B45" s="58" t="n"/>
      <c r="C45" s="58" t="n"/>
      <c r="D45" s="52" t="inlineStr">
        <is>
          <t>NAME_ORG1</t>
        </is>
      </c>
      <c r="E45" s="53" t="inlineStr">
        <is>
          <t>Organization name</t>
        </is>
      </c>
      <c r="F45" s="54" t="inlineStr">
        <is>
          <t>שם הארגון</t>
        </is>
      </c>
      <c r="G45" s="55" t="inlineStr">
        <is>
          <t>-</t>
        </is>
      </c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24" customHeight="1">
      <c r="A48" s="40" t="inlineStr">
        <is>
          <t xml:space="preserve">  ⚙ הרחבות טכניות ושינויי ארכיטקטורה (Technical Extensions: User Exits / BAdIs / ECC vs S/4HANA)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66" t="inlineStr">
        <is>
          <t>סוג (Type)</t>
        </is>
      </c>
      <c r="B49" s="4" t="n"/>
      <c r="C49" s="66" t="inlineStr">
        <is>
          <t>קוד / שם טכני (Code)</t>
        </is>
      </c>
      <c r="D49" s="4" t="n"/>
      <c r="E49" s="66" t="inlineStr">
        <is>
          <t>תיאור / הבדל (Hebrew)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4" customHeight="1">
      <c r="A50" s="70" t="inlineStr">
        <is>
          <t>User Exit (SMOD)</t>
        </is>
      </c>
      <c r="B50" s="4" t="n"/>
      <c r="C50" s="71" t="inlineStr">
        <is>
          <t>MB_CF001</t>
        </is>
      </c>
      <c r="D50" s="4" t="n"/>
      <c r="E50" s="72" t="inlineStr">
        <is>
          <t>Customer Function לתנועות מלאי (Goods Movement)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24" customHeight="1">
      <c r="A51" s="67" t="inlineStr">
        <is>
          <t>User Exit (SMOD)</t>
        </is>
      </c>
      <c r="B51" s="4" t="n"/>
      <c r="C51" s="68" t="inlineStr">
        <is>
          <t>M06B0001</t>
        </is>
      </c>
      <c r="D51" s="4" t="n"/>
      <c r="E51" s="69" t="inlineStr">
        <is>
          <t>הרחבת בדיקות בדרישות רכש (PR)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4" customHeight="1">
      <c r="A52" s="70" t="inlineStr">
        <is>
          <t>User Exit (SMOD)</t>
        </is>
      </c>
      <c r="B52" s="4" t="n"/>
      <c r="C52" s="71" t="inlineStr">
        <is>
          <t>MEREQ001</t>
        </is>
      </c>
      <c r="D52" s="4" t="n"/>
      <c r="E52" s="72" t="inlineStr">
        <is>
          <t>הרחבת לקוח לדרישות רכש (חיוב/שדות)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24" customHeight="1">
      <c r="A53" s="67" t="inlineStr">
        <is>
          <t>BAdI (SE18)</t>
        </is>
      </c>
      <c r="B53" s="4" t="n"/>
      <c r="C53" s="68" t="inlineStr">
        <is>
          <t>MB_DOCUMENT_BADI</t>
        </is>
      </c>
      <c r="D53" s="4" t="n"/>
      <c r="E53" s="69" t="inlineStr">
        <is>
          <t>BAdI למסמך חומר (בדיקות/הרחבה בתנועת מלאי)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 ht="24" customHeight="1">
      <c r="A54" s="70" t="inlineStr">
        <is>
          <t>BAdI (SE18)</t>
        </is>
      </c>
      <c r="B54" s="4" t="n"/>
      <c r="C54" s="71" t="inlineStr">
        <is>
          <t>ME_PROCESS_REQ_CUST</t>
        </is>
      </c>
      <c r="D54" s="4" t="n"/>
      <c r="E54" s="72" t="inlineStr">
        <is>
          <t>BAdI לעיבוד דרישת רכש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 ht="24" customHeight="1">
      <c r="A55" s="67" t="inlineStr">
        <is>
          <t>ארכיטקטורה ECC↔S/4</t>
        </is>
      </c>
      <c r="B55" s="4" t="n"/>
      <c r="C55" s="68" t="inlineStr">
        <is>
          <t>—</t>
        </is>
      </c>
      <c r="D55" s="4" t="n"/>
      <c r="E55" s="69" t="inlineStr">
        <is>
          <t>מסמכי חומר MKPF/MSEG הוחלפו ב-MATDOC (טבלה מאוחדת); MKPF/MSEG הם Compatibility Views.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 ht="24" customHeight="1">
      <c r="A56" s="70" t="inlineStr">
        <is>
          <t>ארכיטקטורה ECC↔S/4</t>
        </is>
      </c>
      <c r="B56" s="4" t="n"/>
      <c r="C56" s="71" t="inlineStr">
        <is>
          <t>—</t>
        </is>
      </c>
      <c r="D56" s="4" t="n"/>
      <c r="E56" s="72" t="inlineStr">
        <is>
          <t>ספקים נוהלו דרך LFA1 - ב-S/4 דרך Business Partner (BP) עם CVI חובה.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 ht="24" customHeight="1">
      <c r="A57" s="67" t="inlineStr">
        <is>
          <t>ארכיטקטורה ECC↔S/4</t>
        </is>
      </c>
      <c r="B57" s="4" t="n"/>
      <c r="C57" s="68" t="inlineStr">
        <is>
          <t>—</t>
        </is>
      </c>
      <c r="D57" s="4" t="n"/>
      <c r="E57" s="69" t="inlineStr">
        <is>
          <t>MIGO/MB1A/ME21N נתמכים; הארכת אורך חומר ל-40 תווים משפיעה על ממשקים.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</sheetData>
  <mergeCells count="102">
    <mergeCell ref="N26:N31"/>
    <mergeCell ref="P26:P31"/>
    <mergeCell ref="H26:H31"/>
    <mergeCell ref="A51:B51"/>
    <mergeCell ref="J41:J45"/>
    <mergeCell ref="B19:B23"/>
    <mergeCell ref="L41:L45"/>
    <mergeCell ref="M12:M16"/>
    <mergeCell ref="A54:B54"/>
    <mergeCell ref="C4:C9"/>
    <mergeCell ref="L34:L38"/>
    <mergeCell ref="I26:I31"/>
    <mergeCell ref="C54:D54"/>
    <mergeCell ref="N34:N38"/>
    <mergeCell ref="K26:K31"/>
    <mergeCell ref="O4:O9"/>
    <mergeCell ref="C50:D50"/>
    <mergeCell ref="M41:M45"/>
    <mergeCell ref="A48:P48"/>
    <mergeCell ref="A56:B56"/>
    <mergeCell ref="C56:D56"/>
    <mergeCell ref="A11:P11"/>
    <mergeCell ref="J19:J23"/>
    <mergeCell ref="L19:L23"/>
    <mergeCell ref="A53:B53"/>
    <mergeCell ref="E50:P50"/>
    <mergeCell ref="L12:L16"/>
    <mergeCell ref="E52:P52"/>
    <mergeCell ref="I12:I16"/>
    <mergeCell ref="K12:K16"/>
    <mergeCell ref="O41:O45"/>
    <mergeCell ref="B26:B31"/>
    <mergeCell ref="H4:H9"/>
    <mergeCell ref="O12:O16"/>
    <mergeCell ref="B41:B45"/>
    <mergeCell ref="E57:P57"/>
    <mergeCell ref="E54:P54"/>
    <mergeCell ref="B12:B16"/>
    <mergeCell ref="H41:H45"/>
    <mergeCell ref="E56:P56"/>
    <mergeCell ref="N12:N16"/>
    <mergeCell ref="M26:M31"/>
    <mergeCell ref="H34:H38"/>
    <mergeCell ref="A52:B52"/>
    <mergeCell ref="J34:J38"/>
    <mergeCell ref="C57:D57"/>
    <mergeCell ref="I41:I45"/>
    <mergeCell ref="K41:K45"/>
    <mergeCell ref="C41:C45"/>
    <mergeCell ref="C53:D53"/>
    <mergeCell ref="B4:B9"/>
    <mergeCell ref="N4:N9"/>
    <mergeCell ref="A49:B49"/>
    <mergeCell ref="P4:P9"/>
    <mergeCell ref="A1:B1"/>
    <mergeCell ref="H12:H16"/>
    <mergeCell ref="O26:O31"/>
    <mergeCell ref="A40:P40"/>
    <mergeCell ref="I19:I23"/>
    <mergeCell ref="K19:K23"/>
    <mergeCell ref="C19:C23"/>
    <mergeCell ref="A55:B55"/>
    <mergeCell ref="C34:C38"/>
    <mergeCell ref="A57:B57"/>
    <mergeCell ref="M34:M38"/>
    <mergeCell ref="J26:J31"/>
    <mergeCell ref="C51:D51"/>
    <mergeCell ref="O34:O38"/>
    <mergeCell ref="L26:L31"/>
    <mergeCell ref="N41:N45"/>
    <mergeCell ref="P41:P45"/>
    <mergeCell ref="A25:P25"/>
    <mergeCell ref="P34:P38"/>
    <mergeCell ref="I4:I9"/>
    <mergeCell ref="A18:P18"/>
    <mergeCell ref="A3:P3"/>
    <mergeCell ref="C49:D49"/>
    <mergeCell ref="K4:K9"/>
    <mergeCell ref="M4:M9"/>
    <mergeCell ref="E51:P51"/>
    <mergeCell ref="B34:B38"/>
    <mergeCell ref="N19:N23"/>
    <mergeCell ref="J12:J16"/>
    <mergeCell ref="P19:P23"/>
    <mergeCell ref="H19:H23"/>
    <mergeCell ref="C26:C31"/>
    <mergeCell ref="P12:P16"/>
    <mergeCell ref="E49:P49"/>
    <mergeCell ref="C55:D55"/>
    <mergeCell ref="C1:P1"/>
    <mergeCell ref="A50:B50"/>
    <mergeCell ref="I34:I38"/>
    <mergeCell ref="K34:K38"/>
    <mergeCell ref="J4:J9"/>
    <mergeCell ref="L4:L9"/>
    <mergeCell ref="M19:M23"/>
    <mergeCell ref="E53:P53"/>
    <mergeCell ref="O19:O23"/>
    <mergeCell ref="C52:D52"/>
    <mergeCell ref="E55:P55"/>
    <mergeCell ref="C12:C16"/>
    <mergeCell ref="A33:P33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8A9EA7"/>
    <outlinePr summaryBelow="1" summaryRight="1"/>
    <pageSetUpPr fitToPage="1"/>
  </sheetPr>
  <dimension ref="A1:P38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10. עלויות והתחשבנות (PM-CO)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COSP  -  סך עלויות חיצוניות (Primary)  (CO object cost totals - external postings)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KO88/KO8G; KOB1, S_ALR_87013611</t>
        </is>
      </c>
      <c r="C4" s="43" t="inlineStr">
        <is>
          <t>COSP</t>
        </is>
      </c>
      <c r="D4" s="44" t="inlineStr">
        <is>
          <t>OBJNR</t>
        </is>
      </c>
      <c r="E4" s="45" t="inlineStr">
        <is>
          <t>CO object (order)</t>
        </is>
      </c>
      <c r="F4" s="46" t="inlineStr">
        <is>
          <t>אובייקט CO</t>
        </is>
      </c>
      <c r="G4" s="47" t="inlineStr">
        <is>
          <t>PK/FK</t>
        </is>
      </c>
      <c r="H4" s="42" t="inlineStr">
        <is>
          <t>• K_COSTS_READ
• K_ORDER_SETTLEMENT</t>
        </is>
      </c>
      <c r="I4" s="48" t="inlineStr">
        <is>
          <t>• קריאת עלויות אובייקט
• ביצוע התחשבנות פק"ע</t>
        </is>
      </c>
      <c r="J4" s="42" t="inlineStr">
        <is>
          <t>• RKO7KO88</t>
        </is>
      </c>
      <c r="K4" s="48" t="inlineStr">
        <is>
          <t>• תוכנית ההתחשבנות (KO88)</t>
        </is>
      </c>
      <c r="L4" s="49" t="inlineStr">
        <is>
          <t>הוחלף - עלויות ב-Universal Journal</t>
        </is>
      </c>
      <c r="M4" s="49" t="inlineStr">
        <is>
          <t>ACDOCA (COSP=View תאימות)</t>
        </is>
      </c>
      <c r="N4" s="49" t="inlineStr">
        <is>
          <t>KO88 נתמך; Fiori Settlement</t>
        </is>
      </c>
      <c r="O4" s="43" t="inlineStr">
        <is>
          <t>Maintenance Order Actuals (אמת ID)</t>
        </is>
      </c>
      <c r="P4" s="49" t="inlineStr">
        <is>
          <t>עלויות מומרות ל-Universal Journal (ACDOCA) ב-SUM. COSP/COSS הופכים ל-Views. התאם דוחות עלות מותאמים והרצות התחשבנות.</t>
        </is>
      </c>
    </row>
    <row r="5" ht="20" customHeight="1">
      <c r="A5" s="50" t="n">
        <v>2</v>
      </c>
      <c r="B5" s="51" t="n"/>
      <c r="C5" s="51" t="n"/>
      <c r="D5" s="52" t="inlineStr">
        <is>
          <t>KSTAR</t>
        </is>
      </c>
      <c r="E5" s="53" t="inlineStr">
        <is>
          <t>Cost element</t>
        </is>
      </c>
      <c r="F5" s="54" t="inlineStr">
        <is>
          <t>אלמנט עלות</t>
        </is>
      </c>
      <c r="G5" s="62" t="inlineStr">
        <is>
          <t>PK/FK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WRTTP</t>
        </is>
      </c>
      <c r="E6" s="45" t="inlineStr">
        <is>
          <t>Value type (01 plan/04 actual)</t>
        </is>
      </c>
      <c r="F6" s="46" t="inlineStr">
        <is>
          <t>סוג ערך</t>
        </is>
      </c>
      <c r="G6" s="47" t="inlineStr">
        <is>
          <t>PK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GJAHR</t>
        </is>
      </c>
      <c r="E7" s="53" t="inlineStr">
        <is>
          <t>Fiscal year</t>
        </is>
      </c>
      <c r="F7" s="54" t="inlineStr">
        <is>
          <t>שנת כספים</t>
        </is>
      </c>
      <c r="G7" s="62" t="inlineStr">
        <is>
          <t>PK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8" t="n"/>
      <c r="C8" s="58" t="n"/>
      <c r="D8" s="44" t="inlineStr">
        <is>
          <t>WTG001</t>
        </is>
      </c>
      <c r="E8" s="45" t="inlineStr">
        <is>
          <t>Period value 001</t>
        </is>
      </c>
      <c r="F8" s="46" t="inlineStr">
        <is>
          <t>ערך תקופה 001</t>
        </is>
      </c>
      <c r="G8" s="56" t="inlineStr">
        <is>
          <t>-</t>
        </is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4" customHeight="1">
      <c r="A10" s="40" t="inlineStr">
        <is>
          <t xml:space="preserve">  ◆ טבלה COSS  -  סך עלויות פנימיות (Secondary)  (CO object cost totals - internal postings)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0" customHeight="1">
      <c r="A11" s="50" t="n">
        <v>6</v>
      </c>
      <c r="B11" s="60" t="inlineStr">
        <is>
          <t>KO88; KOB1</t>
        </is>
      </c>
      <c r="C11" s="61" t="inlineStr">
        <is>
          <t>COSS</t>
        </is>
      </c>
      <c r="D11" s="52" t="inlineStr">
        <is>
          <t>OBJNR</t>
        </is>
      </c>
      <c r="E11" s="53" t="inlineStr">
        <is>
          <t>CO object</t>
        </is>
      </c>
      <c r="F11" s="54" t="inlineStr">
        <is>
          <t>אובייקט CO</t>
        </is>
      </c>
      <c r="G11" s="62" t="inlineStr">
        <is>
          <t>PK/FK</t>
        </is>
      </c>
      <c r="H11" s="60" t="inlineStr">
        <is>
          <t>• K_COSTS_READ</t>
        </is>
      </c>
      <c r="I11" s="63" t="inlineStr">
        <is>
          <t>• קריאת עלויות פנימיות</t>
        </is>
      </c>
      <c r="J11" s="60" t="inlineStr">
        <is>
          <t>• RKAEP000</t>
        </is>
      </c>
      <c r="K11" s="63" t="inlineStr">
        <is>
          <t>• דוח פריטי עלות בפועל</t>
        </is>
      </c>
      <c r="L11" s="64" t="inlineStr">
        <is>
          <t>הוחלף - עלויות ב-Universal Journal</t>
        </is>
      </c>
      <c r="M11" s="64" t="inlineStr">
        <is>
          <t>ACDOCA (COSS=View תאימות)</t>
        </is>
      </c>
      <c r="N11" s="64" t="inlineStr">
        <is>
          <t>KO88 נתמך; Fiori</t>
        </is>
      </c>
      <c r="O11" s="65" t="inlineStr">
        <is>
          <t>Maintenance Order Actuals (אמת ID)</t>
        </is>
      </c>
      <c r="P11" s="64" t="inlineStr">
        <is>
          <t>עלויות מומרות ל-Universal Journal (ACDOCA) ב-SUM. COSP/COSS הופכים ל-Views. התאם דוחות עלות מותאמים והרצות התחשבנות.</t>
        </is>
      </c>
    </row>
    <row r="12" ht="20" customHeight="1">
      <c r="A12" s="41" t="n">
        <v>7</v>
      </c>
      <c r="B12" s="51" t="n"/>
      <c r="C12" s="51" t="n"/>
      <c r="D12" s="44" t="inlineStr">
        <is>
          <t>KSTAR</t>
        </is>
      </c>
      <c r="E12" s="45" t="inlineStr">
        <is>
          <t>Secondary cost element</t>
        </is>
      </c>
      <c r="F12" s="46" t="inlineStr">
        <is>
          <t>אלמנט עלות משני</t>
        </is>
      </c>
      <c r="G12" s="47" t="inlineStr">
        <is>
          <t>PK/FK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1" t="n"/>
      <c r="C13" s="51" t="n"/>
      <c r="D13" s="52" t="inlineStr">
        <is>
          <t>WRTTP</t>
        </is>
      </c>
      <c r="E13" s="53" t="inlineStr">
        <is>
          <t>Value type</t>
        </is>
      </c>
      <c r="F13" s="54" t="inlineStr">
        <is>
          <t>סוג ערך</t>
        </is>
      </c>
      <c r="G13" s="62" t="inlineStr">
        <is>
          <t>PK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GJAHR</t>
        </is>
      </c>
      <c r="E14" s="45" t="inlineStr">
        <is>
          <t>Fiscal year</t>
        </is>
      </c>
      <c r="F14" s="46" t="inlineStr">
        <is>
          <t>שנת כספים</t>
        </is>
      </c>
      <c r="G14" s="47" t="inlineStr">
        <is>
          <t>PK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8" t="n"/>
      <c r="C15" s="58" t="n"/>
      <c r="D15" s="52" t="inlineStr">
        <is>
          <t>PARGB</t>
        </is>
      </c>
      <c r="E15" s="53" t="inlineStr">
        <is>
          <t>Partner / sender object</t>
        </is>
      </c>
      <c r="F15" s="54" t="inlineStr">
        <is>
          <t>אובייקט שותף</t>
        </is>
      </c>
      <c r="G15" s="59" t="inlineStr">
        <is>
          <t>FK</t>
        </is>
      </c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4" customHeight="1">
      <c r="A17" s="40" t="inlineStr">
        <is>
          <t xml:space="preserve">  ◆ טבלה COBRA  -  כותרת חוק התחשבנות  (Settlement rule header)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0" customHeight="1">
      <c r="A18" s="41" t="n">
        <v>11</v>
      </c>
      <c r="B18" s="42" t="inlineStr">
        <is>
          <t>KO02; IW32</t>
        </is>
      </c>
      <c r="C18" s="43" t="inlineStr">
        <is>
          <t>COBRA</t>
        </is>
      </c>
      <c r="D18" s="44" t="inlineStr">
        <is>
          <t>OBJNR</t>
        </is>
      </c>
      <c r="E18" s="45" t="inlineStr">
        <is>
          <t>Source object (order)</t>
        </is>
      </c>
      <c r="F18" s="46" t="inlineStr">
        <is>
          <t>אובייקט מקור</t>
        </is>
      </c>
      <c r="G18" s="47" t="inlineStr">
        <is>
          <t>PK/FK</t>
        </is>
      </c>
      <c r="H18" s="42" t="inlineStr">
        <is>
          <t>• K_SETTLEMENT_RULE_READ</t>
        </is>
      </c>
      <c r="I18" s="48" t="inlineStr">
        <is>
          <t>• קריאת חוק התחשבנות</t>
        </is>
      </c>
      <c r="J18" s="42" t="inlineStr">
        <is>
          <t>• RKACOR40</t>
        </is>
      </c>
      <c r="K18" s="48" t="inlineStr">
        <is>
          <t>• איתור חוקי התחשבנות חסרים</t>
        </is>
      </c>
      <c r="L18" s="49" t="inlineStr">
        <is>
          <t>ללא שינוי (תואם)</t>
        </is>
      </c>
      <c r="M18" s="49" t="inlineStr">
        <is>
          <t>COBRA (זהה)</t>
        </is>
      </c>
      <c r="N18" s="49" t="inlineStr">
        <is>
          <t>KO02/IW32 (זהה)</t>
        </is>
      </c>
      <c r="O18" s="43" t="inlineStr">
        <is>
          <t>Manage Settlement Rules (אמת ID)</t>
        </is>
      </c>
      <c r="P18" s="49" t="inlineStr">
        <is>
          <t>ללא פעולת המרה ייעודית ב-SUM (טבלה תואמת). מומלץ Regression Test ואימות התאמות אישיות לאחר ההמרה.</t>
        </is>
      </c>
    </row>
    <row r="19" ht="20" customHeight="1">
      <c r="A19" s="50" t="n">
        <v>12</v>
      </c>
      <c r="B19" s="51" t="n"/>
      <c r="C19" s="51" t="n"/>
      <c r="D19" s="52" t="inlineStr">
        <is>
          <t>BUREG</t>
        </is>
      </c>
      <c r="E19" s="53" t="inlineStr">
        <is>
          <t>Settlement rule</t>
        </is>
      </c>
      <c r="F19" s="54" t="inlineStr">
        <is>
          <t>חוק התחשבנות</t>
        </is>
      </c>
      <c r="G19" s="55" t="inlineStr">
        <is>
          <t>-</t>
        </is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 ht="20" customHeight="1">
      <c r="A20" s="41" t="n">
        <v>13</v>
      </c>
      <c r="B20" s="51" t="n"/>
      <c r="C20" s="51" t="n"/>
      <c r="D20" s="44" t="inlineStr">
        <is>
          <t>PERBZ</t>
        </is>
      </c>
      <c r="E20" s="45" t="inlineStr">
        <is>
          <t>Period type</t>
        </is>
      </c>
      <c r="F20" s="46" t="inlineStr">
        <is>
          <t>סוג תקופה</t>
        </is>
      </c>
      <c r="G20" s="56" t="inlineStr">
        <is>
          <t>-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8" t="n"/>
      <c r="C21" s="58" t="n"/>
      <c r="D21" s="52" t="inlineStr">
        <is>
          <t>ERLKZ</t>
        </is>
      </c>
      <c r="E21" s="53" t="inlineStr">
        <is>
          <t>Completion indicator</t>
        </is>
      </c>
      <c r="F21" s="54" t="inlineStr">
        <is>
          <t>מחוון השלמה</t>
        </is>
      </c>
      <c r="G21" s="55" t="inlineStr">
        <is>
          <t>-</t>
        </is>
      </c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4" customHeight="1">
      <c r="A23" s="40" t="inlineStr">
        <is>
          <t xml:space="preserve">  ◆ טבלה COBRB  -  פריטי חוק התחשבנות (חוקי חלוקה)  (Settlement / distribution rules)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0" customHeight="1">
      <c r="A24" s="41" t="n">
        <v>15</v>
      </c>
      <c r="B24" s="42" t="inlineStr">
        <is>
          <t>KO02; IW32</t>
        </is>
      </c>
      <c r="C24" s="43" t="inlineStr">
        <is>
          <t>COBRB</t>
        </is>
      </c>
      <c r="D24" s="44" t="inlineStr">
        <is>
          <t>OBJNR</t>
        </is>
      </c>
      <c r="E24" s="45" t="inlineStr">
        <is>
          <t>Source object</t>
        </is>
      </c>
      <c r="F24" s="46" t="inlineStr">
        <is>
          <t>אובייקט מקור</t>
        </is>
      </c>
      <c r="G24" s="47" t="inlineStr">
        <is>
          <t>PK/FK</t>
        </is>
      </c>
      <c r="H24" s="42" t="inlineStr">
        <is>
          <t>• K_SETTLEMENT_RULE_READ</t>
        </is>
      </c>
      <c r="I24" s="48" t="inlineStr">
        <is>
          <t>• קריאת פריטי חוק התחשבנות</t>
        </is>
      </c>
      <c r="J24" s="42" t="inlineStr">
        <is>
          <t>• RKACOR40</t>
        </is>
      </c>
      <c r="K24" s="48" t="inlineStr">
        <is>
          <t>• בדיקת תקינות חוקי חלוקה</t>
        </is>
      </c>
      <c r="L24" s="49" t="inlineStr">
        <is>
          <t>ללא שינוי (תואם)</t>
        </is>
      </c>
      <c r="M24" s="49" t="inlineStr">
        <is>
          <t>COBRB (זהה)</t>
        </is>
      </c>
      <c r="N24" s="49" t="inlineStr">
        <is>
          <t>KO02/IW32 (זהה)</t>
        </is>
      </c>
      <c r="O24" s="43" t="inlineStr">
        <is>
          <t>Manage Settlement Rules (אמת ID)</t>
        </is>
      </c>
      <c r="P24" s="49" t="inlineStr">
        <is>
          <t>ללא פעולת המרה ייעודית ב-SUM (טבלה תואמת). מומלץ Regression Test ואימות התאמות אישיות לאחר ההמרה.</t>
        </is>
      </c>
    </row>
    <row r="25" ht="20" customHeight="1">
      <c r="A25" s="50" t="n">
        <v>16</v>
      </c>
      <c r="B25" s="51" t="n"/>
      <c r="C25" s="51" t="n"/>
      <c r="D25" s="52" t="inlineStr">
        <is>
          <t>BUREG</t>
        </is>
      </c>
      <c r="E25" s="53" t="inlineStr">
        <is>
          <t>Settlement rule</t>
        </is>
      </c>
      <c r="F25" s="54" t="inlineStr">
        <is>
          <t>חוק התחשבנות</t>
        </is>
      </c>
      <c r="G25" s="62" t="inlineStr">
        <is>
          <t>PK</t>
        </is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 ht="20" customHeight="1">
      <c r="A26" s="41" t="n">
        <v>17</v>
      </c>
      <c r="B26" s="51" t="n"/>
      <c r="C26" s="51" t="n"/>
      <c r="D26" s="44" t="inlineStr">
        <is>
          <t>KONTY</t>
        </is>
      </c>
      <c r="E26" s="45" t="inlineStr">
        <is>
          <t>Receiver category</t>
        </is>
      </c>
      <c r="F26" s="46" t="inlineStr">
        <is>
          <t>סוג מקבל</t>
        </is>
      </c>
      <c r="G26" s="56" t="inlineStr">
        <is>
          <t>-</t>
        </is>
      </c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 ht="20" customHeight="1">
      <c r="A27" s="50" t="n">
        <v>18</v>
      </c>
      <c r="B27" s="51" t="n"/>
      <c r="C27" s="51" t="n"/>
      <c r="D27" s="52" t="inlineStr">
        <is>
          <t>EMPGE</t>
        </is>
      </c>
      <c r="E27" s="53" t="inlineStr">
        <is>
          <t>Settlement receiver</t>
        </is>
      </c>
      <c r="F27" s="54" t="inlineStr">
        <is>
          <t>המקבל בפועל</t>
        </is>
      </c>
      <c r="G27" s="59" t="inlineStr">
        <is>
          <t>FK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20" customHeight="1">
      <c r="A28" s="41" t="n">
        <v>19</v>
      </c>
      <c r="B28" s="58" t="n"/>
      <c r="C28" s="58" t="n"/>
      <c r="D28" s="44" t="inlineStr">
        <is>
          <t>PROZS</t>
        </is>
      </c>
      <c r="E28" s="45" t="inlineStr">
        <is>
          <t>Settlement percentage</t>
        </is>
      </c>
      <c r="F28" s="46" t="inlineStr">
        <is>
          <t>אחוז התחשבנות</t>
        </is>
      </c>
      <c r="G28" s="56" t="inlineStr">
        <is>
          <t>-</t>
        </is>
      </c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4" customHeight="1">
      <c r="A31" s="40" t="inlineStr">
        <is>
          <t xml:space="preserve">  ⚙ הרחבות טכניות ושינויי ארכיטקטורה (Technical Extensions: User Exits / BAdIs / ECC vs S/4HANA)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66" t="inlineStr">
        <is>
          <t>סוג (Type)</t>
        </is>
      </c>
      <c r="B32" s="4" t="n"/>
      <c r="C32" s="66" t="inlineStr">
        <is>
          <t>קוד / שם טכני (Code)</t>
        </is>
      </c>
      <c r="D32" s="4" t="n"/>
      <c r="E32" s="66" t="inlineStr">
        <is>
          <t>תיאור / הבדל (Hebrew)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4" customHeight="1">
      <c r="A33" s="67" t="inlineStr">
        <is>
          <t>User Exit (SMOD)</t>
        </is>
      </c>
      <c r="B33" s="4" t="n"/>
      <c r="C33" s="68" t="inlineStr">
        <is>
          <t>COOMEP01</t>
        </is>
      </c>
      <c r="D33" s="4" t="n"/>
      <c r="E33" s="69" t="inlineStr">
        <is>
          <t>הרחבת פריטי עלות/התחשבנות (אמת שם מדויק)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4" customHeight="1">
      <c r="A34" s="70" t="inlineStr">
        <is>
          <t>User Exit (SMOD)</t>
        </is>
      </c>
      <c r="B34" s="4" t="n"/>
      <c r="C34" s="71" t="inlineStr">
        <is>
          <t>KOAB0001</t>
        </is>
      </c>
      <c r="D34" s="4" t="n"/>
      <c r="E34" s="72" t="inlineStr">
        <is>
          <t>הרחבת חוקי התחשבנות (Settlement)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4" customHeight="1">
      <c r="A35" s="67" t="inlineStr">
        <is>
          <t>BAdI (SE18)</t>
        </is>
      </c>
      <c r="B35" s="4" t="n"/>
      <c r="C35" s="68" t="inlineStr">
        <is>
          <t>BADI_SETTLEMENT</t>
        </is>
      </c>
      <c r="D35" s="4" t="n"/>
      <c r="E35" s="69" t="inlineStr">
        <is>
          <t>הרחבת לוגיקת התחשבנות (אמת שם ב-SE18)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4" customHeight="1">
      <c r="A36" s="70" t="inlineStr">
        <is>
          <t>ארכיטקטורה ECC↔S/4</t>
        </is>
      </c>
      <c r="B36" s="4" t="n"/>
      <c r="C36" s="71" t="inlineStr">
        <is>
          <t>—</t>
        </is>
      </c>
      <c r="D36" s="4" t="n"/>
      <c r="E36" s="72" t="inlineStr">
        <is>
          <t>COSP/COSS/COEP הוחלפו ע"י Universal Journal (ACDOCA); הטבלאות הישנות נשארות כ-Views.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4" customHeight="1">
      <c r="A37" s="67" t="inlineStr">
        <is>
          <t>ארכיטקטורה ECC↔S/4</t>
        </is>
      </c>
      <c r="B37" s="4" t="n"/>
      <c r="C37" s="68" t="inlineStr">
        <is>
          <t>—</t>
        </is>
      </c>
      <c r="D37" s="4" t="n"/>
      <c r="E37" s="69" t="inlineStr">
        <is>
          <t>COBRA/COBRB (חוקי התחשבנות) ללא שינוי לוגי; KO88/KO8G נתמכים.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4" customHeight="1">
      <c r="A38" s="70" t="inlineStr">
        <is>
          <t>ארכיטקטורה ECC↔S/4</t>
        </is>
      </c>
      <c r="B38" s="4" t="n"/>
      <c r="C38" s="71" t="inlineStr">
        <is>
          <t>—</t>
        </is>
      </c>
      <c r="D38" s="4" t="n"/>
      <c r="E38" s="72" t="inlineStr">
        <is>
          <t>Margin Analysis (Account-Based COPA) מחליף חלק מ-CO-PA הקלאסי.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</sheetData>
  <mergeCells count="72">
    <mergeCell ref="C34:D34"/>
    <mergeCell ref="E38:P38"/>
    <mergeCell ref="J4:J8"/>
    <mergeCell ref="L4:L8"/>
    <mergeCell ref="A17:P17"/>
    <mergeCell ref="H11:H15"/>
    <mergeCell ref="A23:P23"/>
    <mergeCell ref="C11:C15"/>
    <mergeCell ref="J11:J15"/>
    <mergeCell ref="B18:B21"/>
    <mergeCell ref="C33:D33"/>
    <mergeCell ref="A36:B36"/>
    <mergeCell ref="I24:I28"/>
    <mergeCell ref="A1:B1"/>
    <mergeCell ref="I4:I8"/>
    <mergeCell ref="O18:O21"/>
    <mergeCell ref="E34:P34"/>
    <mergeCell ref="L18:L21"/>
    <mergeCell ref="C35:D35"/>
    <mergeCell ref="A10:P10"/>
    <mergeCell ref="N18:N21"/>
    <mergeCell ref="E35:P35"/>
    <mergeCell ref="O11:O15"/>
    <mergeCell ref="M24:M28"/>
    <mergeCell ref="M4:M8"/>
    <mergeCell ref="B4:B8"/>
    <mergeCell ref="B24:B28"/>
    <mergeCell ref="A31:P31"/>
    <mergeCell ref="A37:B37"/>
    <mergeCell ref="C1:P1"/>
    <mergeCell ref="P24:P28"/>
    <mergeCell ref="E36:P36"/>
    <mergeCell ref="H24:H28"/>
    <mergeCell ref="N24:N28"/>
    <mergeCell ref="N11:N15"/>
    <mergeCell ref="P4:P8"/>
    <mergeCell ref="K4:K8"/>
    <mergeCell ref="I11:I15"/>
    <mergeCell ref="I18:I21"/>
    <mergeCell ref="E32:P32"/>
    <mergeCell ref="H4:H8"/>
    <mergeCell ref="N4:N8"/>
    <mergeCell ref="M18:M21"/>
    <mergeCell ref="A33:B33"/>
    <mergeCell ref="L11:L15"/>
    <mergeCell ref="C24:C28"/>
    <mergeCell ref="C4:C8"/>
    <mergeCell ref="A32:B32"/>
    <mergeCell ref="C36:D36"/>
    <mergeCell ref="K24:K28"/>
    <mergeCell ref="E37:P37"/>
    <mergeCell ref="O24:O28"/>
    <mergeCell ref="A35:B35"/>
    <mergeCell ref="P18:P21"/>
    <mergeCell ref="L24:L28"/>
    <mergeCell ref="H18:H21"/>
    <mergeCell ref="C32:D32"/>
    <mergeCell ref="A38:B38"/>
    <mergeCell ref="J18:J21"/>
    <mergeCell ref="C38:D38"/>
    <mergeCell ref="K18:K21"/>
    <mergeCell ref="B11:B15"/>
    <mergeCell ref="E33:P33"/>
    <mergeCell ref="K11:K15"/>
    <mergeCell ref="C37:D37"/>
    <mergeCell ref="M11:M15"/>
    <mergeCell ref="J24:J28"/>
    <mergeCell ref="A3:P3"/>
    <mergeCell ref="P11:P15"/>
    <mergeCell ref="O4:O8"/>
    <mergeCell ref="A34:B34"/>
    <mergeCell ref="C18:C21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P53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11. אחזקה מונעת ותוכניות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PLKO  -  כותרת רשימת פעולות אחזקה  (Task list header)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IA05/IA01/IA11; IA06, IA08</t>
        </is>
      </c>
      <c r="C4" s="43" t="inlineStr">
        <is>
          <t>PLKO</t>
        </is>
      </c>
      <c r="D4" s="44" t="inlineStr">
        <is>
          <t>PLNNR</t>
        </is>
      </c>
      <c r="E4" s="45" t="inlineStr">
        <is>
          <t>Task list group</t>
        </is>
      </c>
      <c r="F4" s="46" t="inlineStr">
        <is>
          <t>קבוצת רשימת פעולות</t>
        </is>
      </c>
      <c r="G4" s="47" t="inlineStr">
        <is>
          <t>PK</t>
        </is>
      </c>
      <c r="H4" s="42" t="inlineStr">
        <is>
          <t>• BAPI_TASKLIST_CREATE
• CARO_TASKLIST_READ</t>
        </is>
      </c>
      <c r="I4" s="48" t="inlineStr">
        <is>
          <t>• יצירת רשימת פעולות
• קריאת רשימת פעולות</t>
        </is>
      </c>
      <c r="J4" s="42" t="inlineStr">
        <is>
          <t>• RIPLKO00</t>
        </is>
      </c>
      <c r="K4" s="48" t="inlineStr">
        <is>
          <t>• דוח רשימות פעולות לפי קבוצה</t>
        </is>
      </c>
      <c r="L4" s="49" t="inlineStr">
        <is>
          <t>ללא שינוי (תואם)</t>
        </is>
      </c>
      <c r="M4" s="49" t="inlineStr">
        <is>
          <t>PLKO (זהה)</t>
        </is>
      </c>
      <c r="N4" s="49" t="inlineStr">
        <is>
          <t>IA05-IA12; Fiori</t>
        </is>
      </c>
      <c r="O4" s="43" t="inlineStr">
        <is>
          <t>Manage Task Lists (אמת ID)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PLNAL</t>
        </is>
      </c>
      <c r="E5" s="53" t="inlineStr">
        <is>
          <t>Group counter / alternative</t>
        </is>
      </c>
      <c r="F5" s="54" t="inlineStr">
        <is>
          <t>חלופת רשימה</t>
        </is>
      </c>
      <c r="G5" s="62" t="inlineStr">
        <is>
          <t>PK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PLNTY</t>
        </is>
      </c>
      <c r="E6" s="45" t="inlineStr">
        <is>
          <t>Task list type (A/E/T)</t>
        </is>
      </c>
      <c r="F6" s="46" t="inlineStr">
        <is>
          <t>סוג רשימה</t>
        </is>
      </c>
      <c r="G6" s="47" t="inlineStr">
        <is>
          <t>PK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VERWE</t>
        </is>
      </c>
      <c r="E7" s="53" t="inlineStr">
        <is>
          <t>Task list usage</t>
        </is>
      </c>
      <c r="F7" s="54" t="inlineStr">
        <is>
          <t>שימוש רשימה</t>
        </is>
      </c>
      <c r="G7" s="55" t="inlineStr">
        <is>
          <t>-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8" t="n"/>
      <c r="C8" s="58" t="n"/>
      <c r="D8" s="44" t="inlineStr">
        <is>
          <t>STATU</t>
        </is>
      </c>
      <c r="E8" s="45" t="inlineStr">
        <is>
          <t>Task list status</t>
        </is>
      </c>
      <c r="F8" s="46" t="inlineStr">
        <is>
          <t>סטטוס רשימה</t>
        </is>
      </c>
      <c r="G8" s="56" t="inlineStr">
        <is>
          <t>-</t>
        </is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4" customHeight="1">
      <c r="A10" s="40" t="inlineStr">
        <is>
          <t xml:space="preserve">  ◆ טבלה PLPO  -  פעולות ברשימת פעולות  (Task list operations)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0" customHeight="1">
      <c r="A11" s="50" t="n">
        <v>6</v>
      </c>
      <c r="B11" s="60" t="inlineStr">
        <is>
          <t>IA01/IA05; IA06</t>
        </is>
      </c>
      <c r="C11" s="61" t="inlineStr">
        <is>
          <t>PLPO</t>
        </is>
      </c>
      <c r="D11" s="52" t="inlineStr">
        <is>
          <t>PLNTY</t>
        </is>
      </c>
      <c r="E11" s="53" t="inlineStr">
        <is>
          <t>Task list type</t>
        </is>
      </c>
      <c r="F11" s="54" t="inlineStr">
        <is>
          <t>סוג רשימה</t>
        </is>
      </c>
      <c r="G11" s="62" t="inlineStr">
        <is>
          <t>PK</t>
        </is>
      </c>
      <c r="H11" s="60" t="inlineStr">
        <is>
          <t>• CP_DI_OPERATION_READ</t>
        </is>
      </c>
      <c r="I11" s="63" t="inlineStr">
        <is>
          <t>• קריאת פעולות הרשימה</t>
        </is>
      </c>
      <c r="J11" s="60" t="inlineStr">
        <is>
          <t>• RIPLKO00</t>
        </is>
      </c>
      <c r="K11" s="63" t="inlineStr">
        <is>
          <t>• דוח פעולות רשימה</t>
        </is>
      </c>
      <c r="L11" s="64" t="inlineStr">
        <is>
          <t>ללא שינוי (תואם)</t>
        </is>
      </c>
      <c r="M11" s="64" t="inlineStr">
        <is>
          <t>PLPO (זהה)</t>
        </is>
      </c>
      <c r="N11" s="64" t="inlineStr">
        <is>
          <t>IA0*; Fiori</t>
        </is>
      </c>
      <c r="O11" s="65" t="inlineStr">
        <is>
          <t>Manage Task Lists (אמת ID)</t>
        </is>
      </c>
      <c r="P11" s="64" t="inlineStr">
        <is>
          <t>ללא פעולת המרה ייעודית ב-SUM (טבלה תואמת). מומלץ Regression Test ואימות התאמות אישיות לאחר ההמרה.</t>
        </is>
      </c>
    </row>
    <row r="12" ht="20" customHeight="1">
      <c r="A12" s="41" t="n">
        <v>7</v>
      </c>
      <c r="B12" s="51" t="n"/>
      <c r="C12" s="51" t="n"/>
      <c r="D12" s="44" t="inlineStr">
        <is>
          <t>PLNNR</t>
        </is>
      </c>
      <c r="E12" s="45" t="inlineStr">
        <is>
          <t>Task list group</t>
        </is>
      </c>
      <c r="F12" s="46" t="inlineStr">
        <is>
          <t>קבוצת רשימה</t>
        </is>
      </c>
      <c r="G12" s="47" t="inlineStr">
        <is>
          <t>PK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1" t="n"/>
      <c r="C13" s="51" t="n"/>
      <c r="D13" s="52" t="inlineStr">
        <is>
          <t>VORNR</t>
        </is>
      </c>
      <c r="E13" s="53" t="inlineStr">
        <is>
          <t>Operation number</t>
        </is>
      </c>
      <c r="F13" s="54" t="inlineStr">
        <is>
          <t>מספר פעולה</t>
        </is>
      </c>
      <c r="G13" s="55" t="inlineStr">
        <is>
          <t>-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ARBID</t>
        </is>
      </c>
      <c r="E14" s="45" t="inlineStr">
        <is>
          <t>Work center (object id)</t>
        </is>
      </c>
      <c r="F14" s="46" t="inlineStr">
        <is>
          <t>מרכז עבודה</t>
        </is>
      </c>
      <c r="G14" s="57" t="inlineStr">
        <is>
          <t>FK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1" t="n"/>
      <c r="C15" s="51" t="n"/>
      <c r="D15" s="52" t="inlineStr">
        <is>
          <t>STEUS</t>
        </is>
      </c>
      <c r="E15" s="53" t="inlineStr">
        <is>
          <t>Control key</t>
        </is>
      </c>
      <c r="F15" s="54" t="inlineStr">
        <is>
          <t>מפתח בקרה</t>
        </is>
      </c>
      <c r="G15" s="55" t="inlineStr">
        <is>
          <t>-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</row>
    <row r="16" ht="20" customHeight="1">
      <c r="A16" s="41" t="n">
        <v>11</v>
      </c>
      <c r="B16" s="58" t="n"/>
      <c r="C16" s="58" t="n"/>
      <c r="D16" s="44" t="inlineStr">
        <is>
          <t>ARBEI</t>
        </is>
      </c>
      <c r="E16" s="45" t="inlineStr">
        <is>
          <t>Planned work</t>
        </is>
      </c>
      <c r="F16" s="46" t="inlineStr">
        <is>
          <t>עבודה מתוכננת</t>
        </is>
      </c>
      <c r="G16" s="56" t="inlineStr">
        <is>
          <t>-</t>
        </is>
      </c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4" customHeight="1">
      <c r="A18" s="40" t="inlineStr">
        <is>
          <t xml:space="preserve">  ◆ טבלה MPLA  -  כותרת תכנית אחזקה ונתוני תזמון  (Maintenance plan header)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0" customHeight="1">
      <c r="A19" s="50" t="n">
        <v>12</v>
      </c>
      <c r="B19" s="60" t="inlineStr">
        <is>
          <t>IP01/IP02/IP03; IP41, IP42</t>
        </is>
      </c>
      <c r="C19" s="61" t="inlineStr">
        <is>
          <t>MPLA</t>
        </is>
      </c>
      <c r="D19" s="52" t="inlineStr">
        <is>
          <t>WARPL</t>
        </is>
      </c>
      <c r="E19" s="53" t="inlineStr">
        <is>
          <t>Maintenance plan number</t>
        </is>
      </c>
      <c r="F19" s="54" t="inlineStr">
        <is>
          <t>מספר תכנית אחזקה</t>
        </is>
      </c>
      <c r="G19" s="62" t="inlineStr">
        <is>
          <t>PK</t>
        </is>
      </c>
      <c r="H19" s="60" t="inlineStr">
        <is>
          <t>• BAPI_MAINTENANCEPLAN_CREATE
• MAINTENANCE_PLAN_SCHEDULE</t>
        </is>
      </c>
      <c r="I19" s="63" t="inlineStr">
        <is>
          <t>• יצירת תכנית אחזקה
• תזמון תכנית אחזקה</t>
        </is>
      </c>
      <c r="J19" s="60" t="inlineStr">
        <is>
          <t>• RIMPLA00</t>
        </is>
      </c>
      <c r="K19" s="63" t="inlineStr">
        <is>
          <t>• דוח תכניות אחזקה ופריטיהן</t>
        </is>
      </c>
      <c r="L19" s="64" t="inlineStr">
        <is>
          <t>ללא שינוי (תואם)</t>
        </is>
      </c>
      <c r="M19" s="64" t="inlineStr">
        <is>
          <t>MPLA (זהה)</t>
        </is>
      </c>
      <c r="N19" s="64" t="inlineStr">
        <is>
          <t>IP01-03; Fiori</t>
        </is>
      </c>
      <c r="O19" s="65" t="inlineStr">
        <is>
          <t>Manage Maintenance Plans (אמת ID)</t>
        </is>
      </c>
      <c r="P19" s="64" t="inlineStr">
        <is>
          <t>ללא פעולת המרה ייעודית ב-SUM (טבלה תואמת). מומלץ Regression Test ואימות התאמות אישיות לאחר ההמרה.</t>
        </is>
      </c>
    </row>
    <row r="20" ht="20" customHeight="1">
      <c r="A20" s="41" t="n">
        <v>13</v>
      </c>
      <c r="B20" s="51" t="n"/>
      <c r="C20" s="51" t="n"/>
      <c r="D20" s="44" t="inlineStr">
        <is>
          <t>MPTYP</t>
        </is>
      </c>
      <c r="E20" s="45" t="inlineStr">
        <is>
          <t>Maintenance plan category</t>
        </is>
      </c>
      <c r="F20" s="46" t="inlineStr">
        <is>
          <t>סוג תכנית</t>
        </is>
      </c>
      <c r="G20" s="56" t="inlineStr">
        <is>
          <t>-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1" t="n"/>
      <c r="C21" s="51" t="n"/>
      <c r="D21" s="52" t="inlineStr">
        <is>
          <t>STRAT</t>
        </is>
      </c>
      <c r="E21" s="53" t="inlineStr">
        <is>
          <t>Maintenance strategy</t>
        </is>
      </c>
      <c r="F21" s="54" t="inlineStr">
        <is>
          <t>אסטרטגיית אחזקה</t>
        </is>
      </c>
      <c r="G21" s="59" t="inlineStr">
        <is>
          <t>FK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 ht="20" customHeight="1">
      <c r="A22" s="41" t="n">
        <v>15</v>
      </c>
      <c r="B22" s="51" t="n"/>
      <c r="C22" s="51" t="n"/>
      <c r="D22" s="44" t="inlineStr">
        <is>
          <t>HORIZ</t>
        </is>
      </c>
      <c r="E22" s="45" t="inlineStr">
        <is>
          <t>Call horizon</t>
        </is>
      </c>
      <c r="F22" s="46" t="inlineStr">
        <is>
          <t>אופק שחרור</t>
        </is>
      </c>
      <c r="G22" s="56" t="inlineStr">
        <is>
          <t>-</t>
        </is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20" customHeight="1">
      <c r="A23" s="50" t="n">
        <v>16</v>
      </c>
      <c r="B23" s="58" t="n"/>
      <c r="C23" s="58" t="n"/>
      <c r="D23" s="52" t="inlineStr">
        <is>
          <t>ABRHO</t>
        </is>
      </c>
      <c r="E23" s="53" t="inlineStr">
        <is>
          <t>Scheduling period</t>
        </is>
      </c>
      <c r="F23" s="54" t="inlineStr">
        <is>
          <t>תקופת תזמון</t>
        </is>
      </c>
      <c r="G23" s="55" t="inlineStr">
        <is>
          <t>-</t>
        </is>
      </c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4" customHeight="1">
      <c r="A25" s="40" t="inlineStr">
        <is>
          <t xml:space="preserve">  ◆ טבלה MPOS  -  פריט תכנית אחזקה  (Maintenance item)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0" customHeight="1">
      <c r="A26" s="41" t="n">
        <v>17</v>
      </c>
      <c r="B26" s="42" t="inlineStr">
        <is>
          <t>IP04; IP02</t>
        </is>
      </c>
      <c r="C26" s="43" t="inlineStr">
        <is>
          <t>MPOS</t>
        </is>
      </c>
      <c r="D26" s="44" t="inlineStr">
        <is>
          <t>WAPOS</t>
        </is>
      </c>
      <c r="E26" s="45" t="inlineStr">
        <is>
          <t>Maintenance item number</t>
        </is>
      </c>
      <c r="F26" s="46" t="inlineStr">
        <is>
          <t>מספר פריט תכנית</t>
        </is>
      </c>
      <c r="G26" s="47" t="inlineStr">
        <is>
          <t>PK</t>
        </is>
      </c>
      <c r="H26" s="42" t="inlineStr">
        <is>
          <t>• MAINTENANCE_ITEM_READ</t>
        </is>
      </c>
      <c r="I26" s="48" t="inlineStr">
        <is>
          <t>• קריאת פריט תכנית אחזקה</t>
        </is>
      </c>
      <c r="J26" s="42" t="inlineStr">
        <is>
          <t>• RIMPLA00</t>
        </is>
      </c>
      <c r="K26" s="48" t="inlineStr">
        <is>
          <t>• דוח פריטי תכנית אחזקה</t>
        </is>
      </c>
      <c r="L26" s="49" t="inlineStr">
        <is>
          <t>ללא שינוי (תואם)</t>
        </is>
      </c>
      <c r="M26" s="49" t="inlineStr">
        <is>
          <t>MPOS (זהה)</t>
        </is>
      </c>
      <c r="N26" s="49" t="inlineStr">
        <is>
          <t>IP04; Fiori</t>
        </is>
      </c>
      <c r="O26" s="43" t="inlineStr">
        <is>
          <t>Manage Maintenance Plans (אמת ID)</t>
        </is>
      </c>
      <c r="P26" s="49" t="inlineStr">
        <is>
          <t>ללא פעולת המרה ייעודית ב-SUM (טבלה תואמת). מומלץ Regression Test ואימות התאמות אישיות לאחר ההמרה.</t>
        </is>
      </c>
    </row>
    <row r="27" ht="20" customHeight="1">
      <c r="A27" s="50" t="n">
        <v>18</v>
      </c>
      <c r="B27" s="51" t="n"/>
      <c r="C27" s="51" t="n"/>
      <c r="D27" s="52" t="inlineStr">
        <is>
          <t>WARPL</t>
        </is>
      </c>
      <c r="E27" s="53" t="inlineStr">
        <is>
          <t>Maintenance plan</t>
        </is>
      </c>
      <c r="F27" s="54" t="inlineStr">
        <is>
          <t>תכנית אחזקה</t>
        </is>
      </c>
      <c r="G27" s="59" t="inlineStr">
        <is>
          <t>FK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 ht="20" customHeight="1">
      <c r="A28" s="41" t="n">
        <v>19</v>
      </c>
      <c r="B28" s="51" t="n"/>
      <c r="C28" s="51" t="n"/>
      <c r="D28" s="44" t="inlineStr">
        <is>
          <t>EQUNR</t>
        </is>
      </c>
      <c r="E28" s="45" t="inlineStr">
        <is>
          <t>Reference equipment</t>
        </is>
      </c>
      <c r="F28" s="46" t="inlineStr">
        <is>
          <t>ציוד מתייחס</t>
        </is>
      </c>
      <c r="G28" s="57" t="inlineStr">
        <is>
          <t>FK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 ht="20" customHeight="1">
      <c r="A29" s="50" t="n">
        <v>20</v>
      </c>
      <c r="B29" s="51" t="n"/>
      <c r="C29" s="51" t="n"/>
      <c r="D29" s="52" t="inlineStr">
        <is>
          <t>TPLNR</t>
        </is>
      </c>
      <c r="E29" s="53" t="inlineStr">
        <is>
          <t>Reference functional location</t>
        </is>
      </c>
      <c r="F29" s="54" t="inlineStr">
        <is>
          <t>מיקום מתייחס</t>
        </is>
      </c>
      <c r="G29" s="59" t="inlineStr">
        <is>
          <t>FK</t>
        </is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 ht="20" customHeight="1">
      <c r="A30" s="41" t="n">
        <v>21</v>
      </c>
      <c r="B30" s="51" t="n"/>
      <c r="C30" s="51" t="n"/>
      <c r="D30" s="44" t="inlineStr">
        <is>
          <t>AUART</t>
        </is>
      </c>
      <c r="E30" s="45" t="inlineStr">
        <is>
          <t>Order type to create</t>
        </is>
      </c>
      <c r="F30" s="46" t="inlineStr">
        <is>
          <t>סוג פק"ע ליצירה</t>
        </is>
      </c>
      <c r="G30" s="56" t="inlineStr">
        <is>
          <t>-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 ht="20" customHeight="1">
      <c r="A31" s="50" t="n">
        <v>22</v>
      </c>
      <c r="B31" s="58" t="n"/>
      <c r="C31" s="58" t="n"/>
      <c r="D31" s="52" t="inlineStr">
        <is>
          <t>PLNNR</t>
        </is>
      </c>
      <c r="E31" s="53" t="inlineStr">
        <is>
          <t>Task list group</t>
        </is>
      </c>
      <c r="F31" s="54" t="inlineStr">
        <is>
          <t>קבוצת רשימת פעולות</t>
        </is>
      </c>
      <c r="G31" s="59" t="inlineStr">
        <is>
          <t>FK</t>
        </is>
      </c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4" customHeight="1">
      <c r="A33" s="40" t="inlineStr">
        <is>
          <t xml:space="preserve">  ◆ טבלה MHIO  -  אובייקטי קריאת תכנית האחזקה  (Maintenance plan call objects)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0" customHeight="1">
      <c r="A34" s="41" t="n">
        <v>23</v>
      </c>
      <c r="B34" s="42" t="inlineStr">
        <is>
          <t>IP10; IP30, IP24</t>
        </is>
      </c>
      <c r="C34" s="43" t="inlineStr">
        <is>
          <t>MHIO</t>
        </is>
      </c>
      <c r="D34" s="44" t="inlineStr">
        <is>
          <t>WARPL</t>
        </is>
      </c>
      <c r="E34" s="45" t="inlineStr">
        <is>
          <t>Maintenance plan</t>
        </is>
      </c>
      <c r="F34" s="46" t="inlineStr">
        <is>
          <t>תכנית אחזקה</t>
        </is>
      </c>
      <c r="G34" s="47" t="inlineStr">
        <is>
          <t>PK/FK</t>
        </is>
      </c>
      <c r="H34" s="42" t="inlineStr">
        <is>
          <t>• ISCHED_CALL_GENERATE
• MAINTENANCE_PLAN_SCHEDULE</t>
        </is>
      </c>
      <c r="I34" s="48" t="inlineStr">
        <is>
          <t>• יצירת קריאת אחזקה ופק"ע
• תזמון ושחרור קריאות</t>
        </is>
      </c>
      <c r="J34" s="42" t="inlineStr">
        <is>
          <t>• RISTRA20</t>
        </is>
      </c>
      <c r="K34" s="48" t="inlineStr">
        <is>
          <t>• ניטור מועדים ברקע (IP30)</t>
        </is>
      </c>
      <c r="L34" s="49" t="inlineStr">
        <is>
          <t>ללא שינוי (תואם)</t>
        </is>
      </c>
      <c r="M34" s="49" t="inlineStr">
        <is>
          <t>MHIO (זהה)</t>
        </is>
      </c>
      <c r="N34" s="49" t="inlineStr">
        <is>
          <t>IP10/IP30; Fiori</t>
        </is>
      </c>
      <c r="O34" s="43" t="inlineStr">
        <is>
          <t>Schedule Maintenance Plans (אמת ID)</t>
        </is>
      </c>
      <c r="P34" s="49" t="inlineStr">
        <is>
          <t>ללא פעולת המרה ייעודית ב-SUM (טבלה תואמת). מומלץ Regression Test ואימות התאמות אישיות לאחר ההמרה.</t>
        </is>
      </c>
    </row>
    <row r="35" ht="20" customHeight="1">
      <c r="A35" s="50" t="n">
        <v>24</v>
      </c>
      <c r="B35" s="51" t="n"/>
      <c r="C35" s="51" t="n"/>
      <c r="D35" s="52" t="inlineStr">
        <is>
          <t>ABNUM</t>
        </is>
      </c>
      <c r="E35" s="53" t="inlineStr">
        <is>
          <t>Maintenance call number</t>
        </is>
      </c>
      <c r="F35" s="54" t="inlineStr">
        <is>
          <t>מספר קריאה</t>
        </is>
      </c>
      <c r="G35" s="62" t="inlineStr">
        <is>
          <t>PK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</row>
    <row r="36" ht="20" customHeight="1">
      <c r="A36" s="41" t="n">
        <v>25</v>
      </c>
      <c r="B36" s="51" t="n"/>
      <c r="C36" s="51" t="n"/>
      <c r="D36" s="44" t="inlineStr">
        <is>
          <t>NPLDA</t>
        </is>
      </c>
      <c r="E36" s="45" t="inlineStr">
        <is>
          <t>Next planned date</t>
        </is>
      </c>
      <c r="F36" s="46" t="inlineStr">
        <is>
          <t>תאריך מתוכנן הבא</t>
        </is>
      </c>
      <c r="G36" s="56" t="inlineStr">
        <is>
          <t>-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</row>
    <row r="37" ht="20" customHeight="1">
      <c r="A37" s="50" t="n">
        <v>26</v>
      </c>
      <c r="B37" s="51" t="n"/>
      <c r="C37" s="51" t="n"/>
      <c r="D37" s="52" t="inlineStr">
        <is>
          <t>AUFNR</t>
        </is>
      </c>
      <c r="E37" s="53" t="inlineStr">
        <is>
          <t>Order created</t>
        </is>
      </c>
      <c r="F37" s="54" t="inlineStr">
        <is>
          <t>פק"ע שנוצרה</t>
        </is>
      </c>
      <c r="G37" s="59" t="inlineStr">
        <is>
          <t>FK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</row>
    <row r="38" ht="20" customHeight="1">
      <c r="A38" s="41" t="n">
        <v>27</v>
      </c>
      <c r="B38" s="58" t="n"/>
      <c r="C38" s="58" t="n"/>
      <c r="D38" s="44" t="inlineStr">
        <is>
          <t>ABRUF</t>
        </is>
      </c>
      <c r="E38" s="45" t="inlineStr">
        <is>
          <t>Call status</t>
        </is>
      </c>
      <c r="F38" s="46" t="inlineStr">
        <is>
          <t>סטטוס קריאה</t>
        </is>
      </c>
      <c r="G38" s="56" t="inlineStr">
        <is>
          <t>-</t>
        </is>
      </c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4" customHeight="1">
      <c r="A40" s="40" t="inlineStr">
        <is>
          <t xml:space="preserve">  ◆ טבלה MHIS  -  היסטוריית תזמון תכנית אחזקה  (Maintenance plan scheduling history)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0" customHeight="1">
      <c r="A41" s="50" t="n">
        <v>28</v>
      </c>
      <c r="B41" s="60" t="inlineStr">
        <is>
          <t>IP10; IP30</t>
        </is>
      </c>
      <c r="C41" s="61" t="inlineStr">
        <is>
          <t>MHIS</t>
        </is>
      </c>
      <c r="D41" s="52" t="inlineStr">
        <is>
          <t>WARPL</t>
        </is>
      </c>
      <c r="E41" s="53" t="inlineStr">
        <is>
          <t>Maintenance plan</t>
        </is>
      </c>
      <c r="F41" s="54" t="inlineStr">
        <is>
          <t>תכנית אחזקה</t>
        </is>
      </c>
      <c r="G41" s="62" t="inlineStr">
        <is>
          <t>PK/FK</t>
        </is>
      </c>
      <c r="H41" s="60" t="inlineStr">
        <is>
          <t>• SCHEDULING_HISTORY_READ</t>
        </is>
      </c>
      <c r="I41" s="63" t="inlineStr">
        <is>
          <t>• קריאת היסטוריית תזמון</t>
        </is>
      </c>
      <c r="J41" s="60" t="inlineStr">
        <is>
          <t>• RISTRA10</t>
        </is>
      </c>
      <c r="K41" s="63" t="inlineStr">
        <is>
          <t>• ניתוח אסטרטגיות וחבילות אחזקה</t>
        </is>
      </c>
      <c r="L41" s="64" t="inlineStr">
        <is>
          <t>ללא שינוי (תואם)</t>
        </is>
      </c>
      <c r="M41" s="64" t="inlineStr">
        <is>
          <t>MHIS (זהה)</t>
        </is>
      </c>
      <c r="N41" s="64" t="inlineStr">
        <is>
          <t>IP10/IP30; Fiori</t>
        </is>
      </c>
      <c r="O41" s="65" t="inlineStr">
        <is>
          <t>Schedule Maintenance Plans (אמת ID)</t>
        </is>
      </c>
      <c r="P41" s="64" t="inlineStr">
        <is>
          <t>ללא פעולת המרה ייעודית ב-SUM (טבלה תואמת). מומלץ Regression Test ואימות התאמות אישיות לאחר ההמרה.</t>
        </is>
      </c>
    </row>
    <row r="42" ht="20" customHeight="1">
      <c r="A42" s="41" t="n">
        <v>29</v>
      </c>
      <c r="B42" s="51" t="n"/>
      <c r="C42" s="51" t="n"/>
      <c r="D42" s="44" t="inlineStr">
        <is>
          <t>ABNUM</t>
        </is>
      </c>
      <c r="E42" s="45" t="inlineStr">
        <is>
          <t>Call number</t>
        </is>
      </c>
      <c r="F42" s="46" t="inlineStr">
        <is>
          <t>מספר קריאה</t>
        </is>
      </c>
      <c r="G42" s="47" t="inlineStr">
        <is>
          <t>PK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</row>
    <row r="43" ht="20" customHeight="1">
      <c r="A43" s="50" t="n">
        <v>30</v>
      </c>
      <c r="B43" s="51" t="n"/>
      <c r="C43" s="51" t="n"/>
      <c r="D43" s="52" t="inlineStr">
        <is>
          <t>NTERM</t>
        </is>
      </c>
      <c r="E43" s="53" t="inlineStr">
        <is>
          <t>Planned date</t>
        </is>
      </c>
      <c r="F43" s="54" t="inlineStr">
        <is>
          <t>מועד מתוכנן</t>
        </is>
      </c>
      <c r="G43" s="55" t="inlineStr">
        <is>
          <t>-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</row>
    <row r="44" ht="20" customHeight="1">
      <c r="A44" s="41" t="n">
        <v>31</v>
      </c>
      <c r="B44" s="58" t="n"/>
      <c r="C44" s="58" t="n"/>
      <c r="D44" s="44" t="inlineStr">
        <is>
          <t>HORIZ</t>
        </is>
      </c>
      <c r="E44" s="45" t="inlineStr">
        <is>
          <t>Call horizon at scheduling</t>
        </is>
      </c>
      <c r="F44" s="46" t="inlineStr">
        <is>
          <t>אופק בעת תזמון</t>
        </is>
      </c>
      <c r="G44" s="56" t="inlineStr">
        <is>
          <t>-</t>
        </is>
      </c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4" customHeight="1">
      <c r="A47" s="40" t="inlineStr">
        <is>
          <t xml:space="preserve">  ⚙ הרחבות טכניות ושינויי ארכיטקטורה (Technical Extensions: User Exits / BAdIs / ECC vs S/4HANA)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66" t="inlineStr">
        <is>
          <t>סוג (Type)</t>
        </is>
      </c>
      <c r="B48" s="4" t="n"/>
      <c r="C48" s="66" t="inlineStr">
        <is>
          <t>קוד / שם טכני (Code)</t>
        </is>
      </c>
      <c r="D48" s="4" t="n"/>
      <c r="E48" s="66" t="inlineStr">
        <is>
          <t>תיאור / הבדל (Hebrew)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 ht="24" customHeight="1">
      <c r="A49" s="67" t="inlineStr">
        <is>
          <t>User Exit (SMOD)</t>
        </is>
      </c>
      <c r="B49" s="4" t="n"/>
      <c r="C49" s="68" t="inlineStr">
        <is>
          <t>IPRM0001</t>
        </is>
      </c>
      <c r="D49" s="4" t="n"/>
      <c r="E49" s="69" t="inlineStr">
        <is>
          <t>הרחבת לקוח לתכניות אחזקה (Maintenance Plans)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4" customHeight="1">
      <c r="A50" s="70" t="inlineStr">
        <is>
          <t>User Exit (SMOD)</t>
        </is>
      </c>
      <c r="B50" s="4" t="n"/>
      <c r="C50" s="71" t="inlineStr">
        <is>
          <t>IPRM0002</t>
        </is>
      </c>
      <c r="D50" s="4" t="n"/>
      <c r="E50" s="72" t="inlineStr">
        <is>
          <t>הרחבת לוגיקת תזמון (Scheduling)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24" customHeight="1">
      <c r="A51" s="67" t="inlineStr">
        <is>
          <t>BAdI (SE18)</t>
        </is>
      </c>
      <c r="B51" s="4" t="n"/>
      <c r="C51" s="68" t="inlineStr">
        <is>
          <t>BADI_EAM_MAINT_PLAN</t>
        </is>
      </c>
      <c r="D51" s="4" t="n"/>
      <c r="E51" s="69" t="inlineStr">
        <is>
          <t>הרחבת תכניות אחזקה ותזמון (אמת שם ב-SE18)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4" customHeight="1">
      <c r="A52" s="70" t="inlineStr">
        <is>
          <t>ארכיטקטורה ECC↔S/4</t>
        </is>
      </c>
      <c r="B52" s="4" t="n"/>
      <c r="C52" s="71" t="inlineStr">
        <is>
          <t>—</t>
        </is>
      </c>
      <c r="D52" s="4" t="n"/>
      <c r="E52" s="72" t="inlineStr">
        <is>
          <t>PLKO/PLPO/MPLA/MPOS/MHIO/MHIS ללא שינוי; אסטרטגיות וחבילות אחזקה נשמרות.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24" customHeight="1">
      <c r="A53" s="67" t="inlineStr">
        <is>
          <t>ארכיטקטורה ECC↔S/4</t>
        </is>
      </c>
      <c r="B53" s="4" t="n"/>
      <c r="C53" s="68" t="inlineStr">
        <is>
          <t>—</t>
        </is>
      </c>
      <c r="D53" s="4" t="n"/>
      <c r="E53" s="69" t="inlineStr">
        <is>
          <t>ב-S/4 'Manage/Schedule Maintenance Plans' (Fiori); IP10/IP30 נתמכים.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</sheetData>
  <mergeCells count="93">
    <mergeCell ref="H41:H44"/>
    <mergeCell ref="N26:N31"/>
    <mergeCell ref="P26:P31"/>
    <mergeCell ref="H26:H31"/>
    <mergeCell ref="A51:B51"/>
    <mergeCell ref="B19:B23"/>
    <mergeCell ref="I41:I44"/>
    <mergeCell ref="K41:K44"/>
    <mergeCell ref="L34:L38"/>
    <mergeCell ref="I26:I31"/>
    <mergeCell ref="N34:N38"/>
    <mergeCell ref="K26:K31"/>
    <mergeCell ref="B4:B8"/>
    <mergeCell ref="B11:B16"/>
    <mergeCell ref="C50:D50"/>
    <mergeCell ref="P4:P8"/>
    <mergeCell ref="K4:K8"/>
    <mergeCell ref="P11:P16"/>
    <mergeCell ref="H4:H8"/>
    <mergeCell ref="J19:J23"/>
    <mergeCell ref="L19:L23"/>
    <mergeCell ref="A53:B53"/>
    <mergeCell ref="E50:P50"/>
    <mergeCell ref="E52:P52"/>
    <mergeCell ref="B41:B44"/>
    <mergeCell ref="A48:B48"/>
    <mergeCell ref="N41:N44"/>
    <mergeCell ref="B26:B31"/>
    <mergeCell ref="P41:P44"/>
    <mergeCell ref="J4:J8"/>
    <mergeCell ref="I4:I8"/>
    <mergeCell ref="I11:I16"/>
    <mergeCell ref="A10:P10"/>
    <mergeCell ref="M4:M8"/>
    <mergeCell ref="J41:J44"/>
    <mergeCell ref="M26:M31"/>
    <mergeCell ref="H34:H38"/>
    <mergeCell ref="A52:B52"/>
    <mergeCell ref="J34:J38"/>
    <mergeCell ref="L11:L16"/>
    <mergeCell ref="C53:D53"/>
    <mergeCell ref="N11:N16"/>
    <mergeCell ref="A49:B49"/>
    <mergeCell ref="A1:B1"/>
    <mergeCell ref="O26:O31"/>
    <mergeCell ref="A40:P40"/>
    <mergeCell ref="K11:K16"/>
    <mergeCell ref="I19:I23"/>
    <mergeCell ref="M11:M16"/>
    <mergeCell ref="K19:K23"/>
    <mergeCell ref="O41:O44"/>
    <mergeCell ref="C19:C23"/>
    <mergeCell ref="L41:L44"/>
    <mergeCell ref="C34:C38"/>
    <mergeCell ref="M34:M38"/>
    <mergeCell ref="J26:J31"/>
    <mergeCell ref="C51:D51"/>
    <mergeCell ref="O34:O38"/>
    <mergeCell ref="L26:L31"/>
    <mergeCell ref="C4:C8"/>
    <mergeCell ref="C11:C16"/>
    <mergeCell ref="C48:D48"/>
    <mergeCell ref="O11:O16"/>
    <mergeCell ref="A25:P25"/>
    <mergeCell ref="M41:M44"/>
    <mergeCell ref="P34:P38"/>
    <mergeCell ref="A18:P18"/>
    <mergeCell ref="A3:P3"/>
    <mergeCell ref="O4:O8"/>
    <mergeCell ref="C49:D49"/>
    <mergeCell ref="E51:P51"/>
    <mergeCell ref="A47:P47"/>
    <mergeCell ref="L4:L8"/>
    <mergeCell ref="B34:B38"/>
    <mergeCell ref="N19:N23"/>
    <mergeCell ref="P19:P23"/>
    <mergeCell ref="C41:C44"/>
    <mergeCell ref="H19:H23"/>
    <mergeCell ref="C26:C31"/>
    <mergeCell ref="E49:P49"/>
    <mergeCell ref="C1:P1"/>
    <mergeCell ref="H11:H16"/>
    <mergeCell ref="J11:J16"/>
    <mergeCell ref="A50:B50"/>
    <mergeCell ref="I34:I38"/>
    <mergeCell ref="N4:N8"/>
    <mergeCell ref="K34:K38"/>
    <mergeCell ref="M19:M23"/>
    <mergeCell ref="E53:P53"/>
    <mergeCell ref="O19:O23"/>
    <mergeCell ref="C52:D52"/>
    <mergeCell ref="E48:P48"/>
    <mergeCell ref="A33:P33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P29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4" customWidth="1" min="4" max="4"/>
    <col width="26" customWidth="1" min="5" max="5"/>
    <col width="24" customWidth="1" min="6" max="6"/>
    <col width="13" customWidth="1" min="7" max="7"/>
    <col width="26" customWidth="1" min="8" max="8"/>
    <col width="30" customWidth="1" min="9" max="9"/>
    <col width="16" customWidth="1" min="10" max="10"/>
    <col width="26" customWidth="1" min="11" max="11"/>
    <col width="20" customWidth="1" min="12" max="12"/>
    <col width="22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12. היסטוריה וארכיון   |   ECC 6.0 ➜ S/4HANA   ·   CBC NEO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8" customHeight="1">
      <c r="A2" s="38" t="inlineStr">
        <is>
          <t>מס' (#)</t>
        </is>
      </c>
      <c r="B2" s="38" t="inlineStr">
        <is>
          <t>טרנזקציות ECC
(Main &amp; Secondary)</t>
        </is>
      </c>
      <c r="C2" s="38" t="inlineStr">
        <is>
          <t>טבלת בסיס
(Core Table)</t>
        </is>
      </c>
      <c r="D2" s="38" t="inlineStr">
        <is>
          <t>שדה טכני
(Field)</t>
        </is>
      </c>
      <c r="E2" s="38" t="inlineStr">
        <is>
          <t>Field (English)</t>
        </is>
      </c>
      <c r="F2" s="38" t="inlineStr">
        <is>
          <t>שדה (עברית)</t>
        </is>
      </c>
      <c r="G2" s="38" t="inlineStr">
        <is>
          <t>סוג מפתח (Key Type)</t>
        </is>
      </c>
      <c r="H2" s="38" t="inlineStr">
        <is>
          <t>פונקציות / BAPIs</t>
        </is>
      </c>
      <c r="I2" s="38" t="inlineStr">
        <is>
          <t>תיאור הפונקציה</t>
        </is>
      </c>
      <c r="J2" s="38" t="inlineStr">
        <is>
          <t>תוכניות / דוחות</t>
        </is>
      </c>
      <c r="K2" s="38" t="inlineStr">
        <is>
          <t>תיאור התוכנית</t>
        </is>
      </c>
      <c r="L2" s="39" t="inlineStr">
        <is>
          <t>סטטוס S/4HANA</t>
        </is>
      </c>
      <c r="M2" s="39" t="inlineStr">
        <is>
          <t>טבלה/שדה חלופי ב-S/4</t>
        </is>
      </c>
      <c r="N2" s="39" t="inlineStr">
        <is>
          <t>טרנז'/תוכנית מחליפה ב-S/4</t>
        </is>
      </c>
      <c r="O2" s="39" t="inlineStr">
        <is>
          <t>אפליקציית Fiori (שם + ID)</t>
        </is>
      </c>
      <c r="P2" s="39" t="inlineStr">
        <is>
          <t>שלב מיגרציה / הערות SUM Conversion</t>
        </is>
      </c>
    </row>
    <row r="3" ht="24" customHeight="1">
      <c r="A3" s="40" t="inlineStr">
        <is>
          <t xml:space="preserve">  ◆ טבלה QMEL  -  הודעות (כולל היסטוריות) לניתוח אמינות  (Notifications incl. historical)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0" customHeight="1">
      <c r="A4" s="41" t="n">
        <v>1</v>
      </c>
      <c r="B4" s="42" t="inlineStr">
        <is>
          <t>IW64; IW66/IW67</t>
        </is>
      </c>
      <c r="C4" s="43" t="inlineStr">
        <is>
          <t>QMEL</t>
        </is>
      </c>
      <c r="D4" s="44" t="inlineStr">
        <is>
          <t>QMNUM</t>
        </is>
      </c>
      <c r="E4" s="45" t="inlineStr">
        <is>
          <t>Notification number</t>
        </is>
      </c>
      <c r="F4" s="46" t="inlineStr">
        <is>
          <t>מספר הודעה</t>
        </is>
      </c>
      <c r="G4" s="47" t="inlineStr">
        <is>
          <t>PK</t>
        </is>
      </c>
      <c r="H4" s="42" t="inlineStr">
        <is>
          <t>• BAPI_ALM_NOTIF_GET_DETAIL
• BAPI_ALM_NOTIF_LIST_FILTER</t>
        </is>
      </c>
      <c r="I4" s="48" t="inlineStr">
        <is>
          <t>• שליפת פרטי הודעה היסטורית
• סינון הודעות לפי קריטריון</t>
        </is>
      </c>
      <c r="J4" s="42" t="inlineStr">
        <is>
          <t>• RIQMEL20</t>
        </is>
      </c>
      <c r="K4" s="48" t="inlineStr">
        <is>
          <t>• דוח היסטוריית הודעות (MTBF/MTTR)</t>
        </is>
      </c>
      <c r="L4" s="49" t="inlineStr">
        <is>
          <t>ללא שינוי; ניתוח דרך Analytics/CDS</t>
        </is>
      </c>
      <c r="M4" s="49" t="inlineStr">
        <is>
          <t>QMEL (זהה) + CDS אנליטי</t>
        </is>
      </c>
      <c r="N4" s="49" t="inlineStr">
        <is>
          <t>IW64 נתמך; Fiori/Analytics</t>
        </is>
      </c>
      <c r="O4" s="43" t="inlineStr">
        <is>
          <t>Maintenance Backlog (אמת ID)</t>
        </is>
      </c>
      <c r="P4" s="49" t="inlineStr">
        <is>
          <t>ללא פעולת המרה ייעודית ב-SUM (טבלה תואמת). מומלץ Regression Test ואימות התאמות אישיות לאחר ההמרה.</t>
        </is>
      </c>
    </row>
    <row r="5" ht="20" customHeight="1">
      <c r="A5" s="50" t="n">
        <v>2</v>
      </c>
      <c r="B5" s="51" t="n"/>
      <c r="C5" s="51" t="n"/>
      <c r="D5" s="52" t="inlineStr">
        <is>
          <t>QMART</t>
        </is>
      </c>
      <c r="E5" s="53" t="inlineStr">
        <is>
          <t>Notification type</t>
        </is>
      </c>
      <c r="F5" s="54" t="inlineStr">
        <is>
          <t>סוג הודעה</t>
        </is>
      </c>
      <c r="G5" s="59" t="inlineStr">
        <is>
          <t>FK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</row>
    <row r="6" ht="20" customHeight="1">
      <c r="A6" s="41" t="n">
        <v>3</v>
      </c>
      <c r="B6" s="51" t="n"/>
      <c r="C6" s="51" t="n"/>
      <c r="D6" s="44" t="inlineStr">
        <is>
          <t>AUSVN</t>
        </is>
      </c>
      <c r="E6" s="45" t="inlineStr">
        <is>
          <t>Breakdown start</t>
        </is>
      </c>
      <c r="F6" s="46" t="inlineStr">
        <is>
          <t>תחילת השבתה</t>
        </is>
      </c>
      <c r="G6" s="56" t="inlineStr">
        <is>
          <t>-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</row>
    <row r="7" ht="20" customHeight="1">
      <c r="A7" s="50" t="n">
        <v>4</v>
      </c>
      <c r="B7" s="51" t="n"/>
      <c r="C7" s="51" t="n"/>
      <c r="D7" s="52" t="inlineStr">
        <is>
          <t>AUSBS</t>
        </is>
      </c>
      <c r="E7" s="53" t="inlineStr">
        <is>
          <t>Breakdown end</t>
        </is>
      </c>
      <c r="F7" s="54" t="inlineStr">
        <is>
          <t>סיום השבתה</t>
        </is>
      </c>
      <c r="G7" s="55" t="inlineStr">
        <is>
          <t>-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</row>
    <row r="8" ht="20" customHeight="1">
      <c r="A8" s="41" t="n">
        <v>5</v>
      </c>
      <c r="B8" s="58" t="n"/>
      <c r="C8" s="58" t="n"/>
      <c r="D8" s="44" t="inlineStr">
        <is>
          <t>AUSZT</t>
        </is>
      </c>
      <c r="E8" s="45" t="inlineStr">
        <is>
          <t>Breakdown duration</t>
        </is>
      </c>
      <c r="F8" s="46" t="inlineStr">
        <is>
          <t>משך השבתה</t>
        </is>
      </c>
      <c r="G8" s="56" t="inlineStr">
        <is>
          <t>-</t>
        </is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4" customHeight="1">
      <c r="A10" s="40" t="inlineStr">
        <is>
          <t xml:space="preserve">  ◆ טבלה AUFK  -  פקודות (כולל היסטוריות) לניתוח עלות  (Orders incl. historical)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0" customHeight="1">
      <c r="A11" s="50" t="n">
        <v>6</v>
      </c>
      <c r="B11" s="60" t="inlineStr">
        <is>
          <t>IW39; IW13</t>
        </is>
      </c>
      <c r="C11" s="61" t="inlineStr">
        <is>
          <t>AUFK</t>
        </is>
      </c>
      <c r="D11" s="52" t="inlineStr">
        <is>
          <t>AUFNR</t>
        </is>
      </c>
      <c r="E11" s="53" t="inlineStr">
        <is>
          <t>Order number</t>
        </is>
      </c>
      <c r="F11" s="54" t="inlineStr">
        <is>
          <t>מספר פק"ע</t>
        </is>
      </c>
      <c r="G11" s="62" t="inlineStr">
        <is>
          <t>PK</t>
        </is>
      </c>
      <c r="H11" s="60" t="inlineStr">
        <is>
          <t>• BAPI_ALM_ORDERHEAD_GET_LIST</t>
        </is>
      </c>
      <c r="I11" s="63" t="inlineStr">
        <is>
          <t>• שליפת רשימת פק"ע היסטוריות</t>
        </is>
      </c>
      <c r="J11" s="60" t="inlineStr">
        <is>
          <t>• RIAUFK20</t>
        </is>
      </c>
      <c r="K11" s="63" t="inlineStr">
        <is>
          <t>• דוח פק"ע סגורות וניתוח עלות מחזור חיים</t>
        </is>
      </c>
      <c r="L11" s="64" t="inlineStr">
        <is>
          <t>מותאם; עלות ב-ACDOCA</t>
        </is>
      </c>
      <c r="M11" s="64" t="inlineStr">
        <is>
          <t>AUFK (זהה); עלות ב-ACDOCA</t>
        </is>
      </c>
      <c r="N11" s="64" t="inlineStr">
        <is>
          <t>IW39 נתמך; Fiori</t>
        </is>
      </c>
      <c r="O11" s="65" t="inlineStr">
        <is>
          <t>Find Maintenance Order (F2393)</t>
        </is>
      </c>
      <c r="P11" s="64" t="inlineStr">
        <is>
          <t>עלויות מומרות ל-Universal Journal (ACDOCA) ב-SUM. COSP/COSS הופכים ל-Views. התאם דוחות עלות מותאמים והרצות התחשבנות.</t>
        </is>
      </c>
    </row>
    <row r="12" ht="20" customHeight="1">
      <c r="A12" s="41" t="n">
        <v>7</v>
      </c>
      <c r="B12" s="51" t="n"/>
      <c r="C12" s="51" t="n"/>
      <c r="D12" s="44" t="inlineStr">
        <is>
          <t>AUART</t>
        </is>
      </c>
      <c r="E12" s="45" t="inlineStr">
        <is>
          <t>Order type</t>
        </is>
      </c>
      <c r="F12" s="46" t="inlineStr">
        <is>
          <t>סוג פק"ע</t>
        </is>
      </c>
      <c r="G12" s="57" t="inlineStr">
        <is>
          <t>FK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0" customHeight="1">
      <c r="A13" s="50" t="n">
        <v>8</v>
      </c>
      <c r="B13" s="51" t="n"/>
      <c r="C13" s="51" t="n"/>
      <c r="D13" s="52" t="inlineStr">
        <is>
          <t>IDAT2</t>
        </is>
      </c>
      <c r="E13" s="53" t="inlineStr">
        <is>
          <t>Technical completion date (TECO)</t>
        </is>
      </c>
      <c r="F13" s="54" t="inlineStr">
        <is>
          <t>תאריך השלמה טכנית</t>
        </is>
      </c>
      <c r="G13" s="55" t="inlineStr">
        <is>
          <t>-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</row>
    <row r="14" ht="20" customHeight="1">
      <c r="A14" s="41" t="n">
        <v>9</v>
      </c>
      <c r="B14" s="51" t="n"/>
      <c r="C14" s="51" t="n"/>
      <c r="D14" s="44" t="inlineStr">
        <is>
          <t>ERDAT</t>
        </is>
      </c>
      <c r="E14" s="45" t="inlineStr">
        <is>
          <t>Creation date</t>
        </is>
      </c>
      <c r="F14" s="46" t="inlineStr">
        <is>
          <t>תאריך יצירה</t>
        </is>
      </c>
      <c r="G14" s="56" t="inlineStr">
        <is>
          <t>-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0" customHeight="1">
      <c r="A15" s="50" t="n">
        <v>10</v>
      </c>
      <c r="B15" s="58" t="n"/>
      <c r="C15" s="58" t="n"/>
      <c r="D15" s="52" t="inlineStr">
        <is>
          <t>OBJNR</t>
        </is>
      </c>
      <c r="E15" s="53" t="inlineStr">
        <is>
          <t>Object number</t>
        </is>
      </c>
      <c r="F15" s="54" t="inlineStr">
        <is>
          <t>מפתח אובייקט</t>
        </is>
      </c>
      <c r="G15" s="59" t="inlineStr">
        <is>
          <t>FK</t>
        </is>
      </c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4" customHeight="1">
      <c r="A17" s="40" t="inlineStr">
        <is>
          <t xml:space="preserve">  ◆ טבלה ADMI_RUN  -  ריצות ארכוב נתונים  (Archiving runs (ADK))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0" customHeight="1">
      <c r="A18" s="41" t="n">
        <v>11</v>
      </c>
      <c r="B18" s="42" t="inlineStr">
        <is>
          <t>SARA; AOBJ, DB15</t>
        </is>
      </c>
      <c r="C18" s="43" t="inlineStr">
        <is>
          <t>ADMI_RUN</t>
        </is>
      </c>
      <c r="D18" s="44" t="inlineStr">
        <is>
          <t>RUNID</t>
        </is>
      </c>
      <c r="E18" s="45" t="inlineStr">
        <is>
          <t>Archiving run ID</t>
        </is>
      </c>
      <c r="F18" s="46" t="inlineStr">
        <is>
          <t>מזהה ריצת ארכוב</t>
        </is>
      </c>
      <c r="G18" s="47" t="inlineStr">
        <is>
          <t>PK</t>
        </is>
      </c>
      <c r="H18" s="42" t="inlineStr">
        <is>
          <t>• ARCHIVE_OPEN_FOR_WRITE
• ARCHIVE_GET_NEXT_OBJECT
• ARCHIVE_DELETE_FROM_DB</t>
        </is>
      </c>
      <c r="I18" s="48" t="inlineStr">
        <is>
          <t>• פתיחת ארכיון לכתיבה
• קריאת אובייקט הבא מהארכיון
• מחיקת רשומות מה-DB החי</t>
        </is>
      </c>
      <c r="J18" s="42" t="inlineStr">
        <is>
          <t>• RIARCPM1</t>
        </is>
      </c>
      <c r="K18" s="48" t="inlineStr">
        <is>
          <t>• כתיבה/מחיקה של ארכוב פקודות אחזקה</t>
        </is>
      </c>
      <c r="L18" s="49" t="inlineStr">
        <is>
          <t>ללא שינוי; ILM אופציונלי ב-S/4</t>
        </is>
      </c>
      <c r="M18" s="49" t="inlineStr">
        <is>
          <t>ADMI_RUN (זהה) + SAP ILM</t>
        </is>
      </c>
      <c r="N18" s="49" t="inlineStr">
        <is>
          <t>SARA (זהה)</t>
        </is>
      </c>
      <c r="O18" s="43" t="inlineStr">
        <is>
          <t>Data Archiving (אמת ID)</t>
        </is>
      </c>
      <c r="P18" s="49" t="inlineStr">
        <is>
          <t>ללא פעולת המרה ייעודית ב-SUM (טבלה תואמת). מומלץ Regression Test ואימות התאמות אישיות לאחר ההמרה.</t>
        </is>
      </c>
    </row>
    <row r="19" ht="20" customHeight="1">
      <c r="A19" s="50" t="n">
        <v>12</v>
      </c>
      <c r="B19" s="51" t="n"/>
      <c r="C19" s="51" t="n"/>
      <c r="D19" s="52" t="inlineStr">
        <is>
          <t>OBJECT</t>
        </is>
      </c>
      <c r="E19" s="53" t="inlineStr">
        <is>
          <t>Archiving object (PM_ORDER/PM_QMEL)</t>
        </is>
      </c>
      <c r="F19" s="54" t="inlineStr">
        <is>
          <t>אובייקט ארכוב</t>
        </is>
      </c>
      <c r="G19" s="55" t="inlineStr">
        <is>
          <t>-</t>
        </is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 ht="20" customHeight="1">
      <c r="A20" s="41" t="n">
        <v>13</v>
      </c>
      <c r="B20" s="51" t="n"/>
      <c r="C20" s="51" t="n"/>
      <c r="D20" s="44" t="inlineStr">
        <is>
          <t>GENER_DATE</t>
        </is>
      </c>
      <c r="E20" s="45" t="inlineStr">
        <is>
          <t>Generation date</t>
        </is>
      </c>
      <c r="F20" s="46" t="inlineStr">
        <is>
          <t>תאריך יצירה</t>
        </is>
      </c>
      <c r="G20" s="56" t="inlineStr">
        <is>
          <t>-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0" customHeight="1">
      <c r="A21" s="50" t="n">
        <v>14</v>
      </c>
      <c r="B21" s="58" t="n"/>
      <c r="C21" s="58" t="n"/>
      <c r="D21" s="52" t="inlineStr">
        <is>
          <t>STATUS</t>
        </is>
      </c>
      <c r="E21" s="53" t="inlineStr">
        <is>
          <t>Run status</t>
        </is>
      </c>
      <c r="F21" s="54" t="inlineStr">
        <is>
          <t>סטטוס ריצה</t>
        </is>
      </c>
      <c r="G21" s="55" t="inlineStr">
        <is>
          <t>-</t>
        </is>
      </c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4" customHeight="1">
      <c r="A24" s="40" t="inlineStr">
        <is>
          <t xml:space="preserve">  ⚙ הרחבות טכניות ושינויי ארכיטקטורה (Technical Extensions: User Exits / BAdIs / ECC vs S/4HANA)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66" t="inlineStr">
        <is>
          <t>סוג (Type)</t>
        </is>
      </c>
      <c r="B25" s="4" t="n"/>
      <c r="C25" s="66" t="inlineStr">
        <is>
          <t>קוד / שם טכני (Code)</t>
        </is>
      </c>
      <c r="D25" s="4" t="n"/>
      <c r="E25" s="66" t="inlineStr">
        <is>
          <t>תיאור / הבדל (Hebrew)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4" customHeight="1">
      <c r="A26" s="70" t="inlineStr">
        <is>
          <t>User Exit (SMOD)</t>
        </is>
      </c>
      <c r="B26" s="4" t="n"/>
      <c r="C26" s="71" t="inlineStr">
        <is>
          <t>ARCH_PM (SARA/AOBJ)</t>
        </is>
      </c>
      <c r="D26" s="4" t="n"/>
      <c r="E26" s="72" t="inlineStr">
        <is>
          <t>ארכוב דרך אובייקטי ADK (PM_ORDER/PM_QMEL) ללא user-exit ייעודי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4" customHeight="1">
      <c r="A27" s="67" t="inlineStr">
        <is>
          <t>BAdI (SE18)</t>
        </is>
      </c>
      <c r="B27" s="4" t="n"/>
      <c r="C27" s="68" t="inlineStr">
        <is>
          <t>BADI_ARCHIVING</t>
        </is>
      </c>
      <c r="D27" s="4" t="n"/>
      <c r="E27" s="69" t="inlineStr">
        <is>
          <t>הרחבת לוגיקת ארכוב/ILM (אמת שם ב-SE18)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4" customHeight="1">
      <c r="A28" s="70" t="inlineStr">
        <is>
          <t>ארכיטקטורה ECC↔S/4</t>
        </is>
      </c>
      <c r="B28" s="4" t="n"/>
      <c r="C28" s="71" t="inlineStr">
        <is>
          <t>—</t>
        </is>
      </c>
      <c r="D28" s="4" t="n"/>
      <c r="E28" s="72" t="inlineStr">
        <is>
          <t>מבני RIHAUFK/RIHQMEL (Logical DB) נשמרים; ארכוב דרך SARA זהה.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4" customHeight="1">
      <c r="A29" s="67" t="inlineStr">
        <is>
          <t>ארכיטקטורה ECC↔S/4</t>
        </is>
      </c>
      <c r="B29" s="4" t="n"/>
      <c r="C29" s="68" t="inlineStr">
        <is>
          <t>—</t>
        </is>
      </c>
      <c r="D29" s="4" t="n"/>
      <c r="E29" s="69" t="inlineStr">
        <is>
          <t>ב-S/4 SAP ILM אופציונלי; ניתוח היסטורי דרך Embedded Analytics / CDS Views ולא רק PMIS קלאסי.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</sheetData>
  <mergeCells count="54">
    <mergeCell ref="J4:J8"/>
    <mergeCell ref="E28:P28"/>
    <mergeCell ref="L4:L8"/>
    <mergeCell ref="A17:P17"/>
    <mergeCell ref="H11:H15"/>
    <mergeCell ref="C11:C15"/>
    <mergeCell ref="J11:J15"/>
    <mergeCell ref="B18:B21"/>
    <mergeCell ref="A1:B1"/>
    <mergeCell ref="I4:I8"/>
    <mergeCell ref="O18:O21"/>
    <mergeCell ref="C26:D26"/>
    <mergeCell ref="L18:L21"/>
    <mergeCell ref="A10:P10"/>
    <mergeCell ref="N18:N21"/>
    <mergeCell ref="C29:D29"/>
    <mergeCell ref="A25:B25"/>
    <mergeCell ref="O11:O15"/>
    <mergeCell ref="C25:D25"/>
    <mergeCell ref="E29:P29"/>
    <mergeCell ref="M4:M8"/>
    <mergeCell ref="B4:B8"/>
    <mergeCell ref="E27:P27"/>
    <mergeCell ref="C1:P1"/>
    <mergeCell ref="E26:P26"/>
    <mergeCell ref="N11:N15"/>
    <mergeCell ref="P4:P8"/>
    <mergeCell ref="K4:K8"/>
    <mergeCell ref="A27:B27"/>
    <mergeCell ref="A24:P24"/>
    <mergeCell ref="I11:I15"/>
    <mergeCell ref="A26:B26"/>
    <mergeCell ref="I18:I21"/>
    <mergeCell ref="H4:H8"/>
    <mergeCell ref="N4:N8"/>
    <mergeCell ref="M18:M21"/>
    <mergeCell ref="E25:P25"/>
    <mergeCell ref="C27:D27"/>
    <mergeCell ref="L11:L15"/>
    <mergeCell ref="C4:C8"/>
    <mergeCell ref="P18:P21"/>
    <mergeCell ref="H18:H21"/>
    <mergeCell ref="A29:B29"/>
    <mergeCell ref="J18:J21"/>
    <mergeCell ref="K18:K21"/>
    <mergeCell ref="B11:B15"/>
    <mergeCell ref="K11:K15"/>
    <mergeCell ref="A28:B28"/>
    <mergeCell ref="M11:M15"/>
    <mergeCell ref="C28:D28"/>
    <mergeCell ref="A3:P3"/>
    <mergeCell ref="P11:P15"/>
    <mergeCell ref="O4:O8"/>
    <mergeCell ref="C18:C21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8A9EA7"/>
    <outlinePr summaryBelow="1" summaryRight="1"/>
    <pageSetUpPr fitToPage="1"/>
  </sheetPr>
  <dimension ref="A1:F12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16" customWidth="1" min="4" max="4"/>
    <col width="18" customWidth="1" min="5" max="5"/>
    <col width="62" customWidth="1" min="6" max="6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Simplification Item List  -  SAP Notes  ·  CBC NEO</t>
        </is>
      </c>
      <c r="D1" s="4" t="n"/>
      <c r="E1" s="4" t="n"/>
      <c r="F1" s="4" t="n"/>
    </row>
    <row r="2" ht="28" customHeight="1">
      <c r="A2" s="73" t="inlineStr">
        <is>
          <t>מס' (#)</t>
        </is>
      </c>
      <c r="B2" s="73" t="inlineStr">
        <is>
          <t>תחום / אובייקט</t>
        </is>
      </c>
      <c r="C2" s="73" t="inlineStr">
        <is>
          <t>Simplification Item (כותרת הפריט)</t>
        </is>
      </c>
      <c r="D2" s="73" t="inlineStr">
        <is>
          <t>SAP Note</t>
        </is>
      </c>
      <c r="E2" s="73" t="inlineStr">
        <is>
          <t>קטגוריה</t>
        </is>
      </c>
      <c r="F2" s="73" t="inlineStr">
        <is>
          <t>השפעה והמלצה (Impact &amp; Action)</t>
        </is>
      </c>
    </row>
    <row r="3" ht="54" customHeight="1">
      <c r="A3" s="74" t="n">
        <v>1</v>
      </c>
      <c r="B3" s="75" t="inlineStr">
        <is>
          <t>MM-IM / PM רכש</t>
        </is>
      </c>
      <c r="C3" s="76" t="inlineStr">
        <is>
          <t>Material Inventory Management - מודל נתונים חדש (MATDOC)</t>
        </is>
      </c>
      <c r="D3" s="77" t="inlineStr">
        <is>
          <t>2206980</t>
        </is>
      </c>
      <c r="E3" s="75" t="inlineStr">
        <is>
          <t>הוחלף (Replaced)</t>
        </is>
      </c>
      <c r="F3" s="75" t="inlineStr">
        <is>
          <t>MKPF/MSEG מאוחדים ל-MATDOC; קוד Z שקורא ישירות ל-MSEG/MKPF דורש בדיקה. תנועות מלאי לפק"ע (261/101) ממשיכות לעבוד.</t>
        </is>
      </c>
    </row>
    <row r="4" ht="54" customHeight="1">
      <c r="A4" s="78" t="n">
        <v>2</v>
      </c>
      <c r="B4" s="79" t="inlineStr">
        <is>
          <t>FI/CO / PM עלויות</t>
        </is>
      </c>
      <c r="C4" s="80" t="inlineStr">
        <is>
          <t>Universal Journal - טבלה אחת (ACDOCA)</t>
        </is>
      </c>
      <c r="D4" s="81" t="inlineStr">
        <is>
          <t>2270333</t>
        </is>
      </c>
      <c r="E4" s="79" t="inlineStr">
        <is>
          <t>הוחלף (Replaced)</t>
        </is>
      </c>
      <c r="F4" s="79" t="inlineStr">
        <is>
          <t>COSP/COSS/COEP הופכים ל-Compatibility Views; עלויות פק"ע ב-ACDOCA. התאם דוחות עלות מותאמים אישית.</t>
        </is>
      </c>
    </row>
    <row r="5" ht="54" customHeight="1">
      <c r="A5" s="74" t="n">
        <v>3</v>
      </c>
      <c r="B5" s="75" t="inlineStr">
        <is>
          <t>MM / PM ספקים</t>
        </is>
      </c>
      <c r="C5" s="76" t="inlineStr">
        <is>
          <t>Business Partner Approach (CVI חובה)</t>
        </is>
      </c>
      <c r="D5" s="77" t="inlineStr">
        <is>
          <t>2265093</t>
        </is>
      </c>
      <c r="E5" s="75" t="inlineStr">
        <is>
          <t>הוחלף (Replaced)</t>
        </is>
      </c>
      <c r="F5" s="75" t="inlineStr">
        <is>
          <t>ספקים/לקוחות מנוהלים דרך Business Partner; נדרש Customer/Vendor Integration לפני ההמרה. משפיע על PO לשירותים חיצוניים בפק"ע.</t>
        </is>
      </c>
    </row>
    <row r="6" ht="54" customHeight="1">
      <c r="A6" s="78" t="n">
        <v>4</v>
      </c>
      <c r="B6" s="79" t="inlineStr">
        <is>
          <t>Cross / PM חומר</t>
        </is>
      </c>
      <c r="C6" s="80" t="inlineStr">
        <is>
          <t>Material Number Field Length Extension (40 תווים)</t>
        </is>
      </c>
      <c r="D6" s="81" t="inlineStr">
        <is>
          <t>2267140</t>
        </is>
      </c>
      <c r="E6" s="79" t="inlineStr">
        <is>
          <t>שונה (Changed)</t>
        </is>
      </c>
      <c r="F6" s="79" t="inlineStr">
        <is>
          <t>אורך MATNR מורחב ל-40 תווים; בדוק ממשקים, BOM (IDNRK), סריאליזציה ושדות מותאמים.</t>
        </is>
      </c>
    </row>
    <row r="7" ht="54" customHeight="1">
      <c r="A7" s="74" t="n">
        <v>5</v>
      </c>
      <c r="B7" s="75" t="inlineStr">
        <is>
          <t>EAM / PM כללי</t>
        </is>
      </c>
      <c r="C7" s="76" t="inlineStr">
        <is>
          <t>S4TWL - Plant Maintenance / EAM (פריט פישוט כללי)</t>
        </is>
      </c>
      <c r="D7" s="77" t="inlineStr">
        <is>
          <t>(אמת ב-Simplification List)</t>
        </is>
      </c>
      <c r="E7" s="75" t="inlineStr">
        <is>
          <t>שונה (Changed)</t>
        </is>
      </c>
      <c r="F7" s="75" t="inlineStr">
        <is>
          <t>רוב מודל ה-PM תואם; שינויי UX ל-Fiori, פישוטי תזמון פק"ע, והמלצה למעבר מ-GUI ל-EAM Fiori apps.</t>
        </is>
      </c>
    </row>
    <row r="8" ht="54" customHeight="1">
      <c r="A8" s="78" t="n">
        <v>6</v>
      </c>
      <c r="B8" s="79" t="inlineStr">
        <is>
          <t>EAM / Lists</t>
        </is>
      </c>
      <c r="C8" s="80" t="inlineStr">
        <is>
          <t>List Viewer ב-EAM - מעבר ל-SAPUI5 / Fiori Lists</t>
        </is>
      </c>
      <c r="D8" s="81" t="inlineStr">
        <is>
          <t>(אמת ב-Simplification List)</t>
        </is>
      </c>
      <c r="E8" s="79" t="inlineStr">
        <is>
          <t>שונה (Changed)</t>
        </is>
      </c>
      <c r="F8" s="79" t="inlineStr">
        <is>
          <t>רשימות IH06/IH08/IW38/IW39 קיימות ב-GUI; אסטרטגית מומלץ Fiori List Reports. בדוק וריאנטים מותאמים.</t>
        </is>
      </c>
    </row>
    <row r="9" ht="54" customHeight="1">
      <c r="A9" s="74" t="n">
        <v>7</v>
      </c>
      <c r="B9" s="75" t="inlineStr">
        <is>
          <t>EAM / LAM</t>
        </is>
      </c>
      <c r="C9" s="76" t="inlineStr">
        <is>
          <t>Linear Asset Management (LAM) - זמין ב-S/4HANA</t>
        </is>
      </c>
      <c r="D9" s="77" t="inlineStr">
        <is>
          <t>(אמת ב-Simplification List)</t>
        </is>
      </c>
      <c r="E9" s="75" t="inlineStr">
        <is>
          <t>חדש (New)</t>
        </is>
      </c>
      <c r="F9" s="75" t="inlineStr">
        <is>
          <t>ניהול נכסים ליניאריים (צנרת/כבישים/מסילות) זמין כברירת מחדל ב-S/4; לא קיים סטנדרטית ב-ECC.</t>
        </is>
      </c>
    </row>
    <row r="10" ht="54" customHeight="1">
      <c r="A10" s="78" t="n">
        <v>8</v>
      </c>
      <c r="B10" s="79" t="inlineStr">
        <is>
          <t>EAM / Mobile</t>
        </is>
      </c>
      <c r="C10" s="80" t="inlineStr">
        <is>
          <t>Mobile Asset Management (SAP Asset Manager)</t>
        </is>
      </c>
      <c r="D10" s="81" t="inlineStr">
        <is>
          <t>(אמת ב-Simplification List)</t>
        </is>
      </c>
      <c r="E10" s="79" t="inlineStr">
        <is>
          <t>שונה (Changed)</t>
        </is>
      </c>
      <c r="F10" s="79" t="inlineStr">
        <is>
          <t>פתרונות Mobile קלאסיים (MAM/SAP Work Manager) מוחלפים ב-SAP Asset Manager (BTP/Mobile).</t>
        </is>
      </c>
    </row>
    <row r="11" ht="54" customHeight="1">
      <c r="A11" s="74" t="n">
        <v>9</v>
      </c>
      <c r="B11" s="75" t="inlineStr">
        <is>
          <t>EAM / Output</t>
        </is>
      </c>
      <c r="C11" s="76" t="inlineStr">
        <is>
          <t>Output Management - מסגרת חדשה (BRF+/Adobe)</t>
        </is>
      </c>
      <c r="D11" s="77" t="inlineStr">
        <is>
          <t>(אמת ב-Simplification List)</t>
        </is>
      </c>
      <c r="E11" s="75" t="inlineStr">
        <is>
          <t>שונה (Changed)</t>
        </is>
      </c>
      <c r="F11" s="75" t="inlineStr">
        <is>
          <t>הדפסת פק"ע/הודעה דרך Output Management החדש (BRF+, Adobe Forms) במקום NACE/SAPscript קלאסי.</t>
        </is>
      </c>
    </row>
    <row r="12" ht="54" customHeight="1">
      <c r="A12" s="78" t="n">
        <v>10</v>
      </c>
      <c r="B12" s="79" t="inlineStr">
        <is>
          <t>EAM / MRS</t>
        </is>
      </c>
      <c r="C12" s="80" t="inlineStr">
        <is>
          <t>Multiresource Scheduling -&gt; Maintenance Scheduling Board</t>
        </is>
      </c>
      <c r="D12" s="81" t="inlineStr">
        <is>
          <t>(אמת ב-Simplification List)</t>
        </is>
      </c>
      <c r="E12" s="79" t="inlineStr">
        <is>
          <t>שונה (Changed)</t>
        </is>
      </c>
      <c r="F12" s="79" t="inlineStr">
        <is>
          <t>תזמון משאבים מתקדם דרך Maintenance Scheduling Board (Fiori) ו-Resource Scheduling for Maintenance Planners.</t>
        </is>
      </c>
    </row>
  </sheetData>
  <mergeCells count="2">
    <mergeCell ref="C1:F1"/>
    <mergeCell ref="A1:B1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D62027"/>
    <outlinePr summaryBelow="1" summaryRight="1"/>
    <pageSetUpPr fitToPage="1"/>
  </sheetPr>
  <dimension ref="A1:L65"/>
  <sheetViews>
    <sheetView showGridLines="1"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8" customWidth="1" min="4" max="4"/>
    <col width="16" customWidth="1" min="5" max="5"/>
    <col width="13" customWidth="1" min="6" max="6"/>
    <col width="13" customWidth="1" min="7" max="7"/>
    <col width="34" customWidth="1" min="8" max="8"/>
    <col width="14" customWidth="1" min="9" max="9"/>
    <col width="16" customWidth="1" min="11" max="11"/>
    <col width="12" customWidth="1" min="12" max="12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Cockpit מעקב מיגרציה  -  Migration Tracking (NEO Project)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4" t="n"/>
      <c r="B2" s="11" t="inlineStr">
        <is>
          <t>KPI &amp; Summary  -  סיכום חי של מצב המיגרציה (מבוסס COUNTIF; בסיס מוכן לגרף נייטיב ב-2 קליקים)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82" t="inlineStr">
        <is>
          <t>סטטוס (Status)</t>
        </is>
      </c>
      <c r="L2" s="82" t="inlineStr">
        <is>
          <t>כמות (Count)</t>
        </is>
      </c>
    </row>
    <row r="3" ht="30" customHeight="1">
      <c r="A3" s="4" t="n"/>
      <c r="B3" s="83">
        <f>COUNTA($C$8:$C$65)</f>
        <v/>
      </c>
      <c r="C3" s="84">
        <f>COUNTIF($D$8:$D$65,"Done")</f>
        <v/>
      </c>
      <c r="D3" s="85">
        <f>COUNTIF($D$8:$D$65,"Tested")</f>
        <v/>
      </c>
      <c r="E3" s="86">
        <f>COUNTIF($D$8:$D$65,"In analysis")+COUNTIF($D$8:$D$65,"In conversion")</f>
        <v/>
      </c>
      <c r="F3" s="87">
        <f>COUNTIF($D$8:$D$65,"Not started")</f>
        <v/>
      </c>
      <c r="G3" s="88">
        <f>IFERROR(COUNTIF($D$8:$D$65,"Done")/COUNTA($C$8:$C$65),0)</f>
        <v/>
      </c>
      <c r="H3" s="4" t="n"/>
      <c r="I3" s="4" t="n"/>
      <c r="J3" s="4" t="n"/>
      <c r="K3" s="89" t="inlineStr">
        <is>
          <t>Not started</t>
        </is>
      </c>
      <c r="L3" s="90">
        <f>COUNTIF($D$8:$D$65,$K3)</f>
        <v/>
      </c>
    </row>
    <row r="4" ht="20" customHeight="1">
      <c r="A4" s="4" t="n"/>
      <c r="B4" s="18" t="inlineStr">
        <is>
          <t>סה"כ אובייקטים</t>
        </is>
      </c>
      <c r="C4" s="19" t="inlineStr">
        <is>
          <t>הושלם (Done)</t>
        </is>
      </c>
      <c r="D4" s="20" t="inlineStr">
        <is>
          <t>נבדק (Tested)</t>
        </is>
      </c>
      <c r="E4" s="21" t="inlineStr">
        <is>
          <t>בתהליך (In Progress)</t>
        </is>
      </c>
      <c r="F4" s="22" t="inlineStr">
        <is>
          <t>פתוח (Open)</t>
        </is>
      </c>
      <c r="G4" s="23" t="inlineStr">
        <is>
          <t>% השלמה</t>
        </is>
      </c>
      <c r="H4" s="4" t="n"/>
      <c r="I4" s="4" t="n"/>
      <c r="J4" s="4" t="n"/>
      <c r="K4" s="91" t="inlineStr">
        <is>
          <t>In analysis</t>
        </is>
      </c>
      <c r="L4" s="90">
        <f>COUNTIF($D$8:$D$65,$K4)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92" t="inlineStr">
        <is>
          <t>In conversion</t>
        </is>
      </c>
      <c r="L5" s="90">
        <f>COUNTIF($D$8:$D$65,$K5)</f>
        <v/>
      </c>
    </row>
    <row r="6">
      <c r="A6" s="4" t="n"/>
      <c r="B6" s="93" t="inlineStr">
        <is>
          <t>מקור לגרף (Chart source):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94" t="inlineStr">
        <is>
          <t>Tested</t>
        </is>
      </c>
      <c r="L6" s="90">
        <f>COUNTIF($D$8:$D$65,$K6)</f>
        <v/>
      </c>
    </row>
    <row r="7" ht="28" customHeight="1">
      <c r="A7" s="73" t="inlineStr">
        <is>
          <t>מס' (#)</t>
        </is>
      </c>
      <c r="B7" s="73" t="inlineStr">
        <is>
          <t>מודול / נושא</t>
        </is>
      </c>
      <c r="C7" s="73" t="inlineStr">
        <is>
          <t>אובייקט / טבלה</t>
        </is>
      </c>
      <c r="D7" s="73" t="inlineStr">
        <is>
          <t>סטטוס מעבר (Status)</t>
        </is>
      </c>
      <c r="E7" s="73" t="inlineStr">
        <is>
          <t>אחראי (Owner)</t>
        </is>
      </c>
      <c r="F7" s="73" t="inlineStr">
        <is>
          <t>תאריך יעד</t>
        </is>
      </c>
      <c r="G7" s="73" t="inlineStr">
        <is>
          <t>תאריך סיום</t>
        </is>
      </c>
      <c r="H7" s="73" t="inlineStr">
        <is>
          <t>הערות / בלוקרים</t>
        </is>
      </c>
      <c r="I7" s="73" t="inlineStr">
        <is>
          <t>קישור לגיליון</t>
        </is>
      </c>
      <c r="J7" s="4" t="n"/>
      <c r="K7" s="95" t="inlineStr">
        <is>
          <t>Done</t>
        </is>
      </c>
      <c r="L7" s="90">
        <f>COUNTIF($D$8:$D$65,$K7)</f>
        <v/>
      </c>
    </row>
    <row r="8" ht="22" customHeight="1">
      <c r="A8" s="96" t="n">
        <v>1</v>
      </c>
      <c r="B8" s="46" t="inlineStr">
        <is>
          <t>1. מבנה ארגוני ותשתית  -  רשומת אב של מיקום פונקציונלי</t>
        </is>
      </c>
      <c r="C8" s="44" t="inlineStr">
        <is>
          <t>IFLOT</t>
        </is>
      </c>
      <c r="D8" s="97" t="inlineStr">
        <is>
          <t>Not started</t>
        </is>
      </c>
      <c r="E8" s="46" t="inlineStr"/>
      <c r="F8" s="96" t="inlineStr"/>
      <c r="G8" s="96" t="inlineStr"/>
      <c r="H8" s="46" t="inlineStr"/>
      <c r="I8" s="98">
        <f>HYPERLINK("#'"&amp;"1. מבנה ארגוני ותשתית"&amp;"'!A3","➜ פתח")</f>
        <v/>
      </c>
      <c r="J8" s="4" t="n"/>
      <c r="K8" s="99" t="inlineStr">
        <is>
          <t>סה"כ</t>
        </is>
      </c>
      <c r="L8" s="90">
        <f>SUM($L$3:$L$7)</f>
        <v/>
      </c>
    </row>
    <row r="9" ht="22" customHeight="1">
      <c r="A9" s="100" t="n">
        <v>2</v>
      </c>
      <c r="B9" s="54" t="inlineStr">
        <is>
          <t>1. מבנה ארגוני ותשתית  -  תוויות מיקום פונקציונלי (Labels - טבלת ילד של IFLOT)</t>
        </is>
      </c>
      <c r="C9" s="52" t="inlineStr">
        <is>
          <t>IFLOS</t>
        </is>
      </c>
      <c r="D9" s="97" t="inlineStr">
        <is>
          <t>Not started</t>
        </is>
      </c>
      <c r="E9" s="54" t="inlineStr"/>
      <c r="F9" s="100" t="inlineStr"/>
      <c r="G9" s="100" t="inlineStr"/>
      <c r="H9" s="54" t="inlineStr"/>
      <c r="I9" s="101">
        <f>HYPERLINK("#'"&amp;"1. מבנה ארגוני ותשתית"&amp;"'!A11","➜ פתח")</f>
        <v/>
      </c>
      <c r="J9" s="4" t="n"/>
      <c r="K9" s="4" t="n"/>
      <c r="L9" s="4" t="n"/>
    </row>
    <row r="10" ht="22" customHeight="1">
      <c r="A10" s="96" t="n">
        <v>3</v>
      </c>
      <c r="B10" s="46" t="inlineStr">
        <is>
          <t>1. מבנה ארגוני ותשתית  -  נתוני מיקום וחיוב משותפים</t>
        </is>
      </c>
      <c r="C10" s="44" t="inlineStr">
        <is>
          <t>ILOA</t>
        </is>
      </c>
      <c r="D10" s="97" t="inlineStr">
        <is>
          <t>Not started</t>
        </is>
      </c>
      <c r="E10" s="46" t="inlineStr"/>
      <c r="F10" s="96" t="inlineStr"/>
      <c r="G10" s="96" t="inlineStr"/>
      <c r="H10" s="46" t="inlineStr"/>
      <c r="I10" s="98">
        <f>HYPERLINK("#'"&amp;"1. מבנה ארגוני ותשתית"&amp;"'!A18","➜ פתח")</f>
        <v/>
      </c>
      <c r="J10" s="4" t="n"/>
      <c r="K10" s="4" t="n"/>
      <c r="L10" s="4" t="n"/>
    </row>
    <row r="11" ht="22" customHeight="1">
      <c r="A11" s="100" t="n">
        <v>4</v>
      </c>
      <c r="B11" s="54" t="inlineStr">
        <is>
          <t>1. מבנה ארגוני ותשתית  -  כותרת מרכז עבודה</t>
        </is>
      </c>
      <c r="C11" s="52" t="inlineStr">
        <is>
          <t>CRHD</t>
        </is>
      </c>
      <c r="D11" s="97" t="inlineStr">
        <is>
          <t>Not started</t>
        </is>
      </c>
      <c r="E11" s="54" t="inlineStr"/>
      <c r="F11" s="100" t="inlineStr"/>
      <c r="G11" s="100" t="inlineStr"/>
      <c r="H11" s="54" t="inlineStr"/>
      <c r="I11" s="101">
        <f>HYPERLINK("#'"&amp;"1. מבנה ארגוני ותשתית"&amp;"'!A26","➜ פתח")</f>
        <v/>
      </c>
      <c r="J11" s="4" t="n"/>
      <c r="K11" s="4" t="n"/>
      <c r="L11" s="4" t="n"/>
    </row>
    <row r="12" ht="22" customHeight="1">
      <c r="A12" s="96" t="n">
        <v>5</v>
      </c>
      <c r="B12" s="46" t="inlineStr">
        <is>
          <t>1. מבנה ארגוני ותשתית  -  טקסטים של מרכז עבודה</t>
        </is>
      </c>
      <c r="C12" s="44" t="inlineStr">
        <is>
          <t>CRTX</t>
        </is>
      </c>
      <c r="D12" s="97" t="inlineStr">
        <is>
          <t>Not started</t>
        </is>
      </c>
      <c r="E12" s="46" t="inlineStr"/>
      <c r="F12" s="96" t="inlineStr"/>
      <c r="G12" s="96" t="inlineStr"/>
      <c r="H12" s="46" t="inlineStr"/>
      <c r="I12" s="98">
        <f>HYPERLINK("#'"&amp;"1. מבנה ארגוני ותשתית"&amp;"'!A34","➜ פתח")</f>
        <v/>
      </c>
      <c r="J12" s="4" t="n"/>
      <c r="K12" s="4" t="n"/>
      <c r="L12" s="4" t="n"/>
    </row>
    <row r="13" ht="22" customHeight="1">
      <c r="A13" s="100" t="n">
        <v>6</v>
      </c>
      <c r="B13" s="54" t="inlineStr">
        <is>
          <t>1. מבנה ארגוני ותשתית  -  טבלת טקסט להגדרות מבנה/קטגוריות PM (Customizing)</t>
        </is>
      </c>
      <c r="C13" s="52" t="inlineStr">
        <is>
          <t>T370T</t>
        </is>
      </c>
      <c r="D13" s="97" t="inlineStr">
        <is>
          <t>Not started</t>
        </is>
      </c>
      <c r="E13" s="54" t="inlineStr"/>
      <c r="F13" s="100" t="inlineStr"/>
      <c r="G13" s="100" t="inlineStr"/>
      <c r="H13" s="54" t="inlineStr"/>
      <c r="I13" s="101">
        <f>HYPERLINK("#'"&amp;"1. מבנה ארגוני ותשתית"&amp;"'!A39","➜ פתח")</f>
        <v/>
      </c>
      <c r="J13" s="4" t="n"/>
      <c r="K13" s="4" t="n"/>
      <c r="L13" s="4" t="n"/>
    </row>
    <row r="14" ht="22" customHeight="1">
      <c r="A14" s="96" t="n">
        <v>7</v>
      </c>
      <c r="B14" s="46" t="inlineStr">
        <is>
          <t>2. ציוד ונתוני מאסטר  -  רשומת אב של ציוד</t>
        </is>
      </c>
      <c r="C14" s="44" t="inlineStr">
        <is>
          <t>EQUI</t>
        </is>
      </c>
      <c r="D14" s="97" t="inlineStr">
        <is>
          <t>Not started</t>
        </is>
      </c>
      <c r="E14" s="46" t="inlineStr"/>
      <c r="F14" s="96" t="inlineStr"/>
      <c r="G14" s="96" t="inlineStr"/>
      <c r="H14" s="46" t="inlineStr"/>
      <c r="I14" s="98">
        <f>HYPERLINK("#'"&amp;"2. ציוד ונתוני מאסטר"&amp;"'!A3","➜ פתח")</f>
        <v/>
      </c>
      <c r="J14" s="4" t="n"/>
      <c r="K14" s="4" t="n"/>
      <c r="L14" s="4" t="n"/>
    </row>
    <row r="15" ht="22" customHeight="1">
      <c r="A15" s="100" t="n">
        <v>8</v>
      </c>
      <c r="B15" s="54" t="inlineStr">
        <is>
          <t>2. ציוד ונתוני מאסטר  -  טקסטים (תיאורים) של ציוד</t>
        </is>
      </c>
      <c r="C15" s="52" t="inlineStr">
        <is>
          <t>EQKT</t>
        </is>
      </c>
      <c r="D15" s="97" t="inlineStr">
        <is>
          <t>Not started</t>
        </is>
      </c>
      <c r="E15" s="54" t="inlineStr"/>
      <c r="F15" s="100" t="inlineStr"/>
      <c r="G15" s="100" t="inlineStr"/>
      <c r="H15" s="54" t="inlineStr"/>
      <c r="I15" s="101">
        <f>HYPERLINK("#'"&amp;"2. ציוד ונתוני מאסטר"&amp;"'!A11","➜ פתח")</f>
        <v/>
      </c>
      <c r="J15" s="4" t="n"/>
      <c r="K15" s="4" t="n"/>
      <c r="L15" s="4" t="n"/>
    </row>
    <row r="16" ht="22" customHeight="1">
      <c r="A16" s="96" t="n">
        <v>9</v>
      </c>
      <c r="B16" s="46" t="inlineStr">
        <is>
          <t>2. ציוד ונתוני מאסטר  -  פלח זמן של ציוד (התקנות/שיוך)</t>
        </is>
      </c>
      <c r="C16" s="44" t="inlineStr">
        <is>
          <t>EQUZ</t>
        </is>
      </c>
      <c r="D16" s="97" t="inlineStr">
        <is>
          <t>Not started</t>
        </is>
      </c>
      <c r="E16" s="46" t="inlineStr"/>
      <c r="F16" s="96" t="inlineStr"/>
      <c r="G16" s="96" t="inlineStr"/>
      <c r="H16" s="46" t="inlineStr"/>
      <c r="I16" s="98">
        <f>HYPERLINK("#'"&amp;"2. ציוד ונתוני מאסטר"&amp;"'!A16","➜ פתח")</f>
        <v/>
      </c>
      <c r="J16" s="4" t="n"/>
      <c r="K16" s="4" t="n"/>
      <c r="L16" s="4" t="n"/>
    </row>
    <row r="17" ht="22" customHeight="1">
      <c r="A17" s="100" t="n">
        <v>10</v>
      </c>
      <c r="B17" s="54" t="inlineStr">
        <is>
          <t>2. ציוד ונתוני מאסטר  -  רשימת אובייקטים / מספרים סידוריים</t>
        </is>
      </c>
      <c r="C17" s="52" t="inlineStr">
        <is>
          <t>OBJK</t>
        </is>
      </c>
      <c r="D17" s="97" t="inlineStr">
        <is>
          <t>Not started</t>
        </is>
      </c>
      <c r="E17" s="54" t="inlineStr"/>
      <c r="F17" s="100" t="inlineStr"/>
      <c r="G17" s="100" t="inlineStr"/>
      <c r="H17" s="54" t="inlineStr"/>
      <c r="I17" s="101">
        <f>HYPERLINK("#'"&amp;"2. ציוד ונתוני מאסטר"&amp;"'!A23","➜ פתח")</f>
        <v/>
      </c>
      <c r="J17" s="4" t="n"/>
      <c r="K17" s="4" t="n"/>
      <c r="L17" s="4" t="n"/>
    </row>
    <row r="18" ht="22" customHeight="1">
      <c r="A18" s="96" t="n">
        <v>11</v>
      </c>
      <c r="B18" s="46" t="inlineStr">
        <is>
          <t>3. עצי מוצר של אחזקה (BOM)  -  כותרת עץ מוצר</t>
        </is>
      </c>
      <c r="C18" s="44" t="inlineStr">
        <is>
          <t>STKO</t>
        </is>
      </c>
      <c r="D18" s="97" t="inlineStr">
        <is>
          <t>Not started</t>
        </is>
      </c>
      <c r="E18" s="46" t="inlineStr"/>
      <c r="F18" s="96" t="inlineStr"/>
      <c r="G18" s="96" t="inlineStr"/>
      <c r="H18" s="46" t="inlineStr"/>
      <c r="I18" s="98">
        <f>HYPERLINK("#'"&amp;"3. עצי מוצר של אחזקה (BOM)"&amp;"'!A3","➜ פתח")</f>
        <v/>
      </c>
      <c r="J18" s="4" t="n"/>
      <c r="K18" s="4" t="n"/>
      <c r="L18" s="4" t="n"/>
    </row>
    <row r="19" ht="22" customHeight="1">
      <c r="A19" s="100" t="n">
        <v>12</v>
      </c>
      <c r="B19" s="54" t="inlineStr">
        <is>
          <t>3. עצי מוצר של אחזקה (BOM)  -  פריטי עץ מוצר (רכיבים)</t>
        </is>
      </c>
      <c r="C19" s="52" t="inlineStr">
        <is>
          <t>STPO</t>
        </is>
      </c>
      <c r="D19" s="97" t="inlineStr">
        <is>
          <t>Not started</t>
        </is>
      </c>
      <c r="E19" s="54" t="inlineStr"/>
      <c r="F19" s="100" t="inlineStr"/>
      <c r="G19" s="100" t="inlineStr"/>
      <c r="H19" s="54" t="inlineStr"/>
      <c r="I19" s="101">
        <f>HYPERLINK("#'"&amp;"3. עצי מוצר של אחזקה (BOM)"&amp;"'!A10","➜ פתח")</f>
        <v/>
      </c>
      <c r="J19" s="4" t="n"/>
      <c r="K19" s="4" t="n"/>
      <c r="L19" s="4" t="n"/>
    </row>
    <row r="20" ht="22" customHeight="1">
      <c r="A20" s="96" t="n">
        <v>13</v>
      </c>
      <c r="B20" s="46" t="inlineStr">
        <is>
          <t>3. עצי מוצר של אחזקה (BOM)  -  קישור חומר לעץ מוצר</t>
        </is>
      </c>
      <c r="C20" s="44" t="inlineStr">
        <is>
          <t>MAST</t>
        </is>
      </c>
      <c r="D20" s="97" t="inlineStr">
        <is>
          <t>Not started</t>
        </is>
      </c>
      <c r="E20" s="46" t="inlineStr"/>
      <c r="F20" s="96" t="inlineStr"/>
      <c r="G20" s="96" t="inlineStr"/>
      <c r="H20" s="46" t="inlineStr"/>
      <c r="I20" s="98">
        <f>HYPERLINK("#'"&amp;"3. עצי מוצר של אחזקה (BOM)"&amp;"'!A17","➜ פתח")</f>
        <v/>
      </c>
      <c r="J20" s="4" t="n"/>
      <c r="K20" s="4" t="n"/>
      <c r="L20" s="4" t="n"/>
    </row>
    <row r="21" ht="22" customHeight="1">
      <c r="A21" s="100" t="n">
        <v>14</v>
      </c>
      <c r="B21" s="54" t="inlineStr">
        <is>
          <t>3. עצי מוצר של אחזקה (BOM)  -  קישור ציוד לעץ מוצר</t>
        </is>
      </c>
      <c r="C21" s="52" t="inlineStr">
        <is>
          <t>EQST</t>
        </is>
      </c>
      <c r="D21" s="97" t="inlineStr">
        <is>
          <t>Not started</t>
        </is>
      </c>
      <c r="E21" s="54" t="inlineStr"/>
      <c r="F21" s="100" t="inlineStr"/>
      <c r="G21" s="100" t="inlineStr"/>
      <c r="H21" s="54" t="inlineStr"/>
      <c r="I21" s="101">
        <f>HYPERLINK("#'"&amp;"3. עצי מוצר של אחזקה (BOM)"&amp;"'!A24","➜ פתח")</f>
        <v/>
      </c>
      <c r="J21" s="4" t="n"/>
      <c r="K21" s="4" t="n"/>
      <c r="L21" s="4" t="n"/>
    </row>
    <row r="22" ht="22" customHeight="1">
      <c r="A22" s="96" t="n">
        <v>15</v>
      </c>
      <c r="B22" s="46" t="inlineStr">
        <is>
          <t>3. עצי מוצר של אחזקה (BOM)  -  קישור מיקום פונקציונלי לעץ מוצר</t>
        </is>
      </c>
      <c r="C22" s="44" t="inlineStr">
        <is>
          <t>TPST</t>
        </is>
      </c>
      <c r="D22" s="97" t="inlineStr">
        <is>
          <t>Not started</t>
        </is>
      </c>
      <c r="E22" s="46" t="inlineStr"/>
      <c r="F22" s="96" t="inlineStr"/>
      <c r="G22" s="96" t="inlineStr"/>
      <c r="H22" s="46" t="inlineStr"/>
      <c r="I22" s="98">
        <f>HYPERLINK("#'"&amp;"3. עצי מוצר של אחזקה (BOM)"&amp;"'!A30","➜ פתח")</f>
        <v/>
      </c>
      <c r="J22" s="4" t="n"/>
      <c r="K22" s="4" t="n"/>
      <c r="L22" s="4" t="n"/>
    </row>
    <row r="23" ht="22" customHeight="1">
      <c r="A23" s="100" t="n">
        <v>16</v>
      </c>
      <c r="B23" s="54" t="inlineStr">
        <is>
          <t>4. נקודות מדידה ומונים  -  רשומת אב של נקודת מדידה / מונה</t>
        </is>
      </c>
      <c r="C23" s="52" t="inlineStr">
        <is>
          <t>IMPTT</t>
        </is>
      </c>
      <c r="D23" s="97" t="inlineStr">
        <is>
          <t>Not started</t>
        </is>
      </c>
      <c r="E23" s="54" t="inlineStr"/>
      <c r="F23" s="100" t="inlineStr"/>
      <c r="G23" s="100" t="inlineStr"/>
      <c r="H23" s="54" t="inlineStr"/>
      <c r="I23" s="101">
        <f>HYPERLINK("#'"&amp;"4. נקודות מדידה ומונים"&amp;"'!A3","➜ פתח")</f>
        <v/>
      </c>
      <c r="J23" s="4" t="n"/>
      <c r="K23" s="4" t="n"/>
      <c r="L23" s="4" t="n"/>
    </row>
    <row r="24" ht="22" customHeight="1">
      <c r="A24" s="96" t="n">
        <v>17</v>
      </c>
      <c r="B24" s="46" t="inlineStr">
        <is>
          <t>4. נקודות מדידה ומונים  -  מסמכי מדידה (קריאות מונה/ערך)</t>
        </is>
      </c>
      <c r="C24" s="44" t="inlineStr">
        <is>
          <t>IMRG</t>
        </is>
      </c>
      <c r="D24" s="97" t="inlineStr">
        <is>
          <t>Not started</t>
        </is>
      </c>
      <c r="E24" s="46" t="inlineStr"/>
      <c r="F24" s="96" t="inlineStr"/>
      <c r="G24" s="96" t="inlineStr"/>
      <c r="H24" s="46" t="inlineStr"/>
      <c r="I24" s="98">
        <f>HYPERLINK("#'"&amp;"4. נקודות מדידה ומונים"&amp;"'!A11","➜ פתח")</f>
        <v/>
      </c>
      <c r="J24" s="4" t="n"/>
      <c r="K24" s="4" t="n"/>
      <c r="L24" s="4" t="n"/>
    </row>
    <row r="25" ht="22" customHeight="1">
      <c r="A25" s="100" t="n">
        <v>18</v>
      </c>
      <c r="B25" s="54" t="inlineStr">
        <is>
          <t>5. קטלוגים, קודים ופרופילים  -  קודים בתוך קבוצת קוד</t>
        </is>
      </c>
      <c r="C25" s="52" t="inlineStr">
        <is>
          <t>QPCD</t>
        </is>
      </c>
      <c r="D25" s="97" t="inlineStr">
        <is>
          <t>Not started</t>
        </is>
      </c>
      <c r="E25" s="54" t="inlineStr"/>
      <c r="F25" s="100" t="inlineStr"/>
      <c r="G25" s="100" t="inlineStr"/>
      <c r="H25" s="54" t="inlineStr"/>
      <c r="I25" s="101">
        <f>HYPERLINK("#'"&amp;"5. קטלוגים, קודים ופרופילים"&amp;"'!A3","➜ פתח")</f>
        <v/>
      </c>
      <c r="J25" s="4" t="n"/>
      <c r="K25" s="4" t="n"/>
      <c r="L25" s="4" t="n"/>
    </row>
    <row r="26" ht="22" customHeight="1">
      <c r="A26" s="96" t="n">
        <v>19</v>
      </c>
      <c r="B26" s="46" t="inlineStr">
        <is>
          <t>5. קטלוגים, קודים ופרופילים  -  קבוצות קוד (במקום QPCR הלא-תקני)</t>
        </is>
      </c>
      <c r="C26" s="44" t="inlineStr">
        <is>
          <t>QPGR</t>
        </is>
      </c>
      <c r="D26" s="97" t="inlineStr">
        <is>
          <t>Not started</t>
        </is>
      </c>
      <c r="E26" s="46" t="inlineStr"/>
      <c r="F26" s="96" t="inlineStr"/>
      <c r="G26" s="96" t="inlineStr"/>
      <c r="H26" s="46" t="inlineStr"/>
      <c r="I26" s="98">
        <f>HYPERLINK("#'"&amp;"5. קטלוגים, קודים ופרופילים"&amp;"'!A9","➜ פתח")</f>
        <v/>
      </c>
      <c r="J26" s="4" t="n"/>
      <c r="K26" s="4" t="n"/>
      <c r="L26" s="4" t="n"/>
    </row>
    <row r="27" ht="22" customHeight="1">
      <c r="A27" s="100" t="n">
        <v>20</v>
      </c>
      <c r="B27" s="54" t="inlineStr">
        <is>
          <t>5. קטלוגים, קודים ופרופילים  -  שיוך פרופיל קטלוג לקבוצות בחירה</t>
        </is>
      </c>
      <c r="C27" s="52" t="inlineStr">
        <is>
          <t>T352B</t>
        </is>
      </c>
      <c r="D27" s="97" t="inlineStr">
        <is>
          <t>Not started</t>
        </is>
      </c>
      <c r="E27" s="54" t="inlineStr"/>
      <c r="F27" s="100" t="inlineStr"/>
      <c r="G27" s="100" t="inlineStr"/>
      <c r="H27" s="54" t="inlineStr"/>
      <c r="I27" s="101">
        <f>HYPERLINK("#'"&amp;"5. קטלוגים, קודים ופרופילים"&amp;"'!A15","➜ פתח")</f>
        <v/>
      </c>
      <c r="J27" s="4" t="n"/>
      <c r="K27" s="4" t="n"/>
      <c r="L27" s="4" t="n"/>
    </row>
    <row r="28" ht="22" customHeight="1">
      <c r="A28" s="96" t="n">
        <v>21</v>
      </c>
      <c r="B28" s="46" t="inlineStr">
        <is>
          <t>5. קטלוגים, קודים ופרופילים  -  פרופיל קטלוג (כותרת)</t>
        </is>
      </c>
      <c r="C28" s="44" t="inlineStr">
        <is>
          <t>T352</t>
        </is>
      </c>
      <c r="D28" s="97" t="inlineStr">
        <is>
          <t>Not started</t>
        </is>
      </c>
      <c r="E28" s="46" t="inlineStr"/>
      <c r="F28" s="96" t="inlineStr"/>
      <c r="G28" s="96" t="inlineStr"/>
      <c r="H28" s="46" t="inlineStr"/>
      <c r="I28" s="98">
        <f>HYPERLINK("#'"&amp;"5. קטלוגים, קודים ופרופילים"&amp;"'!A21","➜ פתח")</f>
        <v/>
      </c>
      <c r="J28" s="4" t="n"/>
      <c r="K28" s="4" t="n"/>
      <c r="L28" s="4" t="n"/>
    </row>
    <row r="29" ht="22" customHeight="1">
      <c r="A29" s="100" t="n">
        <v>22</v>
      </c>
      <c r="B29" s="54" t="inlineStr">
        <is>
          <t>6. הודעות אחזקה (Notifications)  -  כותרת הודעת אחזקה</t>
        </is>
      </c>
      <c r="C29" s="52" t="inlineStr">
        <is>
          <t>QMEL</t>
        </is>
      </c>
      <c r="D29" s="97" t="inlineStr">
        <is>
          <t>Not started</t>
        </is>
      </c>
      <c r="E29" s="54" t="inlineStr"/>
      <c r="F29" s="100" t="inlineStr"/>
      <c r="G29" s="100" t="inlineStr"/>
      <c r="H29" s="54" t="inlineStr"/>
      <c r="I29" s="101">
        <f>HYPERLINK("#'"&amp;"6. הודעות אחזקה (Notifications)"&amp;"'!A3","➜ פתח")</f>
        <v/>
      </c>
      <c r="J29" s="4" t="n"/>
      <c r="K29" s="4" t="n"/>
      <c r="L29" s="4" t="n"/>
    </row>
    <row r="30" ht="22" customHeight="1">
      <c r="A30" s="96" t="n">
        <v>23</v>
      </c>
      <c r="B30" s="46" t="inlineStr">
        <is>
          <t>6. הודעות אחזקה (Notifications)  -  פריטי הודעה (ליקויים)</t>
        </is>
      </c>
      <c r="C30" s="44" t="inlineStr">
        <is>
          <t>QMFE</t>
        </is>
      </c>
      <c r="D30" s="97" t="inlineStr">
        <is>
          <t>Not started</t>
        </is>
      </c>
      <c r="E30" s="46" t="inlineStr"/>
      <c r="F30" s="96" t="inlineStr"/>
      <c r="G30" s="96" t="inlineStr"/>
      <c r="H30" s="46" t="inlineStr"/>
      <c r="I30" s="98">
        <f>HYPERLINK("#'"&amp;"6. הודעות אחזקה (Notifications)"&amp;"'!A11","➜ פתח")</f>
        <v/>
      </c>
      <c r="J30" s="4" t="n"/>
      <c r="K30" s="4" t="n"/>
      <c r="L30" s="4" t="n"/>
    </row>
    <row r="31" ht="22" customHeight="1">
      <c r="A31" s="100" t="n">
        <v>24</v>
      </c>
      <c r="B31" s="54" t="inlineStr">
        <is>
          <t>6. הודעות אחזקה (Notifications)  -  סיבות לליקוי</t>
        </is>
      </c>
      <c r="C31" s="52" t="inlineStr">
        <is>
          <t>QMUR</t>
        </is>
      </c>
      <c r="D31" s="97" t="inlineStr">
        <is>
          <t>Not started</t>
        </is>
      </c>
      <c r="E31" s="54" t="inlineStr"/>
      <c r="F31" s="100" t="inlineStr"/>
      <c r="G31" s="100" t="inlineStr"/>
      <c r="H31" s="54" t="inlineStr"/>
      <c r="I31" s="101">
        <f>HYPERLINK("#'"&amp;"6. הודעות אחזקה (Notifications)"&amp;"'!A19","➜ פתח")</f>
        <v/>
      </c>
      <c r="J31" s="4" t="n"/>
      <c r="K31" s="4" t="n"/>
      <c r="L31" s="4" t="n"/>
    </row>
    <row r="32" ht="22" customHeight="1">
      <c r="A32" s="96" t="n">
        <v>25</v>
      </c>
      <c r="B32" s="46" t="inlineStr">
        <is>
          <t>6. הודעות אחזקה (Notifications)  -  פעילויות שבוצעו (במקום QMAA הלא-תקני)</t>
        </is>
      </c>
      <c r="C32" s="44" t="inlineStr">
        <is>
          <t>QMMA</t>
        </is>
      </c>
      <c r="D32" s="97" t="inlineStr">
        <is>
          <t>Not started</t>
        </is>
      </c>
      <c r="E32" s="46" t="inlineStr"/>
      <c r="F32" s="96" t="inlineStr"/>
      <c r="G32" s="96" t="inlineStr"/>
      <c r="H32" s="46" t="inlineStr"/>
      <c r="I32" s="98">
        <f>HYPERLINK("#'"&amp;"6. הודעות אחזקה (Notifications)"&amp;"'!A26","➜ פתח")</f>
        <v/>
      </c>
      <c r="J32" s="4" t="n"/>
      <c r="K32" s="4" t="n"/>
      <c r="L32" s="4" t="n"/>
    </row>
    <row r="33" ht="22" customHeight="1">
      <c r="A33" s="100" t="n">
        <v>26</v>
      </c>
      <c r="B33" s="54" t="inlineStr">
        <is>
          <t>6. הודעות אחזקה (Notifications)  -  משימות לטיפול (במקום QMAS הלא-תקני)</t>
        </is>
      </c>
      <c r="C33" s="52" t="inlineStr">
        <is>
          <t>QMSM</t>
        </is>
      </c>
      <c r="D33" s="97" t="inlineStr">
        <is>
          <t>Not started</t>
        </is>
      </c>
      <c r="E33" s="54" t="inlineStr"/>
      <c r="F33" s="100" t="inlineStr"/>
      <c r="G33" s="100" t="inlineStr"/>
      <c r="H33" s="54" t="inlineStr"/>
      <c r="I33" s="101">
        <f>HYPERLINK("#'"&amp;"6. הודעות אחזקה (Notifications)"&amp;"'!A32","➜ פתח")</f>
        <v/>
      </c>
      <c r="J33" s="4" t="n"/>
      <c r="K33" s="4" t="n"/>
      <c r="L33" s="4" t="n"/>
    </row>
    <row r="34" ht="22" customHeight="1">
      <c r="A34" s="96" t="n">
        <v>27</v>
      </c>
      <c r="B34" s="46" t="inlineStr">
        <is>
          <t>6. הודעות אחזקה (Notifications)  -  סוגי הודעה (Notification Types - Customizing; הוגדר כ-T356, ש=עדיפויות)</t>
        </is>
      </c>
      <c r="C34" s="44" t="inlineStr">
        <is>
          <t>TQ80</t>
        </is>
      </c>
      <c r="D34" s="97" t="inlineStr">
        <is>
          <t>Not started</t>
        </is>
      </c>
      <c r="E34" s="46" t="inlineStr"/>
      <c r="F34" s="96" t="inlineStr"/>
      <c r="G34" s="96" t="inlineStr"/>
      <c r="H34" s="46" t="inlineStr"/>
      <c r="I34" s="98">
        <f>HYPERLINK("#'"&amp;"6. הודעות אחזקה (Notifications)"&amp;"'!A39","➜ פתח")</f>
        <v/>
      </c>
      <c r="J34" s="4" t="n"/>
      <c r="K34" s="4" t="n"/>
      <c r="L34" s="4" t="n"/>
    </row>
    <row r="35" ht="22" customHeight="1">
      <c r="A35" s="100" t="n">
        <v>28</v>
      </c>
      <c r="B35" s="54" t="inlineStr">
        <is>
          <t>7. פקודות עבודה (פק"ע)  -  נתוני אב של פקודת עבודה</t>
        </is>
      </c>
      <c r="C35" s="52" t="inlineStr">
        <is>
          <t>AUFK</t>
        </is>
      </c>
      <c r="D35" s="97" t="inlineStr">
        <is>
          <t>Not started</t>
        </is>
      </c>
      <c r="E35" s="54" t="inlineStr"/>
      <c r="F35" s="100" t="inlineStr"/>
      <c r="G35" s="100" t="inlineStr"/>
      <c r="H35" s="54" t="inlineStr"/>
      <c r="I35" s="101">
        <f>HYPERLINK("#'"&amp;"7. פקודות עבודה (פק"ע)"&amp;"'!A3","➜ פתח")</f>
        <v/>
      </c>
      <c r="J35" s="4" t="n"/>
      <c r="K35" s="4" t="n"/>
      <c r="L35" s="4" t="n"/>
    </row>
    <row r="36" ht="22" customHeight="1">
      <c r="A36" s="96" t="n">
        <v>29</v>
      </c>
      <c r="B36" s="46" t="inlineStr">
        <is>
          <t>7. פקודות עבודה (פק"ע)  -  כותרת פקודה (נתוני אחזקה/ייצור)</t>
        </is>
      </c>
      <c r="C36" s="44" t="inlineStr">
        <is>
          <t>AFKO</t>
        </is>
      </c>
      <c r="D36" s="97" t="inlineStr">
        <is>
          <t>Not started</t>
        </is>
      </c>
      <c r="E36" s="46" t="inlineStr"/>
      <c r="F36" s="96" t="inlineStr"/>
      <c r="G36" s="96" t="inlineStr"/>
      <c r="H36" s="46" t="inlineStr"/>
      <c r="I36" s="98">
        <f>HYPERLINK("#'"&amp;"7. פקודות עבודה (פק"ע)"&amp;"'!A10","➜ פתח")</f>
        <v/>
      </c>
      <c r="J36" s="4" t="n"/>
      <c r="K36" s="4" t="n"/>
      <c r="L36" s="4" t="n"/>
    </row>
    <row r="37" ht="22" customHeight="1">
      <c r="A37" s="100" t="n">
        <v>30</v>
      </c>
      <c r="B37" s="54" t="inlineStr">
        <is>
          <t>7. פקודות עבודה (פק"ע)  -  פעולות הפקודה (Operations - השם התקני; לא AFVG)</t>
        </is>
      </c>
      <c r="C37" s="52" t="inlineStr">
        <is>
          <t>AFVC</t>
        </is>
      </c>
      <c r="D37" s="97" t="inlineStr">
        <is>
          <t>Not started</t>
        </is>
      </c>
      <c r="E37" s="54" t="inlineStr"/>
      <c r="F37" s="100" t="inlineStr"/>
      <c r="G37" s="100" t="inlineStr"/>
      <c r="H37" s="54" t="inlineStr"/>
      <c r="I37" s="101">
        <f>HYPERLINK("#'"&amp;"7. פקודות עבודה (פק"ע)"&amp;"'!A17","➜ פתח")</f>
        <v/>
      </c>
      <c r="J37" s="4" t="n"/>
      <c r="K37" s="4" t="n"/>
      <c r="L37" s="4" t="n"/>
    </row>
    <row r="38" ht="22" customHeight="1">
      <c r="A38" s="96" t="n">
        <v>31</v>
      </c>
      <c r="B38" s="46" t="inlineStr">
        <is>
          <t>7. פקודות עבודה (פק"ע)  -  פריט פקודה</t>
        </is>
      </c>
      <c r="C38" s="44" t="inlineStr">
        <is>
          <t>AFPO</t>
        </is>
      </c>
      <c r="D38" s="97" t="inlineStr">
        <is>
          <t>Not started</t>
        </is>
      </c>
      <c r="E38" s="46" t="inlineStr"/>
      <c r="F38" s="96" t="inlineStr"/>
      <c r="G38" s="96" t="inlineStr"/>
      <c r="H38" s="46" t="inlineStr"/>
      <c r="I38" s="98">
        <f>HYPERLINK("#'"&amp;"7. פקודות עבודה (פק"ע)"&amp;"'!A25","➜ פתח")</f>
        <v/>
      </c>
      <c r="J38" s="4" t="n"/>
      <c r="K38" s="4" t="n"/>
      <c r="L38" s="4" t="n"/>
    </row>
    <row r="39" ht="22" customHeight="1">
      <c r="A39" s="100" t="n">
        <v>32</v>
      </c>
      <c r="B39" s="54" t="inlineStr">
        <is>
          <t>7. פקודות עבודה (פק"ע)  -  כותרת פקודה - נתוני אחזקה (PM)</t>
        </is>
      </c>
      <c r="C39" s="52" t="inlineStr">
        <is>
          <t>AFIH</t>
        </is>
      </c>
      <c r="D39" s="97" t="inlineStr">
        <is>
          <t>Not started</t>
        </is>
      </c>
      <c r="E39" s="54" t="inlineStr"/>
      <c r="F39" s="100" t="inlineStr"/>
      <c r="G39" s="100" t="inlineStr"/>
      <c r="H39" s="54" t="inlineStr"/>
      <c r="I39" s="101">
        <f>HYPERLINK("#'"&amp;"7. פקודות עבודה (פק"ע)"&amp;"'!A31","➜ פתח")</f>
        <v/>
      </c>
      <c r="J39" s="4" t="n"/>
      <c r="K39" s="4" t="n"/>
      <c r="L39" s="4" t="n"/>
    </row>
    <row r="40" ht="22" customHeight="1">
      <c r="A40" s="96" t="n">
        <v>33</v>
      </c>
      <c r="B40" s="46" t="inlineStr">
        <is>
          <t>7. פקודות עבודה (פק"ע)  -  תנועות מלאי המקושרות לדיווחי ביצוע</t>
        </is>
      </c>
      <c r="C40" s="44" t="inlineStr">
        <is>
          <t>AFWI</t>
        </is>
      </c>
      <c r="D40" s="97" t="inlineStr">
        <is>
          <t>Not started</t>
        </is>
      </c>
      <c r="E40" s="46" t="inlineStr"/>
      <c r="F40" s="96" t="inlineStr"/>
      <c r="G40" s="96" t="inlineStr"/>
      <c r="H40" s="46" t="inlineStr"/>
      <c r="I40" s="98">
        <f>HYPERLINK("#'"&amp;"7. פקודות עבודה (פק"ע)"&amp;"'!A39","➜ פתח")</f>
        <v/>
      </c>
      <c r="J40" s="4" t="n"/>
      <c r="K40" s="4" t="n"/>
      <c r="L40" s="4" t="n"/>
    </row>
    <row r="41" ht="22" customHeight="1">
      <c r="A41" s="100" t="n">
        <v>34</v>
      </c>
      <c r="B41" s="54" t="inlineStr">
        <is>
          <t>7. פקודות עבודה (פק"ע)  -  סוגי פקודה (Order Types - Customizing; הוגדר כ-T350)</t>
        </is>
      </c>
      <c r="C41" s="52" t="inlineStr">
        <is>
          <t>T003O</t>
        </is>
      </c>
      <c r="D41" s="97" t="inlineStr">
        <is>
          <t>Not started</t>
        </is>
      </c>
      <c r="E41" s="54" t="inlineStr"/>
      <c r="F41" s="100" t="inlineStr"/>
      <c r="G41" s="100" t="inlineStr"/>
      <c r="H41" s="54" t="inlineStr"/>
      <c r="I41" s="101">
        <f>HYPERLINK("#'"&amp;"7. פקודות עבודה (פק"ע)"&amp;"'!A45","➜ פתח")</f>
        <v/>
      </c>
      <c r="J41" s="4" t="n"/>
      <c r="K41" s="4" t="n"/>
      <c r="L41" s="4" t="n"/>
    </row>
    <row r="42" ht="22" customHeight="1">
      <c r="A42" s="96" t="n">
        <v>35</v>
      </c>
      <c r="B42" s="46" t="inlineStr">
        <is>
          <t>8. ניהול סטטוסים (Status Mgmt)  -  סטטוס אובייקט (פעיל/לא פעיל)</t>
        </is>
      </c>
      <c r="C42" s="44" t="inlineStr">
        <is>
          <t>JEST</t>
        </is>
      </c>
      <c r="D42" s="97" t="inlineStr">
        <is>
          <t>Not started</t>
        </is>
      </c>
      <c r="E42" s="46" t="inlineStr"/>
      <c r="F42" s="96" t="inlineStr"/>
      <c r="G42" s="96" t="inlineStr"/>
      <c r="H42" s="46" t="inlineStr"/>
      <c r="I42" s="98">
        <f>HYPERLINK("#'"&amp;"8. ניהול סטטוסים (Status Mgmt)"&amp;"'!A3","➜ פתח")</f>
        <v/>
      </c>
      <c r="J42" s="4" t="n"/>
      <c r="K42" s="4" t="n"/>
      <c r="L42" s="4" t="n"/>
    </row>
    <row r="43" ht="22" customHeight="1">
      <c r="A43" s="100" t="n">
        <v>36</v>
      </c>
      <c r="B43" s="54" t="inlineStr">
        <is>
          <t>8. ניהול סטטוסים (Status Mgmt)  -  כותרת אובייקט סטטוס + פרופיל</t>
        </is>
      </c>
      <c r="C43" s="52" t="inlineStr">
        <is>
          <t>JSTO</t>
        </is>
      </c>
      <c r="D43" s="97" t="inlineStr">
        <is>
          <t>Not started</t>
        </is>
      </c>
      <c r="E43" s="54" t="inlineStr"/>
      <c r="F43" s="100" t="inlineStr"/>
      <c r="G43" s="100" t="inlineStr"/>
      <c r="H43" s="54" t="inlineStr"/>
      <c r="I43" s="101">
        <f>HYPERLINK("#'"&amp;"8. ניהול סטטוסים (Status Mgmt)"&amp;"'!A9","➜ פתח")</f>
        <v/>
      </c>
      <c r="J43" s="4" t="n"/>
      <c r="K43" s="4" t="n"/>
      <c r="L43" s="4" t="n"/>
    </row>
    <row r="44" ht="22" customHeight="1">
      <c r="A44" s="96" t="n">
        <v>37</v>
      </c>
      <c r="B44" s="46" t="inlineStr">
        <is>
          <t>8. ניהול סטטוסים (Status Mgmt)  -  טקסטים של סטטוסי מערכת</t>
        </is>
      </c>
      <c r="C44" s="44" t="inlineStr">
        <is>
          <t>TJ02T</t>
        </is>
      </c>
      <c r="D44" s="97" t="inlineStr">
        <is>
          <t>Not started</t>
        </is>
      </c>
      <c r="E44" s="46" t="inlineStr"/>
      <c r="F44" s="96" t="inlineStr"/>
      <c r="G44" s="96" t="inlineStr"/>
      <c r="H44" s="46" t="inlineStr"/>
      <c r="I44" s="98">
        <f>HYPERLINK("#'"&amp;"8. ניהול סטטוסים (Status Mgmt)"&amp;"'!A15","➜ פתח")</f>
        <v/>
      </c>
      <c r="J44" s="4" t="n"/>
      <c r="K44" s="4" t="n"/>
      <c r="L44" s="4" t="n"/>
    </row>
    <row r="45" ht="22" customHeight="1">
      <c r="A45" s="100" t="n">
        <v>38</v>
      </c>
      <c r="B45" s="54" t="inlineStr">
        <is>
          <t>8. ניהול סטטוסים (Status Mgmt)  -  טקסטים של סטטוסי משתמש</t>
        </is>
      </c>
      <c r="C45" s="52" t="inlineStr">
        <is>
          <t>TJ30T</t>
        </is>
      </c>
      <c r="D45" s="97" t="inlineStr">
        <is>
          <t>Not started</t>
        </is>
      </c>
      <c r="E45" s="54" t="inlineStr"/>
      <c r="F45" s="100" t="inlineStr"/>
      <c r="G45" s="100" t="inlineStr"/>
      <c r="H45" s="54" t="inlineStr"/>
      <c r="I45" s="101">
        <f>HYPERLINK("#'"&amp;"8. ניהול סטטוסים (Status Mgmt)"&amp;"'!A21","➜ פתח")</f>
        <v/>
      </c>
      <c r="J45" s="4" t="n"/>
      <c r="K45" s="4" t="n"/>
      <c r="L45" s="4" t="n"/>
    </row>
    <row r="46" ht="22" customHeight="1">
      <c r="A46" s="96" t="n">
        <v>39</v>
      </c>
      <c r="B46" s="46" t="inlineStr">
        <is>
          <t>8. ניהול סטטוסים (Status Mgmt)  -  סטטוסי משתמש בפרופיל (User Status - לתהליכי CBC)</t>
        </is>
      </c>
      <c r="C46" s="44" t="inlineStr">
        <is>
          <t>TJ30</t>
        </is>
      </c>
      <c r="D46" s="97" t="inlineStr">
        <is>
          <t>Not started</t>
        </is>
      </c>
      <c r="E46" s="46" t="inlineStr"/>
      <c r="F46" s="96" t="inlineStr"/>
      <c r="G46" s="96" t="inlineStr"/>
      <c r="H46" s="46" t="inlineStr"/>
      <c r="I46" s="98">
        <f>HYPERLINK("#'"&amp;"8. ניהול סטטוסים (Status Mgmt)"&amp;"'!A28","➜ פתח")</f>
        <v/>
      </c>
      <c r="J46" s="4" t="n"/>
      <c r="K46" s="4" t="n"/>
      <c r="L46" s="4" t="n"/>
    </row>
    <row r="47" ht="22" customHeight="1">
      <c r="A47" s="100" t="n">
        <v>40</v>
      </c>
      <c r="B47" s="54" t="inlineStr">
        <is>
          <t>9. אינטגרציית מלאי ורכש (PM-MM)  -  הזמנת רכיבים (Reservation)</t>
        </is>
      </c>
      <c r="C47" s="52" t="inlineStr">
        <is>
          <t>RESB</t>
        </is>
      </c>
      <c r="D47" s="97" t="inlineStr">
        <is>
          <t>Not started</t>
        </is>
      </c>
      <c r="E47" s="54" t="inlineStr"/>
      <c r="F47" s="100" t="inlineStr"/>
      <c r="G47" s="100" t="inlineStr"/>
      <c r="H47" s="54" t="inlineStr"/>
      <c r="I47" s="101">
        <f>HYPERLINK("#'"&amp;"9. אינטגרציית מלאי ורכש (PM-MM)"&amp;"'!A3","➜ פתח")</f>
        <v/>
      </c>
      <c r="J47" s="4" t="n"/>
      <c r="K47" s="4" t="n"/>
      <c r="L47" s="4" t="n"/>
    </row>
    <row r="48" ht="22" customHeight="1">
      <c r="A48" s="96" t="n">
        <v>41</v>
      </c>
      <c r="B48" s="46" t="inlineStr">
        <is>
          <t>9. אינטגרציית מלאי ורכש (PM-MM)  -  דרישת רכש (Purchase Requisition)</t>
        </is>
      </c>
      <c r="C48" s="44" t="inlineStr">
        <is>
          <t>EBAN</t>
        </is>
      </c>
      <c r="D48" s="97" t="inlineStr">
        <is>
          <t>Not started</t>
        </is>
      </c>
      <c r="E48" s="46" t="inlineStr"/>
      <c r="F48" s="96" t="inlineStr"/>
      <c r="G48" s="96" t="inlineStr"/>
      <c r="H48" s="46" t="inlineStr"/>
      <c r="I48" s="98">
        <f>HYPERLINK("#'"&amp;"9. אינטגרציית מלאי ורכש (PM-MM)"&amp;"'!A11","➜ פתח")</f>
        <v/>
      </c>
      <c r="J48" s="4" t="n"/>
      <c r="K48" s="4" t="n"/>
      <c r="L48" s="4" t="n"/>
    </row>
    <row r="49" ht="22" customHeight="1">
      <c r="A49" s="100" t="n">
        <v>42</v>
      </c>
      <c r="B49" s="54" t="inlineStr">
        <is>
          <t>9. אינטגרציית מלאי ורכש (PM-MM)  -  חיוב דרישת רכש (לפק"ע)</t>
        </is>
      </c>
      <c r="C49" s="52" t="inlineStr">
        <is>
          <t>EBKN</t>
        </is>
      </c>
      <c r="D49" s="97" t="inlineStr">
        <is>
          <t>Not started</t>
        </is>
      </c>
      <c r="E49" s="54" t="inlineStr"/>
      <c r="F49" s="100" t="inlineStr"/>
      <c r="G49" s="100" t="inlineStr"/>
      <c r="H49" s="54" t="inlineStr"/>
      <c r="I49" s="101">
        <f>HYPERLINK("#'"&amp;"9. אינטגרציית מלאי ורכש (PM-MM)"&amp;"'!A18","➜ פתח")</f>
        <v/>
      </c>
      <c r="J49" s="4" t="n"/>
      <c r="K49" s="4" t="n"/>
      <c r="L49" s="4" t="n"/>
    </row>
    <row r="50" ht="22" customHeight="1">
      <c r="A50" s="96" t="n">
        <v>43</v>
      </c>
      <c r="B50" s="46" t="inlineStr">
        <is>
          <t>9. אינטגרציית מלאי ורכש (PM-MM)  -  פריטי מסמך חומר (תנועות מלאי)</t>
        </is>
      </c>
      <c r="C50" s="44" t="inlineStr">
        <is>
          <t>MSEG</t>
        </is>
      </c>
      <c r="D50" s="97" t="inlineStr">
        <is>
          <t>Not started</t>
        </is>
      </c>
      <c r="E50" s="46" t="inlineStr"/>
      <c r="F50" s="96" t="inlineStr"/>
      <c r="G50" s="96" t="inlineStr"/>
      <c r="H50" s="46" t="inlineStr"/>
      <c r="I50" s="98">
        <f>HYPERLINK("#'"&amp;"9. אינטגרציית מלאי ורכש (PM-MM)"&amp;"'!A25","➜ פתח")</f>
        <v/>
      </c>
      <c r="J50" s="4" t="n"/>
      <c r="K50" s="4" t="n"/>
      <c r="L50" s="4" t="n"/>
    </row>
    <row r="51" ht="22" customHeight="1">
      <c r="A51" s="100" t="n">
        <v>44</v>
      </c>
      <c r="B51" s="54" t="inlineStr">
        <is>
          <t>9. אינטגרציית מלאי ורכש (PM-MM)  -  כותרת מסמך חומר</t>
        </is>
      </c>
      <c r="C51" s="52" t="inlineStr">
        <is>
          <t>MKPF</t>
        </is>
      </c>
      <c r="D51" s="97" t="inlineStr">
        <is>
          <t>Not started</t>
        </is>
      </c>
      <c r="E51" s="54" t="inlineStr"/>
      <c r="F51" s="100" t="inlineStr"/>
      <c r="G51" s="100" t="inlineStr"/>
      <c r="H51" s="54" t="inlineStr"/>
      <c r="I51" s="101">
        <f>HYPERLINK("#'"&amp;"9. אינטגרציית מלאי ורכש (PM-MM)"&amp;"'!A33","➜ פתח")</f>
        <v/>
      </c>
      <c r="J51" s="4" t="n"/>
      <c r="K51" s="4" t="n"/>
      <c r="L51" s="4" t="n"/>
    </row>
    <row r="52" ht="22" customHeight="1">
      <c r="A52" s="96" t="n">
        <v>45</v>
      </c>
      <c r="B52" s="46" t="inlineStr">
        <is>
          <t>9. אינטגרציית מלאי ורכש (PM-MM)  -  רשומת אב שותף עסקי (BP - השפעת מעבר על תפקידי PM)</t>
        </is>
      </c>
      <c r="C52" s="44" t="inlineStr">
        <is>
          <t>BUT000</t>
        </is>
      </c>
      <c r="D52" s="97" t="inlineStr">
        <is>
          <t>Not started</t>
        </is>
      </c>
      <c r="E52" s="46" t="inlineStr"/>
      <c r="F52" s="96" t="inlineStr"/>
      <c r="G52" s="96" t="inlineStr"/>
      <c r="H52" s="46" t="inlineStr"/>
      <c r="I52" s="98">
        <f>HYPERLINK("#'"&amp;"9. אינטגרציית מלאי ורכש (PM-MM)"&amp;"'!A40","➜ פתח")</f>
        <v/>
      </c>
      <c r="J52" s="4" t="n"/>
      <c r="K52" s="4" t="n"/>
      <c r="L52" s="4" t="n"/>
    </row>
    <row r="53" ht="22" customHeight="1">
      <c r="A53" s="100" t="n">
        <v>46</v>
      </c>
      <c r="B53" s="54" t="inlineStr">
        <is>
          <t>10. עלויות והתחשבנות (PM-CO)  -  סך עלויות חיצוניות (Primary)</t>
        </is>
      </c>
      <c r="C53" s="52" t="inlineStr">
        <is>
          <t>COSP</t>
        </is>
      </c>
      <c r="D53" s="97" t="inlineStr">
        <is>
          <t>Not started</t>
        </is>
      </c>
      <c r="E53" s="54" t="inlineStr"/>
      <c r="F53" s="100" t="inlineStr"/>
      <c r="G53" s="100" t="inlineStr"/>
      <c r="H53" s="54" t="inlineStr"/>
      <c r="I53" s="101">
        <f>HYPERLINK("#'"&amp;"10. עלויות והתחשבנות (PM-CO)"&amp;"'!A3","➜ פתח")</f>
        <v/>
      </c>
      <c r="J53" s="4" t="n"/>
      <c r="K53" s="4" t="n"/>
      <c r="L53" s="4" t="n"/>
    </row>
    <row r="54" ht="22" customHeight="1">
      <c r="A54" s="96" t="n">
        <v>47</v>
      </c>
      <c r="B54" s="46" t="inlineStr">
        <is>
          <t>10. עלויות והתחשבנות (PM-CO)  -  סך עלויות פנימיות (Secondary)</t>
        </is>
      </c>
      <c r="C54" s="44" t="inlineStr">
        <is>
          <t>COSS</t>
        </is>
      </c>
      <c r="D54" s="97" t="inlineStr">
        <is>
          <t>Not started</t>
        </is>
      </c>
      <c r="E54" s="46" t="inlineStr"/>
      <c r="F54" s="96" t="inlineStr"/>
      <c r="G54" s="96" t="inlineStr"/>
      <c r="H54" s="46" t="inlineStr"/>
      <c r="I54" s="98">
        <f>HYPERLINK("#'"&amp;"10. עלויות והתחשבנות (PM-CO)"&amp;"'!A10","➜ פתח")</f>
        <v/>
      </c>
      <c r="J54" s="4" t="n"/>
      <c r="K54" s="4" t="n"/>
      <c r="L54" s="4" t="n"/>
    </row>
    <row r="55" ht="22" customHeight="1">
      <c r="A55" s="100" t="n">
        <v>48</v>
      </c>
      <c r="B55" s="54" t="inlineStr">
        <is>
          <t>10. עלויות והתחשבנות (PM-CO)  -  כותרת חוק התחשבנות</t>
        </is>
      </c>
      <c r="C55" s="52" t="inlineStr">
        <is>
          <t>COBRA</t>
        </is>
      </c>
      <c r="D55" s="97" t="inlineStr">
        <is>
          <t>Not started</t>
        </is>
      </c>
      <c r="E55" s="54" t="inlineStr"/>
      <c r="F55" s="100" t="inlineStr"/>
      <c r="G55" s="100" t="inlineStr"/>
      <c r="H55" s="54" t="inlineStr"/>
      <c r="I55" s="101">
        <f>HYPERLINK("#'"&amp;"10. עלויות והתחשבנות (PM-CO)"&amp;"'!A17","➜ פתח")</f>
        <v/>
      </c>
      <c r="J55" s="4" t="n"/>
      <c r="K55" s="4" t="n"/>
      <c r="L55" s="4" t="n"/>
    </row>
    <row r="56" ht="22" customHeight="1">
      <c r="A56" s="96" t="n">
        <v>49</v>
      </c>
      <c r="B56" s="46" t="inlineStr">
        <is>
          <t>10. עלויות והתחשבנות (PM-CO)  -  פריטי חוק התחשבנות (חוקי חלוקה)</t>
        </is>
      </c>
      <c r="C56" s="44" t="inlineStr">
        <is>
          <t>COBRB</t>
        </is>
      </c>
      <c r="D56" s="97" t="inlineStr">
        <is>
          <t>Not started</t>
        </is>
      </c>
      <c r="E56" s="46" t="inlineStr"/>
      <c r="F56" s="96" t="inlineStr"/>
      <c r="G56" s="96" t="inlineStr"/>
      <c r="H56" s="46" t="inlineStr"/>
      <c r="I56" s="98">
        <f>HYPERLINK("#'"&amp;"10. עלויות והתחשבנות (PM-CO)"&amp;"'!A23","➜ פתח")</f>
        <v/>
      </c>
      <c r="J56" s="4" t="n"/>
      <c r="K56" s="4" t="n"/>
      <c r="L56" s="4" t="n"/>
    </row>
    <row r="57" ht="22" customHeight="1">
      <c r="A57" s="100" t="n">
        <v>50</v>
      </c>
      <c r="B57" s="54" t="inlineStr">
        <is>
          <t>11. אחזקה מונעת ותוכניות  -  כותרת רשימת פעולות אחזקה</t>
        </is>
      </c>
      <c r="C57" s="52" t="inlineStr">
        <is>
          <t>PLKO</t>
        </is>
      </c>
      <c r="D57" s="97" t="inlineStr">
        <is>
          <t>Not started</t>
        </is>
      </c>
      <c r="E57" s="54" t="inlineStr"/>
      <c r="F57" s="100" t="inlineStr"/>
      <c r="G57" s="100" t="inlineStr"/>
      <c r="H57" s="54" t="inlineStr"/>
      <c r="I57" s="101">
        <f>HYPERLINK("#'"&amp;"11. אחזקה מונעת ותוכניות"&amp;"'!A3","➜ פתח")</f>
        <v/>
      </c>
      <c r="J57" s="4" t="n"/>
      <c r="K57" s="4" t="n"/>
      <c r="L57" s="4" t="n"/>
    </row>
    <row r="58" ht="22" customHeight="1">
      <c r="A58" s="96" t="n">
        <v>51</v>
      </c>
      <c r="B58" s="46" t="inlineStr">
        <is>
          <t>11. אחזקה מונעת ותוכניות  -  פעולות ברשימת פעולות</t>
        </is>
      </c>
      <c r="C58" s="44" t="inlineStr">
        <is>
          <t>PLPO</t>
        </is>
      </c>
      <c r="D58" s="97" t="inlineStr">
        <is>
          <t>Not started</t>
        </is>
      </c>
      <c r="E58" s="46" t="inlineStr"/>
      <c r="F58" s="96" t="inlineStr"/>
      <c r="G58" s="96" t="inlineStr"/>
      <c r="H58" s="46" t="inlineStr"/>
      <c r="I58" s="98">
        <f>HYPERLINK("#'"&amp;"11. אחזקה מונעת ותוכניות"&amp;"'!A10","➜ פתח")</f>
        <v/>
      </c>
      <c r="J58" s="4" t="n"/>
      <c r="K58" s="4" t="n"/>
      <c r="L58" s="4" t="n"/>
    </row>
    <row r="59" ht="22" customHeight="1">
      <c r="A59" s="100" t="n">
        <v>52</v>
      </c>
      <c r="B59" s="54" t="inlineStr">
        <is>
          <t>11. אחזקה מונעת ותוכניות  -  כותרת תכנית אחזקה ונתוני תזמון</t>
        </is>
      </c>
      <c r="C59" s="52" t="inlineStr">
        <is>
          <t>MPLA</t>
        </is>
      </c>
      <c r="D59" s="97" t="inlineStr">
        <is>
          <t>Not started</t>
        </is>
      </c>
      <c r="E59" s="54" t="inlineStr"/>
      <c r="F59" s="100" t="inlineStr"/>
      <c r="G59" s="100" t="inlineStr"/>
      <c r="H59" s="54" t="inlineStr"/>
      <c r="I59" s="101">
        <f>HYPERLINK("#'"&amp;"11. אחזקה מונעת ותוכניות"&amp;"'!A18","➜ פתח")</f>
        <v/>
      </c>
      <c r="J59" s="4" t="n"/>
      <c r="K59" s="4" t="n"/>
      <c r="L59" s="4" t="n"/>
    </row>
    <row r="60" ht="22" customHeight="1">
      <c r="A60" s="96" t="n">
        <v>53</v>
      </c>
      <c r="B60" s="46" t="inlineStr">
        <is>
          <t>11. אחזקה מונעת ותוכניות  -  פריט תכנית אחזקה</t>
        </is>
      </c>
      <c r="C60" s="44" t="inlineStr">
        <is>
          <t>MPOS</t>
        </is>
      </c>
      <c r="D60" s="97" t="inlineStr">
        <is>
          <t>Not started</t>
        </is>
      </c>
      <c r="E60" s="46" t="inlineStr"/>
      <c r="F60" s="96" t="inlineStr"/>
      <c r="G60" s="96" t="inlineStr"/>
      <c r="H60" s="46" t="inlineStr"/>
      <c r="I60" s="98">
        <f>HYPERLINK("#'"&amp;"11. אחזקה מונעת ותוכניות"&amp;"'!A25","➜ פתח")</f>
        <v/>
      </c>
      <c r="J60" s="4" t="n"/>
      <c r="K60" s="4" t="n"/>
      <c r="L60" s="4" t="n"/>
    </row>
    <row r="61" ht="22" customHeight="1">
      <c r="A61" s="100" t="n">
        <v>54</v>
      </c>
      <c r="B61" s="54" t="inlineStr">
        <is>
          <t>11. אחזקה מונעת ותוכניות  -  אובייקטי קריאת תכנית האחזקה</t>
        </is>
      </c>
      <c r="C61" s="52" t="inlineStr">
        <is>
          <t>MHIO</t>
        </is>
      </c>
      <c r="D61" s="97" t="inlineStr">
        <is>
          <t>Not started</t>
        </is>
      </c>
      <c r="E61" s="54" t="inlineStr"/>
      <c r="F61" s="100" t="inlineStr"/>
      <c r="G61" s="100" t="inlineStr"/>
      <c r="H61" s="54" t="inlineStr"/>
      <c r="I61" s="101">
        <f>HYPERLINK("#'"&amp;"11. אחזקה מונעת ותוכניות"&amp;"'!A33","➜ פתח")</f>
        <v/>
      </c>
      <c r="J61" s="4" t="n"/>
      <c r="K61" s="4" t="n"/>
      <c r="L61" s="4" t="n"/>
    </row>
    <row r="62" ht="22" customHeight="1">
      <c r="A62" s="96" t="n">
        <v>55</v>
      </c>
      <c r="B62" s="46" t="inlineStr">
        <is>
          <t>11. אחזקה מונעת ותוכניות  -  היסטוריית תזמון תכנית אחזקה</t>
        </is>
      </c>
      <c r="C62" s="44" t="inlineStr">
        <is>
          <t>MHIS</t>
        </is>
      </c>
      <c r="D62" s="97" t="inlineStr">
        <is>
          <t>Not started</t>
        </is>
      </c>
      <c r="E62" s="46" t="inlineStr"/>
      <c r="F62" s="96" t="inlineStr"/>
      <c r="G62" s="96" t="inlineStr"/>
      <c r="H62" s="46" t="inlineStr"/>
      <c r="I62" s="98">
        <f>HYPERLINK("#'"&amp;"11. אחזקה מונעת ותוכניות"&amp;"'!A40","➜ פתח")</f>
        <v/>
      </c>
      <c r="J62" s="4" t="n"/>
      <c r="K62" s="4" t="n"/>
      <c r="L62" s="4" t="n"/>
    </row>
    <row r="63" ht="22" customHeight="1">
      <c r="A63" s="100" t="n">
        <v>56</v>
      </c>
      <c r="B63" s="54" t="inlineStr">
        <is>
          <t>12. היסטוריה וארכיון  -  הודעות (כולל היסטוריות) לניתוח אמינות</t>
        </is>
      </c>
      <c r="C63" s="52" t="inlineStr">
        <is>
          <t>QMEL</t>
        </is>
      </c>
      <c r="D63" s="97" t="inlineStr">
        <is>
          <t>Not started</t>
        </is>
      </c>
      <c r="E63" s="54" t="inlineStr"/>
      <c r="F63" s="100" t="inlineStr"/>
      <c r="G63" s="100" t="inlineStr"/>
      <c r="H63" s="54" t="inlineStr"/>
      <c r="I63" s="101">
        <f>HYPERLINK("#'"&amp;"12. היסטוריה וארכיון"&amp;"'!A3","➜ פתח")</f>
        <v/>
      </c>
      <c r="J63" s="4" t="n"/>
      <c r="K63" s="4" t="n"/>
      <c r="L63" s="4" t="n"/>
    </row>
    <row r="64" ht="22" customHeight="1">
      <c r="A64" s="96" t="n">
        <v>57</v>
      </c>
      <c r="B64" s="46" t="inlineStr">
        <is>
          <t>12. היסטוריה וארכיון  -  פקודות (כולל היסטוריות) לניתוח עלות</t>
        </is>
      </c>
      <c r="C64" s="44" t="inlineStr">
        <is>
          <t>AUFK</t>
        </is>
      </c>
      <c r="D64" s="97" t="inlineStr">
        <is>
          <t>Not started</t>
        </is>
      </c>
      <c r="E64" s="46" t="inlineStr"/>
      <c r="F64" s="96" t="inlineStr"/>
      <c r="G64" s="96" t="inlineStr"/>
      <c r="H64" s="46" t="inlineStr"/>
      <c r="I64" s="98">
        <f>HYPERLINK("#'"&amp;"12. היסטוריה וארכיון"&amp;"'!A10","➜ פתח")</f>
        <v/>
      </c>
      <c r="J64" s="4" t="n"/>
      <c r="K64" s="4" t="n"/>
      <c r="L64" s="4" t="n"/>
    </row>
    <row r="65" ht="22" customHeight="1">
      <c r="A65" s="100" t="n">
        <v>58</v>
      </c>
      <c r="B65" s="54" t="inlineStr">
        <is>
          <t>12. היסטוריה וארכיון  -  ריצות ארכוב נתונים</t>
        </is>
      </c>
      <c r="C65" s="52" t="inlineStr">
        <is>
          <t>ADMI_RUN</t>
        </is>
      </c>
      <c r="D65" s="97" t="inlineStr">
        <is>
          <t>Not started</t>
        </is>
      </c>
      <c r="E65" s="54" t="inlineStr"/>
      <c r="F65" s="100" t="inlineStr"/>
      <c r="G65" s="100" t="inlineStr"/>
      <c r="H65" s="54" t="inlineStr"/>
      <c r="I65" s="101">
        <f>HYPERLINK("#'"&amp;"12. היסטוריה וארכיון"&amp;"'!A17","➜ פתח")</f>
        <v/>
      </c>
      <c r="J65" s="4" t="n"/>
      <c r="K65" s="4" t="n"/>
      <c r="L65" s="4" t="n"/>
    </row>
  </sheetData>
  <mergeCells count="3">
    <mergeCell ref="C1:I1"/>
    <mergeCell ref="B2:I2"/>
    <mergeCell ref="A1:B1"/>
  </mergeCells>
  <conditionalFormatting sqref="D8:D65">
    <cfRule type="cellIs" priority="1" operator="equal" dxfId="0">
      <formula>"Not started"</formula>
    </cfRule>
    <cfRule type="cellIs" priority="2" operator="equal" dxfId="1">
      <formula>"In analysis"</formula>
    </cfRule>
    <cfRule type="cellIs" priority="3" operator="equal" dxfId="2">
      <formula>"In conversion"</formula>
    </cfRule>
    <cfRule type="cellIs" priority="4" operator="equal" dxfId="3">
      <formula>"Tested"</formula>
    </cfRule>
    <cfRule type="cellIs" priority="5" operator="equal" dxfId="4">
      <formula>"Done"</formula>
    </cfRule>
  </conditionalFormatting>
  <dataValidations count="1">
    <dataValidation sqref="D8:D65" showDropDown="0" showInputMessage="0" showErrorMessage="0" allowBlank="1" error="בחר סטטוס מהרשימה" prompt="בחר סטטוס מעבר" type="list">
      <formula1>"Not started,In analysis,In conversion,Tested,Done"</formula1>
    </dataValidation>
  </dataValidation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8A9EA7"/>
    <outlinePr summaryBelow="1" summaryRight="1"/>
    <pageSetUpPr fitToPage="1"/>
  </sheetPr>
  <dimension ref="A1:I48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2" customWidth="1" min="4" max="4"/>
    <col width="34" customWidth="1" min="5" max="5"/>
    <col width="16" customWidth="1" min="6" max="6"/>
    <col width="30" customWidth="1" min="7" max="7"/>
    <col width="14" customWidth="1" min="8" max="8"/>
    <col width="22" customWidth="1" min="9" max="9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Custom Code Check  -  User Exits / BAdIs  ·  CBC NEO</t>
        </is>
      </c>
      <c r="D1" s="4" t="n"/>
      <c r="E1" s="4" t="n"/>
      <c r="F1" s="4" t="n"/>
      <c r="G1" s="4" t="n"/>
      <c r="H1" s="4" t="n"/>
      <c r="I1" s="4" t="n"/>
    </row>
    <row r="2" ht="28" customHeight="1">
      <c r="A2" s="73" t="inlineStr">
        <is>
          <t>מס' (#)</t>
        </is>
      </c>
      <c r="B2" s="73" t="inlineStr">
        <is>
          <t>מודול / נושא</t>
        </is>
      </c>
      <c r="C2" s="73" t="inlineStr">
        <is>
          <t>סוג (Type)</t>
        </is>
      </c>
      <c r="D2" s="73" t="inlineStr">
        <is>
          <t>קוד / שם טכני</t>
        </is>
      </c>
      <c r="E2" s="73" t="inlineStr">
        <is>
          <t>תיאור (Hebrew)</t>
        </is>
      </c>
      <c r="F2" s="73" t="inlineStr">
        <is>
          <t>סטטוס בדיקה</t>
        </is>
      </c>
      <c r="G2" s="73" t="inlineStr">
        <is>
          <t>המלצת מעבר ל-S/4</t>
        </is>
      </c>
      <c r="H2" s="73" t="inlineStr">
        <is>
          <t>אחראי (Owner)</t>
        </is>
      </c>
      <c r="I2" s="73" t="inlineStr">
        <is>
          <t>הערות</t>
        </is>
      </c>
    </row>
    <row r="3" ht="26" customHeight="1">
      <c r="A3" s="96" t="n">
        <v>1</v>
      </c>
      <c r="B3" s="46" t="inlineStr">
        <is>
          <t>1. מבנה ארגוני ותשתית</t>
        </is>
      </c>
      <c r="C3" s="96" t="inlineStr">
        <is>
          <t>User Exit</t>
        </is>
      </c>
      <c r="D3" s="102" t="inlineStr">
        <is>
          <t>ITOB0001</t>
        </is>
      </c>
      <c r="E3" s="46" t="inlineStr">
        <is>
          <t>הרחבת לקוח לאובייקטים טכניים (מיקום/ציוד) - שדות נוספים ובדיקות</t>
        </is>
      </c>
      <c r="F3" s="97" t="inlineStr">
        <is>
          <t>To review</t>
        </is>
      </c>
      <c r="G3" s="46" t="inlineStr">
        <is>
          <t>בדוק ב-Custom Code Migration (SCMON/ATC); שקול מעבר ל-BAdI/Enhancement Spot מודרני.</t>
        </is>
      </c>
      <c r="H3" s="96" t="inlineStr"/>
      <c r="I3" s="46" t="inlineStr"/>
    </row>
    <row r="4" ht="26" customHeight="1">
      <c r="A4" s="100" t="n">
        <v>2</v>
      </c>
      <c r="B4" s="54" t="inlineStr">
        <is>
          <t>1. מבנה ארגוני ותשתית</t>
        </is>
      </c>
      <c r="C4" s="100" t="inlineStr">
        <is>
          <t>User Exit</t>
        </is>
      </c>
      <c r="D4" s="103" t="inlineStr">
        <is>
          <t>IBIP0001</t>
        </is>
      </c>
      <c r="E4" s="54" t="inlineStr">
        <is>
          <t>ממשק יצירה אצווה (Batch Input/Direct Input) לאובייקטים טכניים</t>
        </is>
      </c>
      <c r="F4" s="97" t="inlineStr">
        <is>
          <t>To review</t>
        </is>
      </c>
      <c r="G4" s="54" t="inlineStr">
        <is>
          <t>בדוק ב-Custom Code Migration (SCMON/ATC); שקול מעבר ל-BAdI/Enhancement Spot מודרני.</t>
        </is>
      </c>
      <c r="H4" s="100" t="inlineStr"/>
      <c r="I4" s="54" t="inlineStr"/>
    </row>
    <row r="5" ht="26" customHeight="1">
      <c r="A5" s="96" t="n">
        <v>3</v>
      </c>
      <c r="B5" s="46" t="inlineStr">
        <is>
          <t>1. מבנה ארגוני ותשתית</t>
        </is>
      </c>
      <c r="C5" s="96" t="inlineStr">
        <is>
          <t>BAdI</t>
        </is>
      </c>
      <c r="D5" s="102" t="inlineStr">
        <is>
          <t>BADI_EAM_TECHNICAL_OBJECT</t>
        </is>
      </c>
      <c r="E5" s="46" t="inlineStr">
        <is>
          <t>BAdI מרכזי להרחבת לוגיקת אובייקטים טכניים ב-S/4HANA</t>
        </is>
      </c>
      <c r="F5" s="97" t="inlineStr">
        <is>
          <t>To review</t>
        </is>
      </c>
      <c r="G5" s="46" t="inlineStr">
        <is>
          <t>אמת תאימות ה-BAdI ב-S/4 (SPAU_ENH); ודא חתימה ומימוש אקטיבי לאחר השדרוג.</t>
        </is>
      </c>
      <c r="H5" s="96" t="inlineStr"/>
      <c r="I5" s="46" t="inlineStr"/>
    </row>
    <row r="6" ht="26" customHeight="1">
      <c r="A6" s="100" t="n">
        <v>4</v>
      </c>
      <c r="B6" s="54" t="inlineStr">
        <is>
          <t>1. מבנה ארגוני ותשתית</t>
        </is>
      </c>
      <c r="C6" s="100" t="inlineStr">
        <is>
          <t>BAdI</t>
        </is>
      </c>
      <c r="D6" s="103" t="inlineStr">
        <is>
          <t>BADI_EAM_SINGLE_LEVEL_LIST</t>
        </is>
      </c>
      <c r="E6" s="54" t="inlineStr">
        <is>
          <t>התאמת רשימות אובייקטים חד-רמתיות (IH06/IH08)</t>
        </is>
      </c>
      <c r="F6" s="97" t="inlineStr">
        <is>
          <t>To review</t>
        </is>
      </c>
      <c r="G6" s="54" t="inlineStr">
        <is>
          <t>אמת תאימות ה-BAdI ב-S/4 (SPAU_ENH); ודא חתימה ומימוש אקטיבי לאחר השדרוג.</t>
        </is>
      </c>
      <c r="H6" s="100" t="inlineStr"/>
      <c r="I6" s="54" t="inlineStr"/>
    </row>
    <row r="7" ht="26" customHeight="1">
      <c r="A7" s="96" t="n">
        <v>5</v>
      </c>
      <c r="B7" s="46" t="inlineStr">
        <is>
          <t>2. ציוד ונתוני מאסטר</t>
        </is>
      </c>
      <c r="C7" s="96" t="inlineStr">
        <is>
          <t>User Exit</t>
        </is>
      </c>
      <c r="D7" s="102" t="inlineStr">
        <is>
          <t>IEQM0001</t>
        </is>
      </c>
      <c r="E7" s="46" t="inlineStr">
        <is>
          <t>בדיקות והרחבת שדות בעת יצירת/שינוי ציוד</t>
        </is>
      </c>
      <c r="F7" s="97" t="inlineStr">
        <is>
          <t>To review</t>
        </is>
      </c>
      <c r="G7" s="46" t="inlineStr">
        <is>
          <t>בדוק ב-Custom Code Migration (SCMON/ATC); שקול מעבר ל-BAdI/Enhancement Spot מודרני.</t>
        </is>
      </c>
      <c r="H7" s="96" t="inlineStr"/>
      <c r="I7" s="46" t="inlineStr"/>
    </row>
    <row r="8" ht="26" customHeight="1">
      <c r="A8" s="100" t="n">
        <v>6</v>
      </c>
      <c r="B8" s="54" t="inlineStr">
        <is>
          <t>2. ציוד ונתוני מאסטר</t>
        </is>
      </c>
      <c r="C8" s="100" t="inlineStr">
        <is>
          <t>User Exit</t>
        </is>
      </c>
      <c r="D8" s="103" t="inlineStr">
        <is>
          <t>IEQM0003</t>
        </is>
      </c>
      <c r="E8" s="54" t="inlineStr">
        <is>
          <t>ברירות מחדל וקביעת ערכים אוטומטית לציוד</t>
        </is>
      </c>
      <c r="F8" s="97" t="inlineStr">
        <is>
          <t>To review</t>
        </is>
      </c>
      <c r="G8" s="54" t="inlineStr">
        <is>
          <t>בדוק ב-Custom Code Migration (SCMON/ATC); שקול מעבר ל-BAdI/Enhancement Spot מודרני.</t>
        </is>
      </c>
      <c r="H8" s="100" t="inlineStr"/>
      <c r="I8" s="54" t="inlineStr"/>
    </row>
    <row r="9" ht="26" customHeight="1">
      <c r="A9" s="96" t="n">
        <v>7</v>
      </c>
      <c r="B9" s="46" t="inlineStr">
        <is>
          <t>2. ציוד ונתוני מאסטר</t>
        </is>
      </c>
      <c r="C9" s="96" t="inlineStr">
        <is>
          <t>User Exit</t>
        </is>
      </c>
      <c r="D9" s="102" t="inlineStr">
        <is>
          <t>ISER0001</t>
        </is>
      </c>
      <c r="E9" s="46" t="inlineStr">
        <is>
          <t>הרחבת לוגיקת מספרים סידוריים (Serialization)</t>
        </is>
      </c>
      <c r="F9" s="97" t="inlineStr">
        <is>
          <t>To review</t>
        </is>
      </c>
      <c r="G9" s="46" t="inlineStr">
        <is>
          <t>בדוק ב-Custom Code Migration (SCMON/ATC); שקול מעבר ל-BAdI/Enhancement Spot מודרני.</t>
        </is>
      </c>
      <c r="H9" s="96" t="inlineStr"/>
      <c r="I9" s="46" t="inlineStr"/>
    </row>
    <row r="10" ht="26" customHeight="1">
      <c r="A10" s="100" t="n">
        <v>8</v>
      </c>
      <c r="B10" s="54" t="inlineStr">
        <is>
          <t>2. ציוד ונתוני מאסטר</t>
        </is>
      </c>
      <c r="C10" s="100" t="inlineStr">
        <is>
          <t>BAdI</t>
        </is>
      </c>
      <c r="D10" s="103" t="inlineStr">
        <is>
          <t>BADI_EAM_TECHNICAL_OBJECT</t>
        </is>
      </c>
      <c r="E10" s="54" t="inlineStr">
        <is>
          <t>הרחבת לוגיקת ציוד/אובייקט טכני ב-S/4HANA</t>
        </is>
      </c>
      <c r="F10" s="97" t="inlineStr">
        <is>
          <t>To review</t>
        </is>
      </c>
      <c r="G10" s="54" t="inlineStr">
        <is>
          <t>אמת תאימות ה-BAdI ב-S/4 (SPAU_ENH); ודא חתימה ומימוש אקטיבי לאחר השדרוג.</t>
        </is>
      </c>
      <c r="H10" s="100" t="inlineStr"/>
      <c r="I10" s="54" t="inlineStr"/>
    </row>
    <row r="11" ht="26" customHeight="1">
      <c r="A11" s="96" t="n">
        <v>9</v>
      </c>
      <c r="B11" s="46" t="inlineStr">
        <is>
          <t>2. ציוד ונתוני מאסטר</t>
        </is>
      </c>
      <c r="C11" s="96" t="inlineStr">
        <is>
          <t>BAdI</t>
        </is>
      </c>
      <c r="D11" s="102" t="inlineStr">
        <is>
          <t>EAM_SERNR_ADD_DATA</t>
        </is>
      </c>
      <c r="E11" s="46" t="inlineStr">
        <is>
          <t>הרחבת נתוני מספר סידורי (אמת שם מדויק ב-SE18)</t>
        </is>
      </c>
      <c r="F11" s="97" t="inlineStr">
        <is>
          <t>To review</t>
        </is>
      </c>
      <c r="G11" s="46" t="inlineStr">
        <is>
          <t>אמת תאימות ה-BAdI ב-S/4 (SPAU_ENH); ודא חתימה ומימוש אקטיבי לאחר השדרוג.</t>
        </is>
      </c>
      <c r="H11" s="96" t="inlineStr"/>
      <c r="I11" s="46" t="inlineStr"/>
    </row>
    <row r="12" ht="26" customHeight="1">
      <c r="A12" s="100" t="n">
        <v>10</v>
      </c>
      <c r="B12" s="54" t="inlineStr">
        <is>
          <t>3. עצי מוצר של אחזקה (BOM)</t>
        </is>
      </c>
      <c r="C12" s="100" t="inlineStr">
        <is>
          <t>User Exit</t>
        </is>
      </c>
      <c r="D12" s="103" t="inlineStr">
        <is>
          <t>PCSD0001</t>
        </is>
      </c>
      <c r="E12" s="54" t="inlineStr">
        <is>
          <t>הרחבת לקוח לעצי מוצר (BOM) - בדיקות פריטים</t>
        </is>
      </c>
      <c r="F12" s="97" t="inlineStr">
        <is>
          <t>To review</t>
        </is>
      </c>
      <c r="G12" s="54" t="inlineStr">
        <is>
          <t>בדוק ב-Custom Code Migration (SCMON/ATC); שקול מעבר ל-BAdI/Enhancement Spot מודרני.</t>
        </is>
      </c>
      <c r="H12" s="100" t="inlineStr"/>
      <c r="I12" s="54" t="inlineStr"/>
    </row>
    <row r="13" ht="26" customHeight="1">
      <c r="A13" s="96" t="n">
        <v>11</v>
      </c>
      <c r="B13" s="46" t="inlineStr">
        <is>
          <t>3. עצי מוצר של אחזקה (BOM)</t>
        </is>
      </c>
      <c r="C13" s="96" t="inlineStr">
        <is>
          <t>User Exit</t>
        </is>
      </c>
      <c r="D13" s="102" t="inlineStr">
        <is>
          <t>PCSD0002</t>
        </is>
      </c>
      <c r="E13" s="46" t="inlineStr">
        <is>
          <t>ברירות מחדל לפריטי עץ מוצר</t>
        </is>
      </c>
      <c r="F13" s="97" t="inlineStr">
        <is>
          <t>To review</t>
        </is>
      </c>
      <c r="G13" s="46" t="inlineStr">
        <is>
          <t>בדוק ב-Custom Code Migration (SCMON/ATC); שקול מעבר ל-BAdI/Enhancement Spot מודרני.</t>
        </is>
      </c>
      <c r="H13" s="96" t="inlineStr"/>
      <c r="I13" s="46" t="inlineStr"/>
    </row>
    <row r="14" ht="26" customHeight="1">
      <c r="A14" s="100" t="n">
        <v>12</v>
      </c>
      <c r="B14" s="54" t="inlineStr">
        <is>
          <t>3. עצי מוצר של אחזקה (BOM)</t>
        </is>
      </c>
      <c r="C14" s="100" t="inlineStr">
        <is>
          <t>BAdI</t>
        </is>
      </c>
      <c r="D14" s="103" t="inlineStr">
        <is>
          <t>BOM_UPDATE</t>
        </is>
      </c>
      <c r="E14" s="54" t="inlineStr">
        <is>
          <t>BAdI לעדכון/בדיקת עצי מוצר (אמת ב-SE18)</t>
        </is>
      </c>
      <c r="F14" s="97" t="inlineStr">
        <is>
          <t>To review</t>
        </is>
      </c>
      <c r="G14" s="54" t="inlineStr">
        <is>
          <t>אמת תאימות ה-BAdI ב-S/4 (SPAU_ENH); ודא חתימה ומימוש אקטיבי לאחר השדרוג.</t>
        </is>
      </c>
      <c r="H14" s="100" t="inlineStr"/>
      <c r="I14" s="54" t="inlineStr"/>
    </row>
    <row r="15" ht="26" customHeight="1">
      <c r="A15" s="96" t="n">
        <v>13</v>
      </c>
      <c r="B15" s="46" t="inlineStr">
        <is>
          <t>3. עצי מוצר של אחזקה (BOM)</t>
        </is>
      </c>
      <c r="C15" s="96" t="inlineStr">
        <is>
          <t>BAdI</t>
        </is>
      </c>
      <c r="D15" s="102" t="inlineStr">
        <is>
          <t>BADI_EAM_TECHNICAL_OBJECT</t>
        </is>
      </c>
      <c r="E15" s="46" t="inlineStr">
        <is>
          <t>שיוך BOM לאובייקט טכני ב-S/4</t>
        </is>
      </c>
      <c r="F15" s="97" t="inlineStr">
        <is>
          <t>To review</t>
        </is>
      </c>
      <c r="G15" s="46" t="inlineStr">
        <is>
          <t>אמת תאימות ה-BAdI ב-S/4 (SPAU_ENH); ודא חתימה ומימוש אקטיבי לאחר השדרוג.</t>
        </is>
      </c>
      <c r="H15" s="96" t="inlineStr"/>
      <c r="I15" s="46" t="inlineStr"/>
    </row>
    <row r="16" ht="26" customHeight="1">
      <c r="A16" s="100" t="n">
        <v>14</v>
      </c>
      <c r="B16" s="54" t="inlineStr">
        <is>
          <t>4. נקודות מדידה ומונים</t>
        </is>
      </c>
      <c r="C16" s="100" t="inlineStr">
        <is>
          <t>User Exit</t>
        </is>
      </c>
      <c r="D16" s="103" t="inlineStr">
        <is>
          <t>IMRC0001</t>
        </is>
      </c>
      <c r="E16" s="54" t="inlineStr">
        <is>
          <t>הרחבת בדיקות בעת קליטת מסמך מדידה</t>
        </is>
      </c>
      <c r="F16" s="97" t="inlineStr">
        <is>
          <t>To review</t>
        </is>
      </c>
      <c r="G16" s="54" t="inlineStr">
        <is>
          <t>בדוק ב-Custom Code Migration (SCMON/ATC); שקול מעבר ל-BAdI/Enhancement Spot מודרני.</t>
        </is>
      </c>
      <c r="H16" s="100" t="inlineStr"/>
      <c r="I16" s="54" t="inlineStr"/>
    </row>
    <row r="17" ht="26" customHeight="1">
      <c r="A17" s="96" t="n">
        <v>15</v>
      </c>
      <c r="B17" s="46" t="inlineStr">
        <is>
          <t>4. נקודות מדידה ומונים</t>
        </is>
      </c>
      <c r="C17" s="96" t="inlineStr">
        <is>
          <t>User Exit</t>
        </is>
      </c>
      <c r="D17" s="102" t="inlineStr">
        <is>
          <t>IMRC0002</t>
        </is>
      </c>
      <c r="E17" s="46" t="inlineStr">
        <is>
          <t>לוגיקת העברת קריאות ומונים</t>
        </is>
      </c>
      <c r="F17" s="97" t="inlineStr">
        <is>
          <t>To review</t>
        </is>
      </c>
      <c r="G17" s="46" t="inlineStr">
        <is>
          <t>בדוק ב-Custom Code Migration (SCMON/ATC); שקול מעבר ל-BAdI/Enhancement Spot מודרני.</t>
        </is>
      </c>
      <c r="H17" s="96" t="inlineStr"/>
      <c r="I17" s="46" t="inlineStr"/>
    </row>
    <row r="18" ht="26" customHeight="1">
      <c r="A18" s="100" t="n">
        <v>16</v>
      </c>
      <c r="B18" s="54" t="inlineStr">
        <is>
          <t>4. נקודות מדידה ומונים</t>
        </is>
      </c>
      <c r="C18" s="100" t="inlineStr">
        <is>
          <t>BAdI</t>
        </is>
      </c>
      <c r="D18" s="103" t="inlineStr">
        <is>
          <t>BADI_EAM_MEASPOINT</t>
        </is>
      </c>
      <c r="E18" s="54" t="inlineStr">
        <is>
          <t>הרחבת נקודות מדידה/מסמכי מדידה (אמת שם ב-SE18)</t>
        </is>
      </c>
      <c r="F18" s="97" t="inlineStr">
        <is>
          <t>To review</t>
        </is>
      </c>
      <c r="G18" s="54" t="inlineStr">
        <is>
          <t>אמת תאימות ה-BAdI ב-S/4 (SPAU_ENH); ודא חתימה ומימוש אקטיבי לאחר השדרוג.</t>
        </is>
      </c>
      <c r="H18" s="100" t="inlineStr"/>
      <c r="I18" s="54" t="inlineStr"/>
    </row>
    <row r="19" ht="26" customHeight="1">
      <c r="A19" s="96" t="n">
        <v>17</v>
      </c>
      <c r="B19" s="46" t="inlineStr">
        <is>
          <t>5. קטלוגים, קודים ופרופילים</t>
        </is>
      </c>
      <c r="C19" s="96" t="inlineStr">
        <is>
          <t>User Exit</t>
        </is>
      </c>
      <c r="D19" s="102" t="inlineStr">
        <is>
          <t>QQMA0001</t>
        </is>
      </c>
      <c r="E19" s="46" t="inlineStr">
        <is>
          <t>בדיקות כלליות בקטלוגים/קודים (משותף QM-PM)</t>
        </is>
      </c>
      <c r="F19" s="97" t="inlineStr">
        <is>
          <t>To review</t>
        </is>
      </c>
      <c r="G19" s="46" t="inlineStr">
        <is>
          <t>בדוק ב-Custom Code Migration (SCMON/ATC); שקול מעבר ל-BAdI/Enhancement Spot מודרני.</t>
        </is>
      </c>
      <c r="H19" s="96" t="inlineStr"/>
      <c r="I19" s="46" t="inlineStr"/>
    </row>
    <row r="20" ht="26" customHeight="1">
      <c r="A20" s="100" t="n">
        <v>18</v>
      </c>
      <c r="B20" s="54" t="inlineStr">
        <is>
          <t>5. קטלוגים, קודים ופרופילים</t>
        </is>
      </c>
      <c r="C20" s="100" t="inlineStr">
        <is>
          <t>BAdI</t>
        </is>
      </c>
      <c r="D20" s="103" t="inlineStr">
        <is>
          <t>BADI_CATALOG</t>
        </is>
      </c>
      <c r="E20" s="54" t="inlineStr">
        <is>
          <t>הרחבת לוגיקת קטלוגים (אמת שם ב-SE18)</t>
        </is>
      </c>
      <c r="F20" s="97" t="inlineStr">
        <is>
          <t>To review</t>
        </is>
      </c>
      <c r="G20" s="54" t="inlineStr">
        <is>
          <t>אמת תאימות ה-BAdI ב-S/4 (SPAU_ENH); ודא חתימה ומימוש אקטיבי לאחר השדרוג.</t>
        </is>
      </c>
      <c r="H20" s="100" t="inlineStr"/>
      <c r="I20" s="54" t="inlineStr"/>
    </row>
    <row r="21" ht="26" customHeight="1">
      <c r="A21" s="96" t="n">
        <v>19</v>
      </c>
      <c r="B21" s="46" t="inlineStr">
        <is>
          <t>6. הודעות אחזקה (Notifications)</t>
        </is>
      </c>
      <c r="C21" s="96" t="inlineStr">
        <is>
          <t>User Exit</t>
        </is>
      </c>
      <c r="D21" s="102" t="inlineStr">
        <is>
          <t>QQMA0014</t>
        </is>
      </c>
      <c r="E21" s="46" t="inlineStr">
        <is>
          <t>בדיקת לקוח לפני שמירת הודעה (Check before save)</t>
        </is>
      </c>
      <c r="F21" s="97" t="inlineStr">
        <is>
          <t>To review</t>
        </is>
      </c>
      <c r="G21" s="46" t="inlineStr">
        <is>
          <t>בדוק ב-Custom Code Migration (SCMON/ATC); שקול מעבר ל-BAdI/Enhancement Spot מודרני.</t>
        </is>
      </c>
      <c r="H21" s="96" t="inlineStr"/>
      <c r="I21" s="46" t="inlineStr"/>
    </row>
    <row r="22" ht="26" customHeight="1">
      <c r="A22" s="100" t="n">
        <v>20</v>
      </c>
      <c r="B22" s="54" t="inlineStr">
        <is>
          <t>6. הודעות אחזקה (Notifications)</t>
        </is>
      </c>
      <c r="C22" s="100" t="inlineStr">
        <is>
          <t>User Exit</t>
        </is>
      </c>
      <c r="D22" s="103" t="inlineStr">
        <is>
          <t>QQMA0010</t>
        </is>
      </c>
      <c r="E22" s="54" t="inlineStr">
        <is>
          <t>הרחבת שדות וברירות מחדל בכותרת ההודעה</t>
        </is>
      </c>
      <c r="F22" s="97" t="inlineStr">
        <is>
          <t>To review</t>
        </is>
      </c>
      <c r="G22" s="54" t="inlineStr">
        <is>
          <t>בדוק ב-Custom Code Migration (SCMON/ATC); שקול מעבר ל-BAdI/Enhancement Spot מודרני.</t>
        </is>
      </c>
      <c r="H22" s="100" t="inlineStr"/>
      <c r="I22" s="54" t="inlineStr"/>
    </row>
    <row r="23" ht="26" customHeight="1">
      <c r="A23" s="96" t="n">
        <v>21</v>
      </c>
      <c r="B23" s="46" t="inlineStr">
        <is>
          <t>6. הודעות אחזקה (Notifications)</t>
        </is>
      </c>
      <c r="C23" s="96" t="inlineStr">
        <is>
          <t>User Exit</t>
        </is>
      </c>
      <c r="D23" s="102" t="inlineStr">
        <is>
          <t>QQMA0025</t>
        </is>
      </c>
      <c r="E23" s="46" t="inlineStr">
        <is>
          <t>הרחבה בעת השלמת/סגירת הודעה</t>
        </is>
      </c>
      <c r="F23" s="97" t="inlineStr">
        <is>
          <t>To review</t>
        </is>
      </c>
      <c r="G23" s="46" t="inlineStr">
        <is>
          <t>בדוק ב-Custom Code Migration (SCMON/ATC); שקול מעבר ל-BAdI/Enhancement Spot מודרני.</t>
        </is>
      </c>
      <c r="H23" s="96" t="inlineStr"/>
      <c r="I23" s="46" t="inlineStr"/>
    </row>
    <row r="24" ht="26" customHeight="1">
      <c r="A24" s="100" t="n">
        <v>22</v>
      </c>
      <c r="B24" s="54" t="inlineStr">
        <is>
          <t>6. הודעות אחזקה (Notifications)</t>
        </is>
      </c>
      <c r="C24" s="100" t="inlineStr">
        <is>
          <t>BAdI</t>
        </is>
      </c>
      <c r="D24" s="103" t="inlineStr">
        <is>
          <t>NOTIF_EVENT_POST</t>
        </is>
      </c>
      <c r="E24" s="54" t="inlineStr">
        <is>
          <t>BAdI לאירוע רישום/שמירת הודעה (לוגיקה לאחר שמירה)</t>
        </is>
      </c>
      <c r="F24" s="97" t="inlineStr">
        <is>
          <t>To review</t>
        </is>
      </c>
      <c r="G24" s="54" t="inlineStr">
        <is>
          <t>אמת תאימות ה-BAdI ב-S/4 (SPAU_ENH); ודא חתימה ומימוש אקטיבי לאחר השדרוג.</t>
        </is>
      </c>
      <c r="H24" s="100" t="inlineStr"/>
      <c r="I24" s="54" t="inlineStr"/>
    </row>
    <row r="25" ht="26" customHeight="1">
      <c r="A25" s="96" t="n">
        <v>23</v>
      </c>
      <c r="B25" s="46" t="inlineStr">
        <is>
          <t>6. הודעות אחזקה (Notifications)</t>
        </is>
      </c>
      <c r="C25" s="96" t="inlineStr">
        <is>
          <t>BAdI</t>
        </is>
      </c>
      <c r="D25" s="102" t="inlineStr">
        <is>
          <t>NOTIF_EVENT_SAVE</t>
        </is>
      </c>
      <c r="E25" s="46" t="inlineStr">
        <is>
          <t>BAdI לאירוע שמירת הודעה (בדיקות לפני commit)</t>
        </is>
      </c>
      <c r="F25" s="97" t="inlineStr">
        <is>
          <t>To review</t>
        </is>
      </c>
      <c r="G25" s="46" t="inlineStr">
        <is>
          <t>אמת תאימות ה-BAdI ב-S/4 (SPAU_ENH); ודא חתימה ומימוש אקטיבי לאחר השדרוג.</t>
        </is>
      </c>
      <c r="H25" s="96" t="inlineStr"/>
      <c r="I25" s="46" t="inlineStr"/>
    </row>
    <row r="26" ht="26" customHeight="1">
      <c r="A26" s="100" t="n">
        <v>24</v>
      </c>
      <c r="B26" s="54" t="inlineStr">
        <is>
          <t>7. פקודות עבודה (פק"ע)</t>
        </is>
      </c>
      <c r="C26" s="100" t="inlineStr">
        <is>
          <t>User Exit</t>
        </is>
      </c>
      <c r="D26" s="103" t="inlineStr">
        <is>
          <t>IWO10009</t>
        </is>
      </c>
      <c r="E26" s="54" t="inlineStr">
        <is>
          <t>הרחבת לקוח לפק"ע - בדיקות והשלמת שדות בכותרת</t>
        </is>
      </c>
      <c r="F26" s="97" t="inlineStr">
        <is>
          <t>To review</t>
        </is>
      </c>
      <c r="G26" s="54" t="inlineStr">
        <is>
          <t>בדוק ב-Custom Code Migration (SCMON/ATC); שקול מעבר ל-BAdI/Enhancement Spot מודרני.</t>
        </is>
      </c>
      <c r="H26" s="100" t="inlineStr"/>
      <c r="I26" s="54" t="inlineStr"/>
    </row>
    <row r="27" ht="26" customHeight="1">
      <c r="A27" s="96" t="n">
        <v>25</v>
      </c>
      <c r="B27" s="46" t="inlineStr">
        <is>
          <t>7. פקודות עבודה (פק"ע)</t>
        </is>
      </c>
      <c r="C27" s="96" t="inlineStr">
        <is>
          <t>User Exit</t>
        </is>
      </c>
      <c r="D27" s="102" t="inlineStr">
        <is>
          <t>IWO10002</t>
        </is>
      </c>
      <c r="E27" s="46" t="inlineStr">
        <is>
          <t>בדיקות בעת שמירת פקודת עבודה</t>
        </is>
      </c>
      <c r="F27" s="97" t="inlineStr">
        <is>
          <t>To review</t>
        </is>
      </c>
      <c r="G27" s="46" t="inlineStr">
        <is>
          <t>בדוק ב-Custom Code Migration (SCMON/ATC); שקול מעבר ל-BAdI/Enhancement Spot מודרני.</t>
        </is>
      </c>
      <c r="H27" s="96" t="inlineStr"/>
      <c r="I27" s="46" t="inlineStr"/>
    </row>
    <row r="28" ht="26" customHeight="1">
      <c r="A28" s="100" t="n">
        <v>26</v>
      </c>
      <c r="B28" s="54" t="inlineStr">
        <is>
          <t>7. פקודות עבודה (פק"ע)</t>
        </is>
      </c>
      <c r="C28" s="100" t="inlineStr">
        <is>
          <t>User Exit</t>
        </is>
      </c>
      <c r="D28" s="103" t="inlineStr">
        <is>
          <t>IWO10012</t>
        </is>
      </c>
      <c r="E28" s="54" t="inlineStr">
        <is>
          <t>בדיקת אישורי עבודה (Permits) בפק"ע</t>
        </is>
      </c>
      <c r="F28" s="97" t="inlineStr">
        <is>
          <t>To review</t>
        </is>
      </c>
      <c r="G28" s="54" t="inlineStr">
        <is>
          <t>בדוק ב-Custom Code Migration (SCMON/ATC); שקול מעבר ל-BAdI/Enhancement Spot מודרני.</t>
        </is>
      </c>
      <c r="H28" s="100" t="inlineStr"/>
      <c r="I28" s="54" t="inlineStr"/>
    </row>
    <row r="29" ht="26" customHeight="1">
      <c r="A29" s="96" t="n">
        <v>27</v>
      </c>
      <c r="B29" s="46" t="inlineStr">
        <is>
          <t>7. פקודות עבודה (פק"ע)</t>
        </is>
      </c>
      <c r="C29" s="96" t="inlineStr">
        <is>
          <t>User Exit</t>
        </is>
      </c>
      <c r="D29" s="102" t="inlineStr">
        <is>
          <t>IWO10018</t>
        </is>
      </c>
      <c r="E29" s="46" t="inlineStr">
        <is>
          <t>בדיקת/הרחבת רכיבים בפק"ע</t>
        </is>
      </c>
      <c r="F29" s="97" t="inlineStr">
        <is>
          <t>To review</t>
        </is>
      </c>
      <c r="G29" s="46" t="inlineStr">
        <is>
          <t>בדוק ב-Custom Code Migration (SCMON/ATC); שקול מעבר ל-BAdI/Enhancement Spot מודרני.</t>
        </is>
      </c>
      <c r="H29" s="96" t="inlineStr"/>
      <c r="I29" s="46" t="inlineStr"/>
    </row>
    <row r="30" ht="26" customHeight="1">
      <c r="A30" s="100" t="n">
        <v>28</v>
      </c>
      <c r="B30" s="54" t="inlineStr">
        <is>
          <t>7. פקודות עבודה (פק"ע)</t>
        </is>
      </c>
      <c r="C30" s="100" t="inlineStr">
        <is>
          <t>User Exit</t>
        </is>
      </c>
      <c r="D30" s="103" t="inlineStr">
        <is>
          <t>IWO10024</t>
        </is>
      </c>
      <c r="E30" s="54" t="inlineStr">
        <is>
          <t>הרחבת פעולות (Operations) בפק"ע</t>
        </is>
      </c>
      <c r="F30" s="97" t="inlineStr">
        <is>
          <t>To review</t>
        </is>
      </c>
      <c r="G30" s="54" t="inlineStr">
        <is>
          <t>בדוק ב-Custom Code Migration (SCMON/ATC); שקול מעבר ל-BAdI/Enhancement Spot מודרני.</t>
        </is>
      </c>
      <c r="H30" s="100" t="inlineStr"/>
      <c r="I30" s="54" t="inlineStr"/>
    </row>
    <row r="31" ht="26" customHeight="1">
      <c r="A31" s="96" t="n">
        <v>29</v>
      </c>
      <c r="B31" s="46" t="inlineStr">
        <is>
          <t>7. פקודות עבודה (פק"ע)</t>
        </is>
      </c>
      <c r="C31" s="96" t="inlineStr">
        <is>
          <t>BAdI</t>
        </is>
      </c>
      <c r="D31" s="102" t="inlineStr">
        <is>
          <t>WORKORDER_UPDATE</t>
        </is>
      </c>
      <c r="E31" s="46" t="inlineStr">
        <is>
          <t>BAdI לעדכון/בדיקת פקודת עבודה (לפני שמירה)</t>
        </is>
      </c>
      <c r="F31" s="97" t="inlineStr">
        <is>
          <t>To review</t>
        </is>
      </c>
      <c r="G31" s="46" t="inlineStr">
        <is>
          <t>אמת תאימות ה-BAdI ב-S/4 (SPAU_ENH); ודא חתימה ומימוש אקטיבי לאחר השדרוג.</t>
        </is>
      </c>
      <c r="H31" s="96" t="inlineStr"/>
      <c r="I31" s="46" t="inlineStr"/>
    </row>
    <row r="32" ht="26" customHeight="1">
      <c r="A32" s="100" t="n">
        <v>30</v>
      </c>
      <c r="B32" s="54" t="inlineStr">
        <is>
          <t>7. פקודות עבודה (פק"ע)</t>
        </is>
      </c>
      <c r="C32" s="100" t="inlineStr">
        <is>
          <t>BAdI</t>
        </is>
      </c>
      <c r="D32" s="103" t="inlineStr">
        <is>
          <t>WORKORDER_GOODSMVT</t>
        </is>
      </c>
      <c r="E32" s="54" t="inlineStr">
        <is>
          <t>BAdI לתנועות מלאי בפק"ע</t>
        </is>
      </c>
      <c r="F32" s="97" t="inlineStr">
        <is>
          <t>To review</t>
        </is>
      </c>
      <c r="G32" s="54" t="inlineStr">
        <is>
          <t>אמת תאימות ה-BAdI ב-S/4 (SPAU_ENH); ודא חתימה ומימוש אקטיבי לאחר השדרוג.</t>
        </is>
      </c>
      <c r="H32" s="100" t="inlineStr"/>
      <c r="I32" s="54" t="inlineStr"/>
    </row>
    <row r="33" ht="26" customHeight="1">
      <c r="A33" s="96" t="n">
        <v>31</v>
      </c>
      <c r="B33" s="46" t="inlineStr">
        <is>
          <t>7. פקודות עבודה (פק"ע)</t>
        </is>
      </c>
      <c r="C33" s="96" t="inlineStr">
        <is>
          <t>BAdI</t>
        </is>
      </c>
      <c r="D33" s="102" t="inlineStr">
        <is>
          <t>WORKORDER_INFOSYSTEM</t>
        </is>
      </c>
      <c r="E33" s="46" t="inlineStr">
        <is>
          <t>BAdI לרשימות/דוחות פק"ע (IW38/39)</t>
        </is>
      </c>
      <c r="F33" s="97" t="inlineStr">
        <is>
          <t>To review</t>
        </is>
      </c>
      <c r="G33" s="46" t="inlineStr">
        <is>
          <t>אמת תאימות ה-BAdI ב-S/4 (SPAU_ENH); ודא חתימה ומימוש אקטיבי לאחר השדרוג.</t>
        </is>
      </c>
      <c r="H33" s="96" t="inlineStr"/>
      <c r="I33" s="46" t="inlineStr"/>
    </row>
    <row r="34" ht="26" customHeight="1">
      <c r="A34" s="100" t="n">
        <v>32</v>
      </c>
      <c r="B34" s="54" t="inlineStr">
        <is>
          <t>8. ניהול סטטוסים (Status Mgmt)</t>
        </is>
      </c>
      <c r="C34" s="100" t="inlineStr">
        <is>
          <t>User Exit</t>
        </is>
      </c>
      <c r="D34" s="103" t="inlineStr">
        <is>
          <t>STATUS (BS02/BS22)</t>
        </is>
      </c>
      <c r="E34" s="54" t="inlineStr">
        <is>
          <t>סטטוס משתמש מוגדר בפרופיל ולא דרך user-exit ייעודי</t>
        </is>
      </c>
      <c r="F34" s="97" t="inlineStr">
        <is>
          <t>To review</t>
        </is>
      </c>
      <c r="G34" s="54" t="inlineStr">
        <is>
          <t>בדוק ב-Custom Code Migration (SCMON/ATC); שקול מעבר ל-BAdI/Enhancement Spot מודרני.</t>
        </is>
      </c>
      <c r="H34" s="100" t="inlineStr"/>
      <c r="I34" s="54" t="inlineStr"/>
    </row>
    <row r="35" ht="26" customHeight="1">
      <c r="A35" s="96" t="n">
        <v>33</v>
      </c>
      <c r="B35" s="46" t="inlineStr">
        <is>
          <t>8. ניהול סטטוסים (Status Mgmt)</t>
        </is>
      </c>
      <c r="C35" s="96" t="inlineStr">
        <is>
          <t>BAdI</t>
        </is>
      </c>
      <c r="D35" s="102" t="inlineStr">
        <is>
          <t>BADI_STATUS_MANAGEMENT</t>
        </is>
      </c>
      <c r="E35" s="46" t="inlineStr">
        <is>
          <t>הרחבת לוגיקת סטטוס (אמת שם ב-SE18)</t>
        </is>
      </c>
      <c r="F35" s="97" t="inlineStr">
        <is>
          <t>To review</t>
        </is>
      </c>
      <c r="G35" s="46" t="inlineStr">
        <is>
          <t>אמת תאימות ה-BAdI ב-S/4 (SPAU_ENH); ודא חתימה ומימוש אקטיבי לאחר השדרוג.</t>
        </is>
      </c>
      <c r="H35" s="96" t="inlineStr"/>
      <c r="I35" s="46" t="inlineStr"/>
    </row>
    <row r="36" ht="26" customHeight="1">
      <c r="A36" s="100" t="n">
        <v>34</v>
      </c>
      <c r="B36" s="54" t="inlineStr">
        <is>
          <t>9. אינטגרציית מלאי ורכש (PM-MM)</t>
        </is>
      </c>
      <c r="C36" s="100" t="inlineStr">
        <is>
          <t>User Exit</t>
        </is>
      </c>
      <c r="D36" s="103" t="inlineStr">
        <is>
          <t>MB_CF001</t>
        </is>
      </c>
      <c r="E36" s="54" t="inlineStr">
        <is>
          <t>Customer Function לתנועות מלאי (Goods Movement)</t>
        </is>
      </c>
      <c r="F36" s="97" t="inlineStr">
        <is>
          <t>To review</t>
        </is>
      </c>
      <c r="G36" s="54" t="inlineStr">
        <is>
          <t>בדוק ב-Custom Code Migration (SCMON/ATC); שקול מעבר ל-BAdI/Enhancement Spot מודרני.</t>
        </is>
      </c>
      <c r="H36" s="100" t="inlineStr"/>
      <c r="I36" s="54" t="inlineStr"/>
    </row>
    <row r="37" ht="26" customHeight="1">
      <c r="A37" s="96" t="n">
        <v>35</v>
      </c>
      <c r="B37" s="46" t="inlineStr">
        <is>
          <t>9. אינטגרציית מלאי ורכש (PM-MM)</t>
        </is>
      </c>
      <c r="C37" s="96" t="inlineStr">
        <is>
          <t>User Exit</t>
        </is>
      </c>
      <c r="D37" s="102" t="inlineStr">
        <is>
          <t>M06B0001</t>
        </is>
      </c>
      <c r="E37" s="46" t="inlineStr">
        <is>
          <t>הרחבת בדיקות בדרישות רכש (PR)</t>
        </is>
      </c>
      <c r="F37" s="97" t="inlineStr">
        <is>
          <t>To review</t>
        </is>
      </c>
      <c r="G37" s="46" t="inlineStr">
        <is>
          <t>בדוק ב-Custom Code Migration (SCMON/ATC); שקול מעבר ל-BAdI/Enhancement Spot מודרני.</t>
        </is>
      </c>
      <c r="H37" s="96" t="inlineStr"/>
      <c r="I37" s="46" t="inlineStr"/>
    </row>
    <row r="38" ht="26" customHeight="1">
      <c r="A38" s="100" t="n">
        <v>36</v>
      </c>
      <c r="B38" s="54" t="inlineStr">
        <is>
          <t>9. אינטגרציית מלאי ורכש (PM-MM)</t>
        </is>
      </c>
      <c r="C38" s="100" t="inlineStr">
        <is>
          <t>User Exit</t>
        </is>
      </c>
      <c r="D38" s="103" t="inlineStr">
        <is>
          <t>MEREQ001</t>
        </is>
      </c>
      <c r="E38" s="54" t="inlineStr">
        <is>
          <t>הרחבת לקוח לדרישות רכש (חיוב/שדות)</t>
        </is>
      </c>
      <c r="F38" s="97" t="inlineStr">
        <is>
          <t>To review</t>
        </is>
      </c>
      <c r="G38" s="54" t="inlineStr">
        <is>
          <t>בדוק ב-Custom Code Migration (SCMON/ATC); שקול מעבר ל-BAdI/Enhancement Spot מודרני.</t>
        </is>
      </c>
      <c r="H38" s="100" t="inlineStr"/>
      <c r="I38" s="54" t="inlineStr"/>
    </row>
    <row r="39" ht="26" customHeight="1">
      <c r="A39" s="96" t="n">
        <v>37</v>
      </c>
      <c r="B39" s="46" t="inlineStr">
        <is>
          <t>9. אינטגרציית מלאי ורכש (PM-MM)</t>
        </is>
      </c>
      <c r="C39" s="96" t="inlineStr">
        <is>
          <t>BAdI</t>
        </is>
      </c>
      <c r="D39" s="102" t="inlineStr">
        <is>
          <t>MB_DOCUMENT_BADI</t>
        </is>
      </c>
      <c r="E39" s="46" t="inlineStr">
        <is>
          <t>BAdI למסמך חומר (בדיקות/הרחבה בתנועת מלאי)</t>
        </is>
      </c>
      <c r="F39" s="97" t="inlineStr">
        <is>
          <t>To review</t>
        </is>
      </c>
      <c r="G39" s="46" t="inlineStr">
        <is>
          <t>אמת תאימות ה-BAdI ב-S/4 (SPAU_ENH); ודא חתימה ומימוש אקטיבי לאחר השדרוג.</t>
        </is>
      </c>
      <c r="H39" s="96" t="inlineStr"/>
      <c r="I39" s="46" t="inlineStr"/>
    </row>
    <row r="40" ht="26" customHeight="1">
      <c r="A40" s="100" t="n">
        <v>38</v>
      </c>
      <c r="B40" s="54" t="inlineStr">
        <is>
          <t>9. אינטגרציית מלאי ורכש (PM-MM)</t>
        </is>
      </c>
      <c r="C40" s="100" t="inlineStr">
        <is>
          <t>BAdI</t>
        </is>
      </c>
      <c r="D40" s="103" t="inlineStr">
        <is>
          <t>ME_PROCESS_REQ_CUST</t>
        </is>
      </c>
      <c r="E40" s="54" t="inlineStr">
        <is>
          <t>BAdI לעיבוד דרישת רכש</t>
        </is>
      </c>
      <c r="F40" s="97" t="inlineStr">
        <is>
          <t>To review</t>
        </is>
      </c>
      <c r="G40" s="54" t="inlineStr">
        <is>
          <t>אמת תאימות ה-BAdI ב-S/4 (SPAU_ENH); ודא חתימה ומימוש אקטיבי לאחר השדרוג.</t>
        </is>
      </c>
      <c r="H40" s="100" t="inlineStr"/>
      <c r="I40" s="54" t="inlineStr"/>
    </row>
    <row r="41" ht="26" customHeight="1">
      <c r="A41" s="96" t="n">
        <v>39</v>
      </c>
      <c r="B41" s="46" t="inlineStr">
        <is>
          <t>10. עלויות והתחשבנות (PM-CO)</t>
        </is>
      </c>
      <c r="C41" s="96" t="inlineStr">
        <is>
          <t>User Exit</t>
        </is>
      </c>
      <c r="D41" s="102" t="inlineStr">
        <is>
          <t>COOMEP01</t>
        </is>
      </c>
      <c r="E41" s="46" t="inlineStr">
        <is>
          <t>הרחבת פריטי עלות/התחשבנות (אמת שם מדויק)</t>
        </is>
      </c>
      <c r="F41" s="97" t="inlineStr">
        <is>
          <t>To review</t>
        </is>
      </c>
      <c r="G41" s="46" t="inlineStr">
        <is>
          <t>בדוק ב-Custom Code Migration (SCMON/ATC); שקול מעבר ל-BAdI/Enhancement Spot מודרני.</t>
        </is>
      </c>
      <c r="H41" s="96" t="inlineStr"/>
      <c r="I41" s="46" t="inlineStr"/>
    </row>
    <row r="42" ht="26" customHeight="1">
      <c r="A42" s="100" t="n">
        <v>40</v>
      </c>
      <c r="B42" s="54" t="inlineStr">
        <is>
          <t>10. עלויות והתחשבנות (PM-CO)</t>
        </is>
      </c>
      <c r="C42" s="100" t="inlineStr">
        <is>
          <t>User Exit</t>
        </is>
      </c>
      <c r="D42" s="103" t="inlineStr">
        <is>
          <t>KOAB0001</t>
        </is>
      </c>
      <c r="E42" s="54" t="inlineStr">
        <is>
          <t>הרחבת חוקי התחשבנות (Settlement)</t>
        </is>
      </c>
      <c r="F42" s="97" t="inlineStr">
        <is>
          <t>To review</t>
        </is>
      </c>
      <c r="G42" s="54" t="inlineStr">
        <is>
          <t>בדוק ב-Custom Code Migration (SCMON/ATC); שקול מעבר ל-BAdI/Enhancement Spot מודרני.</t>
        </is>
      </c>
      <c r="H42" s="100" t="inlineStr"/>
      <c r="I42" s="54" t="inlineStr"/>
    </row>
    <row r="43" ht="26" customHeight="1">
      <c r="A43" s="96" t="n">
        <v>41</v>
      </c>
      <c r="B43" s="46" t="inlineStr">
        <is>
          <t>10. עלויות והתחשבנות (PM-CO)</t>
        </is>
      </c>
      <c r="C43" s="96" t="inlineStr">
        <is>
          <t>BAdI</t>
        </is>
      </c>
      <c r="D43" s="102" t="inlineStr">
        <is>
          <t>BADI_SETTLEMENT</t>
        </is>
      </c>
      <c r="E43" s="46" t="inlineStr">
        <is>
          <t>הרחבת לוגיקת התחשבנות (אמת שם ב-SE18)</t>
        </is>
      </c>
      <c r="F43" s="97" t="inlineStr">
        <is>
          <t>To review</t>
        </is>
      </c>
      <c r="G43" s="46" t="inlineStr">
        <is>
          <t>אמת תאימות ה-BAdI ב-S/4 (SPAU_ENH); ודא חתימה ומימוש אקטיבי לאחר השדרוג.</t>
        </is>
      </c>
      <c r="H43" s="96" t="inlineStr"/>
      <c r="I43" s="46" t="inlineStr"/>
    </row>
    <row r="44" ht="26" customHeight="1">
      <c r="A44" s="100" t="n">
        <v>42</v>
      </c>
      <c r="B44" s="54" t="inlineStr">
        <is>
          <t>11. אחזקה מונעת ותוכניות</t>
        </is>
      </c>
      <c r="C44" s="100" t="inlineStr">
        <is>
          <t>User Exit</t>
        </is>
      </c>
      <c r="D44" s="103" t="inlineStr">
        <is>
          <t>IPRM0001</t>
        </is>
      </c>
      <c r="E44" s="54" t="inlineStr">
        <is>
          <t>הרחבת לקוח לתכניות אחזקה (Maintenance Plans)</t>
        </is>
      </c>
      <c r="F44" s="97" t="inlineStr">
        <is>
          <t>To review</t>
        </is>
      </c>
      <c r="G44" s="54" t="inlineStr">
        <is>
          <t>בדוק ב-Custom Code Migration (SCMON/ATC); שקול מעבר ל-BAdI/Enhancement Spot מודרני.</t>
        </is>
      </c>
      <c r="H44" s="100" t="inlineStr"/>
      <c r="I44" s="54" t="inlineStr"/>
    </row>
    <row r="45" ht="26" customHeight="1">
      <c r="A45" s="96" t="n">
        <v>43</v>
      </c>
      <c r="B45" s="46" t="inlineStr">
        <is>
          <t>11. אחזקה מונעת ותוכניות</t>
        </is>
      </c>
      <c r="C45" s="96" t="inlineStr">
        <is>
          <t>User Exit</t>
        </is>
      </c>
      <c r="D45" s="102" t="inlineStr">
        <is>
          <t>IPRM0002</t>
        </is>
      </c>
      <c r="E45" s="46" t="inlineStr">
        <is>
          <t>הרחבת לוגיקת תזמון (Scheduling)</t>
        </is>
      </c>
      <c r="F45" s="97" t="inlineStr">
        <is>
          <t>To review</t>
        </is>
      </c>
      <c r="G45" s="46" t="inlineStr">
        <is>
          <t>בדוק ב-Custom Code Migration (SCMON/ATC); שקול מעבר ל-BAdI/Enhancement Spot מודרני.</t>
        </is>
      </c>
      <c r="H45" s="96" t="inlineStr"/>
      <c r="I45" s="46" t="inlineStr"/>
    </row>
    <row r="46" ht="26" customHeight="1">
      <c r="A46" s="100" t="n">
        <v>44</v>
      </c>
      <c r="B46" s="54" t="inlineStr">
        <is>
          <t>11. אחזקה מונעת ותוכניות</t>
        </is>
      </c>
      <c r="C46" s="100" t="inlineStr">
        <is>
          <t>BAdI</t>
        </is>
      </c>
      <c r="D46" s="103" t="inlineStr">
        <is>
          <t>BADI_EAM_MAINT_PLAN</t>
        </is>
      </c>
      <c r="E46" s="54" t="inlineStr">
        <is>
          <t>הרחבת תכניות אחזקה ותזמון (אמת שם ב-SE18)</t>
        </is>
      </c>
      <c r="F46" s="97" t="inlineStr">
        <is>
          <t>To review</t>
        </is>
      </c>
      <c r="G46" s="54" t="inlineStr">
        <is>
          <t>אמת תאימות ה-BAdI ב-S/4 (SPAU_ENH); ודא חתימה ומימוש אקטיבי לאחר השדרוג.</t>
        </is>
      </c>
      <c r="H46" s="100" t="inlineStr"/>
      <c r="I46" s="54" t="inlineStr"/>
    </row>
    <row r="47" ht="26" customHeight="1">
      <c r="A47" s="96" t="n">
        <v>45</v>
      </c>
      <c r="B47" s="46" t="inlineStr">
        <is>
          <t>12. היסטוריה וארכיון</t>
        </is>
      </c>
      <c r="C47" s="96" t="inlineStr">
        <is>
          <t>User Exit</t>
        </is>
      </c>
      <c r="D47" s="102" t="inlineStr">
        <is>
          <t>ARCH_PM (SARA/AOBJ)</t>
        </is>
      </c>
      <c r="E47" s="46" t="inlineStr">
        <is>
          <t>ארכוב דרך אובייקטי ADK (PM_ORDER/PM_QMEL) ללא user-exit ייעודי</t>
        </is>
      </c>
      <c r="F47" s="97" t="inlineStr">
        <is>
          <t>To review</t>
        </is>
      </c>
      <c r="G47" s="46" t="inlineStr">
        <is>
          <t>בדוק ב-Custom Code Migration (SCMON/ATC); שקול מעבר ל-BAdI/Enhancement Spot מודרני.</t>
        </is>
      </c>
      <c r="H47" s="96" t="inlineStr"/>
      <c r="I47" s="46" t="inlineStr"/>
    </row>
    <row r="48" ht="26" customHeight="1">
      <c r="A48" s="100" t="n">
        <v>46</v>
      </c>
      <c r="B48" s="54" t="inlineStr">
        <is>
          <t>12. היסטוריה וארכיון</t>
        </is>
      </c>
      <c r="C48" s="100" t="inlineStr">
        <is>
          <t>BAdI</t>
        </is>
      </c>
      <c r="D48" s="103" t="inlineStr">
        <is>
          <t>BADI_ARCHIVING</t>
        </is>
      </c>
      <c r="E48" s="54" t="inlineStr">
        <is>
          <t>הרחבת לוגיקת ארכוב/ILM (אמת שם ב-SE18)</t>
        </is>
      </c>
      <c r="F48" s="97" t="inlineStr">
        <is>
          <t>To review</t>
        </is>
      </c>
      <c r="G48" s="54" t="inlineStr">
        <is>
          <t>אמת תאימות ה-BAdI ב-S/4 (SPAU_ENH); ודא חתימה ומימוש אקטיבי לאחר השדרוג.</t>
        </is>
      </c>
      <c r="H48" s="100" t="inlineStr"/>
      <c r="I48" s="54" t="inlineStr"/>
    </row>
  </sheetData>
  <mergeCells count="2">
    <mergeCell ref="C1:I1"/>
    <mergeCell ref="A1:B1"/>
  </mergeCells>
  <conditionalFormatting sqref="F3:F48">
    <cfRule type="cellIs" priority="1" operator="equal" dxfId="0">
      <formula>"To review"</formula>
    </cfRule>
    <cfRule type="cellIs" priority="2" operator="equal" dxfId="1">
      <formula>"In progress"</formula>
    </cfRule>
    <cfRule type="cellIs" priority="3" operator="equal" dxfId="3">
      <formula>"Adapted"</formula>
    </cfRule>
    <cfRule type="cellIs" priority="4" operator="equal" dxfId="4">
      <formula>"OK - no change"</formula>
    </cfRule>
    <cfRule type="cellIs" priority="5" operator="equal" dxfId="5">
      <formula>"Obsolete"</formula>
    </cfRule>
  </conditionalFormatting>
  <dataValidations count="1">
    <dataValidation sqref="F3:F48" showDropDown="0" showInputMessage="0" showErrorMessage="0" allowBlank="1" type="list">
      <formula1>"To review,In progress,Adapted,OK - no change,Obsolete"</formula1>
    </dataValidation>
  </dataValidation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E1E24"/>
    <outlinePr summaryBelow="1" summaryRight="1"/>
    <pageSetUpPr fitToPage="1"/>
  </sheetPr>
  <dimension ref="A1:I60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5" customWidth="1" min="4" max="4"/>
    <col width="16" customWidth="1" min="5" max="5"/>
    <col width="18" customWidth="1" min="6" max="6"/>
    <col width="11" customWidth="1" min="7" max="7"/>
    <col width="46" customWidth="1" min="8" max="8"/>
    <col width="13" customWidth="1" min="9" max="9"/>
  </cols>
  <sheetData>
    <row r="1" ht="30" customHeight="1">
      <c r="A1" s="35" t="inlineStr">
        <is>
          <t>◄ חזרה למסך הראשי</t>
        </is>
      </c>
      <c r="B1" s="36" t="n"/>
      <c r="C1" s="37" t="inlineStr">
        <is>
          <t>ER / Join Map  -  מפת קשרי מפתחות (PK ➜ FK) בין טבלאות PM  ·  CBC NEO</t>
        </is>
      </c>
      <c r="D1" s="4" t="n"/>
      <c r="E1" s="4" t="n"/>
      <c r="F1" s="4" t="n"/>
      <c r="G1" s="4" t="n"/>
      <c r="H1" s="4" t="n"/>
      <c r="I1" s="4" t="n"/>
    </row>
    <row r="2" ht="28" customHeight="1">
      <c r="A2" s="73" t="inlineStr">
        <is>
          <t>מס' (#)</t>
        </is>
      </c>
      <c r="B2" s="73" t="inlineStr">
        <is>
          <t>טבלת ילד (FK)</t>
        </is>
      </c>
      <c r="C2" s="73" t="inlineStr">
        <is>
          <t>שדה זר (FK Field)</t>
        </is>
      </c>
      <c r="D2" s="73" t="inlineStr">
        <is>
          <t>➜</t>
        </is>
      </c>
      <c r="E2" s="73" t="inlineStr">
        <is>
          <t>טבלת אב (PK)</t>
        </is>
      </c>
      <c r="F2" s="73" t="inlineStr">
        <is>
          <t>שדה ראשי (PK Field)</t>
        </is>
      </c>
      <c r="G2" s="73" t="inlineStr">
        <is>
          <t>יחס (Card.)</t>
        </is>
      </c>
      <c r="H2" s="73" t="inlineStr">
        <is>
          <t>תיאור הקשר (Hebrew)</t>
        </is>
      </c>
      <c r="I2" s="73" t="inlineStr">
        <is>
          <t>מעבר לטבלה</t>
        </is>
      </c>
    </row>
    <row r="3" ht="24" customHeight="1">
      <c r="A3" s="96" t="n">
        <v>1</v>
      </c>
      <c r="B3" s="102" t="inlineStr">
        <is>
          <t>IFLOS</t>
        </is>
      </c>
      <c r="C3" s="102" t="inlineStr">
        <is>
          <t>TPLNR</t>
        </is>
      </c>
      <c r="D3" s="96" t="inlineStr">
        <is>
          <t>➜</t>
        </is>
      </c>
      <c r="E3" s="44" t="inlineStr">
        <is>
          <t>IFLOT</t>
        </is>
      </c>
      <c r="F3" s="44" t="inlineStr">
        <is>
          <t>TPLNR</t>
        </is>
      </c>
      <c r="G3" s="96" t="inlineStr">
        <is>
          <t>1:1</t>
        </is>
      </c>
      <c r="H3" s="46" t="inlineStr">
        <is>
          <t>תווית מיקום פונקציונלי מצורפת לרשומת האב</t>
        </is>
      </c>
      <c r="I3" s="104">
        <f>HYPERLINK("#'"&amp;"1. מבנה ארגוני ותשתית"&amp;"'!A11","➜ פתח")</f>
        <v/>
      </c>
    </row>
    <row r="4" ht="24" customHeight="1">
      <c r="A4" s="100" t="n">
        <v>2</v>
      </c>
      <c r="B4" s="103" t="inlineStr">
        <is>
          <t>IFLOT</t>
        </is>
      </c>
      <c r="C4" s="103" t="inlineStr">
        <is>
          <t>TPLMA</t>
        </is>
      </c>
      <c r="D4" s="100" t="inlineStr">
        <is>
          <t>➜</t>
        </is>
      </c>
      <c r="E4" s="52" t="inlineStr">
        <is>
          <t>IFLOT</t>
        </is>
      </c>
      <c r="F4" s="52" t="inlineStr">
        <is>
          <t>TPLNR</t>
        </is>
      </c>
      <c r="G4" s="100" t="inlineStr">
        <is>
          <t>N:1</t>
        </is>
      </c>
      <c r="H4" s="54" t="inlineStr">
        <is>
          <t>היררכיית מיקומים - מיקום אב (self-join)</t>
        </is>
      </c>
      <c r="I4" s="105">
        <f>HYPERLINK("#'"&amp;"1. מבנה ארגוני ותשתית"&amp;"'!A3","➜ פתח")</f>
        <v/>
      </c>
    </row>
    <row r="5" ht="24" customHeight="1">
      <c r="A5" s="96" t="n">
        <v>3</v>
      </c>
      <c r="B5" s="102" t="inlineStr">
        <is>
          <t>IFLOT</t>
        </is>
      </c>
      <c r="C5" s="102" t="inlineStr">
        <is>
          <t>OBJNR</t>
        </is>
      </c>
      <c r="D5" s="96" t="inlineStr">
        <is>
          <t>➜</t>
        </is>
      </c>
      <c r="E5" s="44" t="inlineStr">
        <is>
          <t>JSTO</t>
        </is>
      </c>
      <c r="F5" s="44" t="inlineStr">
        <is>
          <t>OBJNR</t>
        </is>
      </c>
      <c r="G5" s="96" t="inlineStr">
        <is>
          <t>1:1</t>
        </is>
      </c>
      <c r="H5" s="46" t="inlineStr">
        <is>
          <t>אובייקט הסטטוס של המיקום הפונקציונלי</t>
        </is>
      </c>
      <c r="I5" s="104">
        <f>HYPERLINK("#'"&amp;"1. מבנה ארגוני ותשתית"&amp;"'!A3","➜ פתח")</f>
        <v/>
      </c>
    </row>
    <row r="6" ht="24" customHeight="1">
      <c r="A6" s="100" t="n">
        <v>4</v>
      </c>
      <c r="B6" s="103" t="inlineStr">
        <is>
          <t>ILOA</t>
        </is>
      </c>
      <c r="C6" s="103" t="inlineStr">
        <is>
          <t>TPLNR</t>
        </is>
      </c>
      <c r="D6" s="100" t="inlineStr">
        <is>
          <t>➜</t>
        </is>
      </c>
      <c r="E6" s="52" t="inlineStr">
        <is>
          <t>IFLOT</t>
        </is>
      </c>
      <c r="F6" s="52" t="inlineStr">
        <is>
          <t>TPLNR</t>
        </is>
      </c>
      <c r="G6" s="100" t="inlineStr">
        <is>
          <t>N:1</t>
        </is>
      </c>
      <c r="H6" s="54" t="inlineStr">
        <is>
          <t>נתוני מיקום/חיוב משויכים למיקום הפונקציונלי</t>
        </is>
      </c>
      <c r="I6" s="105">
        <f>HYPERLINK("#'"&amp;"1. מבנה ארגוני ותשתית"&amp;"'!A18","➜ פתח")</f>
        <v/>
      </c>
    </row>
    <row r="7" ht="24" customHeight="1">
      <c r="A7" s="96" t="n">
        <v>5</v>
      </c>
      <c r="B7" s="102" t="inlineStr">
        <is>
          <t>ILOA</t>
        </is>
      </c>
      <c r="C7" s="102" t="inlineStr">
        <is>
          <t>GEWRK</t>
        </is>
      </c>
      <c r="D7" s="96" t="inlineStr">
        <is>
          <t>➜</t>
        </is>
      </c>
      <c r="E7" s="44" t="inlineStr">
        <is>
          <t>CRHD</t>
        </is>
      </c>
      <c r="F7" s="44" t="inlineStr">
        <is>
          <t>OBJID</t>
        </is>
      </c>
      <c r="G7" s="96" t="inlineStr">
        <is>
          <t>N:1</t>
        </is>
      </c>
      <c r="H7" s="46" t="inlineStr">
        <is>
          <t>מרכז עבודה ראשי אחראי</t>
        </is>
      </c>
      <c r="I7" s="104">
        <f>HYPERLINK("#'"&amp;"1. מבנה ארגוני ותשתית"&amp;"'!A18","➜ פתח")</f>
        <v/>
      </c>
    </row>
    <row r="8" ht="24" customHeight="1">
      <c r="A8" s="100" t="n">
        <v>6</v>
      </c>
      <c r="B8" s="103" t="inlineStr">
        <is>
          <t>CRTX</t>
        </is>
      </c>
      <c r="C8" s="103" t="inlineStr">
        <is>
          <t>OBJID</t>
        </is>
      </c>
      <c r="D8" s="100" t="inlineStr">
        <is>
          <t>➜</t>
        </is>
      </c>
      <c r="E8" s="52" t="inlineStr">
        <is>
          <t>CRHD</t>
        </is>
      </c>
      <c r="F8" s="52" t="inlineStr">
        <is>
          <t>OBJID</t>
        </is>
      </c>
      <c r="G8" s="100" t="inlineStr">
        <is>
          <t>N:1</t>
        </is>
      </c>
      <c r="H8" s="54" t="inlineStr">
        <is>
          <t>טקסטים של מרכז העבודה (לפי שפה)</t>
        </is>
      </c>
      <c r="I8" s="105">
        <f>HYPERLINK("#'"&amp;"1. מבנה ארגוני ותשתית"&amp;"'!A34","➜ פתח")</f>
        <v/>
      </c>
    </row>
    <row r="9" ht="24" customHeight="1">
      <c r="A9" s="96" t="n">
        <v>7</v>
      </c>
      <c r="B9" s="102" t="inlineStr">
        <is>
          <t>EQKT</t>
        </is>
      </c>
      <c r="C9" s="102" t="inlineStr">
        <is>
          <t>EQUNR</t>
        </is>
      </c>
      <c r="D9" s="96" t="inlineStr">
        <is>
          <t>➜</t>
        </is>
      </c>
      <c r="E9" s="44" t="inlineStr">
        <is>
          <t>EQUI</t>
        </is>
      </c>
      <c r="F9" s="44" t="inlineStr">
        <is>
          <t>EQUNR</t>
        </is>
      </c>
      <c r="G9" s="96" t="inlineStr">
        <is>
          <t>N:1</t>
        </is>
      </c>
      <c r="H9" s="46" t="inlineStr">
        <is>
          <t>טקסטים של הציוד (לפי שפה)</t>
        </is>
      </c>
      <c r="I9" s="104">
        <f>HYPERLINK("#'"&amp;"2. ציוד ונתוני מאסטר"&amp;"'!A11","➜ פתח")</f>
        <v/>
      </c>
    </row>
    <row r="10" ht="24" customHeight="1">
      <c r="A10" s="100" t="n">
        <v>8</v>
      </c>
      <c r="B10" s="103" t="inlineStr">
        <is>
          <t>EQUZ</t>
        </is>
      </c>
      <c r="C10" s="103" t="inlineStr">
        <is>
          <t>EQUNR</t>
        </is>
      </c>
      <c r="D10" s="100" t="inlineStr">
        <is>
          <t>➜</t>
        </is>
      </c>
      <c r="E10" s="52" t="inlineStr">
        <is>
          <t>EQUI</t>
        </is>
      </c>
      <c r="F10" s="52" t="inlineStr">
        <is>
          <t>EQUNR</t>
        </is>
      </c>
      <c r="G10" s="100" t="inlineStr">
        <is>
          <t>N:1</t>
        </is>
      </c>
      <c r="H10" s="54" t="inlineStr">
        <is>
          <t>פלחי זמן של הציוד (התקנות לאורך זמן)</t>
        </is>
      </c>
      <c r="I10" s="105">
        <f>HYPERLINK("#'"&amp;"2. ציוד ונתוני מאסטר"&amp;"'!A16","➜ פתח")</f>
        <v/>
      </c>
    </row>
    <row r="11" ht="24" customHeight="1">
      <c r="A11" s="96" t="n">
        <v>9</v>
      </c>
      <c r="B11" s="102" t="inlineStr">
        <is>
          <t>EQUZ</t>
        </is>
      </c>
      <c r="C11" s="102" t="inlineStr">
        <is>
          <t>HEQUI</t>
        </is>
      </c>
      <c r="D11" s="96" t="inlineStr">
        <is>
          <t>➜</t>
        </is>
      </c>
      <c r="E11" s="44" t="inlineStr">
        <is>
          <t>EQUI</t>
        </is>
      </c>
      <c r="F11" s="44" t="inlineStr">
        <is>
          <t>EQUNR</t>
        </is>
      </c>
      <c r="G11" s="96" t="inlineStr">
        <is>
          <t>N:1</t>
        </is>
      </c>
      <c r="H11" s="46" t="inlineStr">
        <is>
          <t>ציוד עליון בהיררכיה (self-join דרך EQUI)</t>
        </is>
      </c>
      <c r="I11" s="104">
        <f>HYPERLINK("#'"&amp;"2. ציוד ונתוני מאסטר"&amp;"'!A16","➜ פתח")</f>
        <v/>
      </c>
    </row>
    <row r="12" ht="24" customHeight="1">
      <c r="A12" s="100" t="n">
        <v>10</v>
      </c>
      <c r="B12" s="103" t="inlineStr">
        <is>
          <t>EQUZ</t>
        </is>
      </c>
      <c r="C12" s="103" t="inlineStr">
        <is>
          <t>ILOAN</t>
        </is>
      </c>
      <c r="D12" s="100" t="inlineStr">
        <is>
          <t>➜</t>
        </is>
      </c>
      <c r="E12" s="52" t="inlineStr">
        <is>
          <t>ILOA</t>
        </is>
      </c>
      <c r="F12" s="52" t="inlineStr">
        <is>
          <t>ILOAN</t>
        </is>
      </c>
      <c r="G12" s="100" t="inlineStr">
        <is>
          <t>N:1</t>
        </is>
      </c>
      <c r="H12" s="54" t="inlineStr">
        <is>
          <t>נתוני מיקום/חיוב של הציוד בפלח הזמן</t>
        </is>
      </c>
      <c r="I12" s="105">
        <f>HYPERLINK("#'"&amp;"2. ציוד ונתוני מאסטר"&amp;"'!A16","➜ פתח")</f>
        <v/>
      </c>
    </row>
    <row r="13" ht="24" customHeight="1">
      <c r="A13" s="96" t="n">
        <v>11</v>
      </c>
      <c r="B13" s="102" t="inlineStr">
        <is>
          <t>EQUI</t>
        </is>
      </c>
      <c r="C13" s="102" t="inlineStr">
        <is>
          <t>OBJNR</t>
        </is>
      </c>
      <c r="D13" s="96" t="inlineStr">
        <is>
          <t>➜</t>
        </is>
      </c>
      <c r="E13" s="44" t="inlineStr">
        <is>
          <t>JSTO</t>
        </is>
      </c>
      <c r="F13" s="44" t="inlineStr">
        <is>
          <t>OBJNR</t>
        </is>
      </c>
      <c r="G13" s="96" t="inlineStr">
        <is>
          <t>1:1</t>
        </is>
      </c>
      <c r="H13" s="46" t="inlineStr">
        <is>
          <t>אובייקט הסטטוס של הציוד</t>
        </is>
      </c>
      <c r="I13" s="104">
        <f>HYPERLINK("#'"&amp;"2. ציוד ונתוני מאסטר"&amp;"'!A3","➜ פתח")</f>
        <v/>
      </c>
    </row>
    <row r="14" ht="24" customHeight="1">
      <c r="A14" s="100" t="n">
        <v>12</v>
      </c>
      <c r="B14" s="103" t="inlineStr">
        <is>
          <t>OBJK</t>
        </is>
      </c>
      <c r="C14" s="103" t="inlineStr">
        <is>
          <t>EQUNR</t>
        </is>
      </c>
      <c r="D14" s="100" t="inlineStr">
        <is>
          <t>➜</t>
        </is>
      </c>
      <c r="E14" s="52" t="inlineStr">
        <is>
          <t>EQUI</t>
        </is>
      </c>
      <c r="F14" s="52" t="inlineStr">
        <is>
          <t>EQUNR</t>
        </is>
      </c>
      <c r="G14" s="100" t="inlineStr">
        <is>
          <t>N:1</t>
        </is>
      </c>
      <c r="H14" s="54" t="inlineStr">
        <is>
          <t>מספר סידורי משויך לרשומת ציוד</t>
        </is>
      </c>
      <c r="I14" s="105">
        <f>HYPERLINK("#'"&amp;"2. ציוד ונתוני מאסטר"&amp;"'!A23","➜ פתח")</f>
        <v/>
      </c>
    </row>
    <row r="15" ht="24" customHeight="1">
      <c r="A15" s="96" t="n">
        <v>13</v>
      </c>
      <c r="B15" s="102" t="inlineStr">
        <is>
          <t>STPO</t>
        </is>
      </c>
      <c r="C15" s="102" t="inlineStr">
        <is>
          <t>STLNR</t>
        </is>
      </c>
      <c r="D15" s="96" t="inlineStr">
        <is>
          <t>➜</t>
        </is>
      </c>
      <c r="E15" s="44" t="inlineStr">
        <is>
          <t>STKO</t>
        </is>
      </c>
      <c r="F15" s="44" t="inlineStr">
        <is>
          <t>STLNR</t>
        </is>
      </c>
      <c r="G15" s="96" t="inlineStr">
        <is>
          <t>N:1</t>
        </is>
      </c>
      <c r="H15" s="46" t="inlineStr">
        <is>
          <t>פריטי עץ המוצר תחת הכותרת</t>
        </is>
      </c>
      <c r="I15" s="104">
        <f>HYPERLINK("#'"&amp;"3. עצי מוצר של אחזקה (BOM)"&amp;"'!A10","➜ פתח")</f>
        <v/>
      </c>
    </row>
    <row r="16" ht="24" customHeight="1">
      <c r="A16" s="100" t="n">
        <v>14</v>
      </c>
      <c r="B16" s="103" t="inlineStr">
        <is>
          <t>MAST</t>
        </is>
      </c>
      <c r="C16" s="103" t="inlineStr">
        <is>
          <t>STLNR</t>
        </is>
      </c>
      <c r="D16" s="100" t="inlineStr">
        <is>
          <t>➜</t>
        </is>
      </c>
      <c r="E16" s="52" t="inlineStr">
        <is>
          <t>STKO</t>
        </is>
      </c>
      <c r="F16" s="52" t="inlineStr">
        <is>
          <t>STLNR</t>
        </is>
      </c>
      <c r="G16" s="100" t="inlineStr">
        <is>
          <t>N:1</t>
        </is>
      </c>
      <c r="H16" s="54" t="inlineStr">
        <is>
          <t>קישור חומר לכותרת עץ המוצר</t>
        </is>
      </c>
      <c r="I16" s="105">
        <f>HYPERLINK("#'"&amp;"3. עצי מוצר של אחזקה (BOM)"&amp;"'!A17","➜ פתח")</f>
        <v/>
      </c>
    </row>
    <row r="17" ht="24" customHeight="1">
      <c r="A17" s="96" t="n">
        <v>15</v>
      </c>
      <c r="B17" s="102" t="inlineStr">
        <is>
          <t>EQST</t>
        </is>
      </c>
      <c r="C17" s="102" t="inlineStr">
        <is>
          <t>STLNR</t>
        </is>
      </c>
      <c r="D17" s="96" t="inlineStr">
        <is>
          <t>➜</t>
        </is>
      </c>
      <c r="E17" s="44" t="inlineStr">
        <is>
          <t>STKO</t>
        </is>
      </c>
      <c r="F17" s="44" t="inlineStr">
        <is>
          <t>STLNR</t>
        </is>
      </c>
      <c r="G17" s="96" t="inlineStr">
        <is>
          <t>N:1</t>
        </is>
      </c>
      <c r="H17" s="46" t="inlineStr">
        <is>
          <t>קישור ציוד לעץ המוצר</t>
        </is>
      </c>
      <c r="I17" s="104">
        <f>HYPERLINK("#'"&amp;"3. עצי מוצר של אחזקה (BOM)"&amp;"'!A24","➜ פתח")</f>
        <v/>
      </c>
    </row>
    <row r="18" ht="24" customHeight="1">
      <c r="A18" s="100" t="n">
        <v>16</v>
      </c>
      <c r="B18" s="103" t="inlineStr">
        <is>
          <t>EQST</t>
        </is>
      </c>
      <c r="C18" s="103" t="inlineStr">
        <is>
          <t>EQUNR</t>
        </is>
      </c>
      <c r="D18" s="100" t="inlineStr">
        <is>
          <t>➜</t>
        </is>
      </c>
      <c r="E18" s="52" t="inlineStr">
        <is>
          <t>EQUI</t>
        </is>
      </c>
      <c r="F18" s="52" t="inlineStr">
        <is>
          <t>EQUNR</t>
        </is>
      </c>
      <c r="G18" s="100" t="inlineStr">
        <is>
          <t>N:1</t>
        </is>
      </c>
      <c r="H18" s="54" t="inlineStr">
        <is>
          <t>עץ המוצר של הציוד</t>
        </is>
      </c>
      <c r="I18" s="105">
        <f>HYPERLINK("#'"&amp;"3. עצי מוצר של אחזקה (BOM)"&amp;"'!A24","➜ פתח")</f>
        <v/>
      </c>
    </row>
    <row r="19" ht="24" customHeight="1">
      <c r="A19" s="96" t="n">
        <v>17</v>
      </c>
      <c r="B19" s="102" t="inlineStr">
        <is>
          <t>TPST</t>
        </is>
      </c>
      <c r="C19" s="102" t="inlineStr">
        <is>
          <t>STLNR</t>
        </is>
      </c>
      <c r="D19" s="96" t="inlineStr">
        <is>
          <t>➜</t>
        </is>
      </c>
      <c r="E19" s="44" t="inlineStr">
        <is>
          <t>STKO</t>
        </is>
      </c>
      <c r="F19" s="44" t="inlineStr">
        <is>
          <t>STLNR</t>
        </is>
      </c>
      <c r="G19" s="96" t="inlineStr">
        <is>
          <t>N:1</t>
        </is>
      </c>
      <c r="H19" s="46" t="inlineStr">
        <is>
          <t>קישור מיקום לעץ המוצר</t>
        </is>
      </c>
      <c r="I19" s="104">
        <f>HYPERLINK("#'"&amp;"3. עצי מוצר של אחזקה (BOM)"&amp;"'!A30","➜ פתח")</f>
        <v/>
      </c>
    </row>
    <row r="20" ht="24" customHeight="1">
      <c r="A20" s="100" t="n">
        <v>18</v>
      </c>
      <c r="B20" s="103" t="inlineStr">
        <is>
          <t>TPST</t>
        </is>
      </c>
      <c r="C20" s="103" t="inlineStr">
        <is>
          <t>TPLNR</t>
        </is>
      </c>
      <c r="D20" s="100" t="inlineStr">
        <is>
          <t>➜</t>
        </is>
      </c>
      <c r="E20" s="52" t="inlineStr">
        <is>
          <t>IFLOT</t>
        </is>
      </c>
      <c r="F20" s="52" t="inlineStr">
        <is>
          <t>TPLNR</t>
        </is>
      </c>
      <c r="G20" s="100" t="inlineStr">
        <is>
          <t>N:1</t>
        </is>
      </c>
      <c r="H20" s="54" t="inlineStr">
        <is>
          <t>עץ המוצר של המיקום הפונקציונלי</t>
        </is>
      </c>
      <c r="I20" s="105">
        <f>HYPERLINK("#'"&amp;"3. עצי מוצר של אחזקה (BOM)"&amp;"'!A30","➜ פתח")</f>
        <v/>
      </c>
    </row>
    <row r="21" ht="24" customHeight="1">
      <c r="A21" s="96" t="n">
        <v>19</v>
      </c>
      <c r="B21" s="102" t="inlineStr">
        <is>
          <t>IMRG</t>
        </is>
      </c>
      <c r="C21" s="102" t="inlineStr">
        <is>
          <t>POINT</t>
        </is>
      </c>
      <c r="D21" s="96" t="inlineStr">
        <is>
          <t>➜</t>
        </is>
      </c>
      <c r="E21" s="44" t="inlineStr">
        <is>
          <t>IMPTT</t>
        </is>
      </c>
      <c r="F21" s="44" t="inlineStr">
        <is>
          <t>POINT</t>
        </is>
      </c>
      <c r="G21" s="96" t="inlineStr">
        <is>
          <t>N:1</t>
        </is>
      </c>
      <c r="H21" s="46" t="inlineStr">
        <is>
          <t>מסמכי מדידה תחת נקודת המדידה</t>
        </is>
      </c>
      <c r="I21" s="104">
        <f>HYPERLINK("#'"&amp;"4. נקודות מדידה ומונים"&amp;"'!A11","➜ פתח")</f>
        <v/>
      </c>
    </row>
    <row r="22" ht="24" customHeight="1">
      <c r="A22" s="100" t="n">
        <v>20</v>
      </c>
      <c r="B22" s="103" t="inlineStr">
        <is>
          <t>QPCD</t>
        </is>
      </c>
      <c r="C22" s="103" t="inlineStr">
        <is>
          <t>CODEGRUPPE</t>
        </is>
      </c>
      <c r="D22" s="100" t="inlineStr">
        <is>
          <t>➜</t>
        </is>
      </c>
      <c r="E22" s="52" t="inlineStr">
        <is>
          <t>QPGR</t>
        </is>
      </c>
      <c r="F22" s="52" t="inlineStr">
        <is>
          <t>CODEGRUPPE</t>
        </is>
      </c>
      <c r="G22" s="100" t="inlineStr">
        <is>
          <t>N:1</t>
        </is>
      </c>
      <c r="H22" s="54" t="inlineStr">
        <is>
          <t>קודים בתוך קבוצת הקוד</t>
        </is>
      </c>
      <c r="I22" s="105">
        <f>HYPERLINK("#'"&amp;"5. קטלוגים, קודים ופרופילים"&amp;"'!A3","➜ פתח")</f>
        <v/>
      </c>
    </row>
    <row r="23" ht="24" customHeight="1">
      <c r="A23" s="96" t="n">
        <v>21</v>
      </c>
      <c r="B23" s="102" t="inlineStr">
        <is>
          <t>T352B</t>
        </is>
      </c>
      <c r="C23" s="102" t="inlineStr">
        <is>
          <t>CODEGRUPPE</t>
        </is>
      </c>
      <c r="D23" s="96" t="inlineStr">
        <is>
          <t>➜</t>
        </is>
      </c>
      <c r="E23" s="44" t="inlineStr">
        <is>
          <t>QPGR</t>
        </is>
      </c>
      <c r="F23" s="44" t="inlineStr">
        <is>
          <t>CODEGRUPPE</t>
        </is>
      </c>
      <c r="G23" s="96" t="inlineStr">
        <is>
          <t>N:1</t>
        </is>
      </c>
      <c r="H23" s="46" t="inlineStr">
        <is>
          <t>קבוצות קוד מותרות בפרופיל הקטלוג</t>
        </is>
      </c>
      <c r="I23" s="104">
        <f>HYPERLINK("#'"&amp;"5. קטלוגים, קודים ופרופילים"&amp;"'!A15","➜ פתח")</f>
        <v/>
      </c>
    </row>
    <row r="24" ht="24" customHeight="1">
      <c r="A24" s="100" t="n">
        <v>22</v>
      </c>
      <c r="B24" s="103" t="inlineStr">
        <is>
          <t>QMFE</t>
        </is>
      </c>
      <c r="C24" s="103" t="inlineStr">
        <is>
          <t>QMNUM</t>
        </is>
      </c>
      <c r="D24" s="100" t="inlineStr">
        <is>
          <t>➜</t>
        </is>
      </c>
      <c r="E24" s="52" t="inlineStr">
        <is>
          <t>QMEL</t>
        </is>
      </c>
      <c r="F24" s="52" t="inlineStr">
        <is>
          <t>QMNUM</t>
        </is>
      </c>
      <c r="G24" s="100" t="inlineStr">
        <is>
          <t>N:1</t>
        </is>
      </c>
      <c r="H24" s="54" t="inlineStr">
        <is>
          <t>פריטי הליקוי תחת ההודעה</t>
        </is>
      </c>
      <c r="I24" s="105">
        <f>HYPERLINK("#'"&amp;"6. הודעות אחזקה (Notifications)"&amp;"'!A11","➜ פתח")</f>
        <v/>
      </c>
    </row>
    <row r="25" ht="24" customHeight="1">
      <c r="A25" s="96" t="n">
        <v>23</v>
      </c>
      <c r="B25" s="102" t="inlineStr">
        <is>
          <t>QMUR</t>
        </is>
      </c>
      <c r="C25" s="102" t="inlineStr">
        <is>
          <t>QMNUM</t>
        </is>
      </c>
      <c r="D25" s="96" t="inlineStr">
        <is>
          <t>➜</t>
        </is>
      </c>
      <c r="E25" s="44" t="inlineStr">
        <is>
          <t>QMFE</t>
        </is>
      </c>
      <c r="F25" s="44" t="inlineStr">
        <is>
          <t>QMNUM</t>
        </is>
      </c>
      <c r="G25" s="96" t="inlineStr">
        <is>
          <t>N:1</t>
        </is>
      </c>
      <c r="H25" s="46" t="inlineStr">
        <is>
          <t>סיבות תחת פריט ההודעה (דרך QMNUM+FENUM)</t>
        </is>
      </c>
      <c r="I25" s="104">
        <f>HYPERLINK("#'"&amp;"6. הודעות אחזקה (Notifications)"&amp;"'!A19","➜ פתח")</f>
        <v/>
      </c>
    </row>
    <row r="26" ht="24" customHeight="1">
      <c r="A26" s="100" t="n">
        <v>24</v>
      </c>
      <c r="B26" s="103" t="inlineStr">
        <is>
          <t>QMMA</t>
        </is>
      </c>
      <c r="C26" s="103" t="inlineStr">
        <is>
          <t>QMNUM</t>
        </is>
      </c>
      <c r="D26" s="100" t="inlineStr">
        <is>
          <t>➜</t>
        </is>
      </c>
      <c r="E26" s="52" t="inlineStr">
        <is>
          <t>QMEL</t>
        </is>
      </c>
      <c r="F26" s="52" t="inlineStr">
        <is>
          <t>QMNUM</t>
        </is>
      </c>
      <c r="G26" s="100" t="inlineStr">
        <is>
          <t>N:1</t>
        </is>
      </c>
      <c r="H26" s="54" t="inlineStr">
        <is>
          <t>פעילויות שבוצעו תחת ההודעה</t>
        </is>
      </c>
      <c r="I26" s="105">
        <f>HYPERLINK("#'"&amp;"6. הודעות אחזקה (Notifications)"&amp;"'!A26","➜ פתח")</f>
        <v/>
      </c>
    </row>
    <row r="27" ht="24" customHeight="1">
      <c r="A27" s="96" t="n">
        <v>25</v>
      </c>
      <c r="B27" s="102" t="inlineStr">
        <is>
          <t>QMSM</t>
        </is>
      </c>
      <c r="C27" s="102" t="inlineStr">
        <is>
          <t>QMNUM</t>
        </is>
      </c>
      <c r="D27" s="96" t="inlineStr">
        <is>
          <t>➜</t>
        </is>
      </c>
      <c r="E27" s="44" t="inlineStr">
        <is>
          <t>QMEL</t>
        </is>
      </c>
      <c r="F27" s="44" t="inlineStr">
        <is>
          <t>QMNUM</t>
        </is>
      </c>
      <c r="G27" s="96" t="inlineStr">
        <is>
          <t>N:1</t>
        </is>
      </c>
      <c r="H27" s="46" t="inlineStr">
        <is>
          <t>משימות לטיפול תחת ההודעה</t>
        </is>
      </c>
      <c r="I27" s="104">
        <f>HYPERLINK("#'"&amp;"6. הודעות אחזקה (Notifications)"&amp;"'!A32","➜ פתח")</f>
        <v/>
      </c>
    </row>
    <row r="28" ht="24" customHeight="1">
      <c r="A28" s="100" t="n">
        <v>26</v>
      </c>
      <c r="B28" s="103" t="inlineStr">
        <is>
          <t>QMEL</t>
        </is>
      </c>
      <c r="C28" s="103" t="inlineStr">
        <is>
          <t>EQUNR</t>
        </is>
      </c>
      <c r="D28" s="100" t="inlineStr">
        <is>
          <t>➜</t>
        </is>
      </c>
      <c r="E28" s="52" t="inlineStr">
        <is>
          <t>EQUI</t>
        </is>
      </c>
      <c r="F28" s="52" t="inlineStr">
        <is>
          <t>EQUNR</t>
        </is>
      </c>
      <c r="G28" s="100" t="inlineStr">
        <is>
          <t>N:1</t>
        </is>
      </c>
      <c r="H28" s="54" t="inlineStr">
        <is>
          <t>ההודעה מתייחסת לציוד</t>
        </is>
      </c>
      <c r="I28" s="105">
        <f>HYPERLINK("#'"&amp;"12. היסטוריה וארכיון"&amp;"'!A3","➜ פתח")</f>
        <v/>
      </c>
    </row>
    <row r="29" ht="24" customHeight="1">
      <c r="A29" s="96" t="n">
        <v>27</v>
      </c>
      <c r="B29" s="102" t="inlineStr">
        <is>
          <t>QMEL</t>
        </is>
      </c>
      <c r="C29" s="102" t="inlineStr">
        <is>
          <t>TPLNR</t>
        </is>
      </c>
      <c r="D29" s="96" t="inlineStr">
        <is>
          <t>➜</t>
        </is>
      </c>
      <c r="E29" s="44" t="inlineStr">
        <is>
          <t>IFLOT</t>
        </is>
      </c>
      <c r="F29" s="44" t="inlineStr">
        <is>
          <t>TPLNR</t>
        </is>
      </c>
      <c r="G29" s="96" t="inlineStr">
        <is>
          <t>N:1</t>
        </is>
      </c>
      <c r="H29" s="46" t="inlineStr">
        <is>
          <t>ההודעה מתייחסת למיקום פונקציונלי</t>
        </is>
      </c>
      <c r="I29" s="104">
        <f>HYPERLINK("#'"&amp;"12. היסטוריה וארכיון"&amp;"'!A3","➜ פתח")</f>
        <v/>
      </c>
    </row>
    <row r="30" ht="24" customHeight="1">
      <c r="A30" s="100" t="n">
        <v>28</v>
      </c>
      <c r="B30" s="103" t="inlineStr">
        <is>
          <t>QMEL</t>
        </is>
      </c>
      <c r="C30" s="103" t="inlineStr">
        <is>
          <t>OBJNR</t>
        </is>
      </c>
      <c r="D30" s="100" t="inlineStr">
        <is>
          <t>➜</t>
        </is>
      </c>
      <c r="E30" s="52" t="inlineStr">
        <is>
          <t>JSTO</t>
        </is>
      </c>
      <c r="F30" s="52" t="inlineStr">
        <is>
          <t>OBJNR</t>
        </is>
      </c>
      <c r="G30" s="100" t="inlineStr">
        <is>
          <t>1:1</t>
        </is>
      </c>
      <c r="H30" s="54" t="inlineStr">
        <is>
          <t>אובייקט הסטטוס של ההודעה</t>
        </is>
      </c>
      <c r="I30" s="105">
        <f>HYPERLINK("#'"&amp;"12. היסטוריה וארכיון"&amp;"'!A3","➜ פתח")</f>
        <v/>
      </c>
    </row>
    <row r="31" ht="24" customHeight="1">
      <c r="A31" s="96" t="n">
        <v>29</v>
      </c>
      <c r="B31" s="102" t="inlineStr">
        <is>
          <t>QMEL</t>
        </is>
      </c>
      <c r="C31" s="102" t="inlineStr">
        <is>
          <t>QMART</t>
        </is>
      </c>
      <c r="D31" s="96" t="inlineStr">
        <is>
          <t>➜</t>
        </is>
      </c>
      <c r="E31" s="44" t="inlineStr">
        <is>
          <t>TQ80</t>
        </is>
      </c>
      <c r="F31" s="44" t="inlineStr">
        <is>
          <t>QMART</t>
        </is>
      </c>
      <c r="G31" s="96" t="inlineStr">
        <is>
          <t>N:1</t>
        </is>
      </c>
      <c r="H31" s="46" t="inlineStr">
        <is>
          <t>סוג ההודעה מגדיר פריסת מסך ופרופיל קטלוג</t>
        </is>
      </c>
      <c r="I31" s="104">
        <f>HYPERLINK("#'"&amp;"12. היסטוריה וארכיון"&amp;"'!A3","➜ פתח")</f>
        <v/>
      </c>
    </row>
    <row r="32" ht="24" customHeight="1">
      <c r="A32" s="100" t="n">
        <v>30</v>
      </c>
      <c r="B32" s="103" t="inlineStr">
        <is>
          <t>AFKO</t>
        </is>
      </c>
      <c r="C32" s="103" t="inlineStr">
        <is>
          <t>AUFNR</t>
        </is>
      </c>
      <c r="D32" s="100" t="inlineStr">
        <is>
          <t>➜</t>
        </is>
      </c>
      <c r="E32" s="52" t="inlineStr">
        <is>
          <t>AUFK</t>
        </is>
      </c>
      <c r="F32" s="52" t="inlineStr">
        <is>
          <t>AUFNR</t>
        </is>
      </c>
      <c r="G32" s="100" t="inlineStr">
        <is>
          <t>1:1</t>
        </is>
      </c>
      <c r="H32" s="54" t="inlineStr">
        <is>
          <t>כותרת נתוני האחזקה/ייצור של הפק"ע</t>
        </is>
      </c>
      <c r="I32" s="105">
        <f>HYPERLINK("#'"&amp;"7. פקודות עבודה (פק"ע)"&amp;"'!A10","➜ פתח")</f>
        <v/>
      </c>
    </row>
    <row r="33" ht="24" customHeight="1">
      <c r="A33" s="96" t="n">
        <v>31</v>
      </c>
      <c r="B33" s="102" t="inlineStr">
        <is>
          <t>AFPO</t>
        </is>
      </c>
      <c r="C33" s="102" t="inlineStr">
        <is>
          <t>AUFNR</t>
        </is>
      </c>
      <c r="D33" s="96" t="inlineStr">
        <is>
          <t>➜</t>
        </is>
      </c>
      <c r="E33" s="44" t="inlineStr">
        <is>
          <t>AUFK</t>
        </is>
      </c>
      <c r="F33" s="44" t="inlineStr">
        <is>
          <t>AUFNR</t>
        </is>
      </c>
      <c r="G33" s="96" t="inlineStr">
        <is>
          <t>N:1</t>
        </is>
      </c>
      <c r="H33" s="46" t="inlineStr">
        <is>
          <t>פריטי הפק"ע</t>
        </is>
      </c>
      <c r="I33" s="104">
        <f>HYPERLINK("#'"&amp;"7. פקודות עבודה (פק"ע)"&amp;"'!A25","➜ פתח")</f>
        <v/>
      </c>
    </row>
    <row r="34" ht="24" customHeight="1">
      <c r="A34" s="100" t="n">
        <v>32</v>
      </c>
      <c r="B34" s="103" t="inlineStr">
        <is>
          <t>AFIH</t>
        </is>
      </c>
      <c r="C34" s="103" t="inlineStr">
        <is>
          <t>AUFNR</t>
        </is>
      </c>
      <c r="D34" s="100" t="inlineStr">
        <is>
          <t>➜</t>
        </is>
      </c>
      <c r="E34" s="52" t="inlineStr">
        <is>
          <t>AUFK</t>
        </is>
      </c>
      <c r="F34" s="52" t="inlineStr">
        <is>
          <t>AUFNR</t>
        </is>
      </c>
      <c r="G34" s="100" t="inlineStr">
        <is>
          <t>1:1</t>
        </is>
      </c>
      <c r="H34" s="54" t="inlineStr">
        <is>
          <t>כותרת נתוני האחזקה (PM) של הפק"ע</t>
        </is>
      </c>
      <c r="I34" s="105">
        <f>HYPERLINK("#'"&amp;"7. פקודות עבודה (פק"ע)"&amp;"'!A31","➜ פתח")</f>
        <v/>
      </c>
    </row>
    <row r="35" ht="24" customHeight="1">
      <c r="A35" s="96" t="n">
        <v>33</v>
      </c>
      <c r="B35" s="102" t="inlineStr">
        <is>
          <t>AFVC</t>
        </is>
      </c>
      <c r="C35" s="102" t="inlineStr">
        <is>
          <t>AUFPL</t>
        </is>
      </c>
      <c r="D35" s="96" t="inlineStr">
        <is>
          <t>➜</t>
        </is>
      </c>
      <c r="E35" s="44" t="inlineStr">
        <is>
          <t>AFKO</t>
        </is>
      </c>
      <c r="F35" s="44" t="inlineStr">
        <is>
          <t>AUFPL</t>
        </is>
      </c>
      <c r="G35" s="96" t="inlineStr">
        <is>
          <t>N:1</t>
        </is>
      </c>
      <c r="H35" s="46" t="inlineStr">
        <is>
          <t>פעולות הפק"ע תחת תוכנית הפעולות</t>
        </is>
      </c>
      <c r="I35" s="104">
        <f>HYPERLINK("#'"&amp;"7. פקודות עבודה (פק"ע)"&amp;"'!A17","➜ פתח")</f>
        <v/>
      </c>
    </row>
    <row r="36" ht="24" customHeight="1">
      <c r="A36" s="100" t="n">
        <v>34</v>
      </c>
      <c r="B36" s="103" t="inlineStr">
        <is>
          <t>AFVC</t>
        </is>
      </c>
      <c r="C36" s="103" t="inlineStr">
        <is>
          <t>ARBID</t>
        </is>
      </c>
      <c r="D36" s="100" t="inlineStr">
        <is>
          <t>➜</t>
        </is>
      </c>
      <c r="E36" s="52" t="inlineStr">
        <is>
          <t>CRHD</t>
        </is>
      </c>
      <c r="F36" s="52" t="inlineStr">
        <is>
          <t>OBJID</t>
        </is>
      </c>
      <c r="G36" s="100" t="inlineStr">
        <is>
          <t>N:1</t>
        </is>
      </c>
      <c r="H36" s="54" t="inlineStr">
        <is>
          <t>מרכז העבודה המבצע את הפעולה</t>
        </is>
      </c>
      <c r="I36" s="105">
        <f>HYPERLINK("#'"&amp;"7. פקודות עבודה (פק"ע)"&amp;"'!A17","➜ פתח")</f>
        <v/>
      </c>
    </row>
    <row r="37" ht="24" customHeight="1">
      <c r="A37" s="96" t="n">
        <v>35</v>
      </c>
      <c r="B37" s="102" t="inlineStr">
        <is>
          <t>AFIH</t>
        </is>
      </c>
      <c r="C37" s="102" t="inlineStr">
        <is>
          <t>EQUNR</t>
        </is>
      </c>
      <c r="D37" s="96" t="inlineStr">
        <is>
          <t>➜</t>
        </is>
      </c>
      <c r="E37" s="44" t="inlineStr">
        <is>
          <t>EQUI</t>
        </is>
      </c>
      <c r="F37" s="44" t="inlineStr">
        <is>
          <t>EQUNR</t>
        </is>
      </c>
      <c r="G37" s="96" t="inlineStr">
        <is>
          <t>N:1</t>
        </is>
      </c>
      <c r="H37" s="46" t="inlineStr">
        <is>
          <t>הפק"ע מתייחסת לציוד</t>
        </is>
      </c>
      <c r="I37" s="104">
        <f>HYPERLINK("#'"&amp;"7. פקודות עבודה (פק"ע)"&amp;"'!A31","➜ פתח")</f>
        <v/>
      </c>
    </row>
    <row r="38" ht="24" customHeight="1">
      <c r="A38" s="100" t="n">
        <v>36</v>
      </c>
      <c r="B38" s="103" t="inlineStr">
        <is>
          <t>AFIH</t>
        </is>
      </c>
      <c r="C38" s="103" t="inlineStr">
        <is>
          <t>TPLNR</t>
        </is>
      </c>
      <c r="D38" s="100" t="inlineStr">
        <is>
          <t>➜</t>
        </is>
      </c>
      <c r="E38" s="52" t="inlineStr">
        <is>
          <t>IFLOT</t>
        </is>
      </c>
      <c r="F38" s="52" t="inlineStr">
        <is>
          <t>TPLNR</t>
        </is>
      </c>
      <c r="G38" s="100" t="inlineStr">
        <is>
          <t>N:1</t>
        </is>
      </c>
      <c r="H38" s="54" t="inlineStr">
        <is>
          <t>הפק"ע מתייחסת למיקום פונקציונלי</t>
        </is>
      </c>
      <c r="I38" s="105">
        <f>HYPERLINK("#'"&amp;"7. פקודות עבודה (פק"ע)"&amp;"'!A31","➜ פתח")</f>
        <v/>
      </c>
    </row>
    <row r="39" ht="24" customHeight="1">
      <c r="A39" s="96" t="n">
        <v>37</v>
      </c>
      <c r="B39" s="102" t="inlineStr">
        <is>
          <t>AUFK</t>
        </is>
      </c>
      <c r="C39" s="102" t="inlineStr">
        <is>
          <t>OBJNR</t>
        </is>
      </c>
      <c r="D39" s="96" t="inlineStr">
        <is>
          <t>➜</t>
        </is>
      </c>
      <c r="E39" s="44" t="inlineStr">
        <is>
          <t>JSTO</t>
        </is>
      </c>
      <c r="F39" s="44" t="inlineStr">
        <is>
          <t>OBJNR</t>
        </is>
      </c>
      <c r="G39" s="96" t="inlineStr">
        <is>
          <t>1:1</t>
        </is>
      </c>
      <c r="H39" s="46" t="inlineStr">
        <is>
          <t>אובייקט הסטטוס/CO של הפק"ע</t>
        </is>
      </c>
      <c r="I39" s="104">
        <f>HYPERLINK("#'"&amp;"12. היסטוריה וארכיון"&amp;"'!A10","➜ פתח")</f>
        <v/>
      </c>
    </row>
    <row r="40" ht="24" customHeight="1">
      <c r="A40" s="100" t="n">
        <v>38</v>
      </c>
      <c r="B40" s="103" t="inlineStr">
        <is>
          <t>AUFK</t>
        </is>
      </c>
      <c r="C40" s="103" t="inlineStr">
        <is>
          <t>AUART</t>
        </is>
      </c>
      <c r="D40" s="100" t="inlineStr">
        <is>
          <t>➜</t>
        </is>
      </c>
      <c r="E40" s="52" t="inlineStr">
        <is>
          <t>T003O</t>
        </is>
      </c>
      <c r="F40" s="52" t="inlineStr">
        <is>
          <t>AUART</t>
        </is>
      </c>
      <c r="G40" s="100" t="inlineStr">
        <is>
          <t>N:1</t>
        </is>
      </c>
      <c r="H40" s="54" t="inlineStr">
        <is>
          <t>סוג הפקודה מגדיר פרמטרים, טווח מספרים ופרופיל סטטוס</t>
        </is>
      </c>
      <c r="I40" s="105">
        <f>HYPERLINK("#'"&amp;"12. היסטוריה וארכיון"&amp;"'!A10","➜ פתח")</f>
        <v/>
      </c>
    </row>
    <row r="41" ht="24" customHeight="1">
      <c r="A41" s="96" t="n">
        <v>39</v>
      </c>
      <c r="B41" s="102" t="inlineStr">
        <is>
          <t>JEST</t>
        </is>
      </c>
      <c r="C41" s="102" t="inlineStr">
        <is>
          <t>OBJNR</t>
        </is>
      </c>
      <c r="D41" s="96" t="inlineStr">
        <is>
          <t>➜</t>
        </is>
      </c>
      <c r="E41" s="44" t="inlineStr">
        <is>
          <t>JSTO</t>
        </is>
      </c>
      <c r="F41" s="44" t="inlineStr">
        <is>
          <t>OBJNR</t>
        </is>
      </c>
      <c r="G41" s="96" t="inlineStr">
        <is>
          <t>N:1</t>
        </is>
      </c>
      <c r="H41" s="46" t="inlineStr">
        <is>
          <t>סטטוסים פעילים תחת אובייקט הסטטוס</t>
        </is>
      </c>
      <c r="I41" s="104">
        <f>HYPERLINK("#'"&amp;"8. ניהול סטטוסים (Status Mgmt)"&amp;"'!A3","➜ פתח")</f>
        <v/>
      </c>
    </row>
    <row r="42" ht="24" customHeight="1">
      <c r="A42" s="100" t="n">
        <v>40</v>
      </c>
      <c r="B42" s="103" t="inlineStr">
        <is>
          <t>JSTO</t>
        </is>
      </c>
      <c r="C42" s="103" t="inlineStr">
        <is>
          <t>STSMA</t>
        </is>
      </c>
      <c r="D42" s="100" t="inlineStr">
        <is>
          <t>➜</t>
        </is>
      </c>
      <c r="E42" s="52" t="inlineStr">
        <is>
          <t>TJ30</t>
        </is>
      </c>
      <c r="F42" s="52" t="inlineStr">
        <is>
          <t>STSMA</t>
        </is>
      </c>
      <c r="G42" s="100" t="inlineStr">
        <is>
          <t>N:1</t>
        </is>
      </c>
      <c r="H42" s="54" t="inlineStr">
        <is>
          <t>פרופיל הסטטוס מגדיר את סטטוסי המשתמש</t>
        </is>
      </c>
      <c r="I42" s="105">
        <f>HYPERLINK("#'"&amp;"8. ניהול סטטוסים (Status Mgmt)"&amp;"'!A9","➜ פתח")</f>
        <v/>
      </c>
    </row>
    <row r="43" ht="24" customHeight="1">
      <c r="A43" s="96" t="n">
        <v>41</v>
      </c>
      <c r="B43" s="102" t="inlineStr">
        <is>
          <t>T003O</t>
        </is>
      </c>
      <c r="C43" s="102" t="inlineStr">
        <is>
          <t>STSMA</t>
        </is>
      </c>
      <c r="D43" s="96" t="inlineStr">
        <is>
          <t>➜</t>
        </is>
      </c>
      <c r="E43" s="44" t="inlineStr">
        <is>
          <t>TJ30</t>
        </is>
      </c>
      <c r="F43" s="44" t="inlineStr">
        <is>
          <t>STSMA</t>
        </is>
      </c>
      <c r="G43" s="96" t="inlineStr">
        <is>
          <t>N:1</t>
        </is>
      </c>
      <c r="H43" s="46" t="inlineStr">
        <is>
          <t>פרופיל הסטטוס המשויך לסוג הפקודה</t>
        </is>
      </c>
      <c r="I43" s="104">
        <f>HYPERLINK("#'"&amp;"7. פקודות עבודה (פק"ע)"&amp;"'!A45","➜ פתח")</f>
        <v/>
      </c>
    </row>
    <row r="44" ht="24" customHeight="1">
      <c r="A44" s="100" t="n">
        <v>42</v>
      </c>
      <c r="B44" s="103" t="inlineStr">
        <is>
          <t>RESB</t>
        </is>
      </c>
      <c r="C44" s="103" t="inlineStr">
        <is>
          <t>AUFNR</t>
        </is>
      </c>
      <c r="D44" s="100" t="inlineStr">
        <is>
          <t>➜</t>
        </is>
      </c>
      <c r="E44" s="52" t="inlineStr">
        <is>
          <t>AUFK</t>
        </is>
      </c>
      <c r="F44" s="52" t="inlineStr">
        <is>
          <t>AUFNR</t>
        </is>
      </c>
      <c r="G44" s="100" t="inlineStr">
        <is>
          <t>N:1</t>
        </is>
      </c>
      <c r="H44" s="54" t="inlineStr">
        <is>
          <t>הזמנות רכיבים של הפק"ע</t>
        </is>
      </c>
      <c r="I44" s="105">
        <f>HYPERLINK("#'"&amp;"9. אינטגרציית מלאי ורכש (PM-MM)"&amp;"'!A3","➜ פתח")</f>
        <v/>
      </c>
    </row>
    <row r="45" ht="24" customHeight="1">
      <c r="A45" s="96" t="n">
        <v>43</v>
      </c>
      <c r="B45" s="102" t="inlineStr">
        <is>
          <t>MSEG</t>
        </is>
      </c>
      <c r="C45" s="102" t="inlineStr">
        <is>
          <t>MBLNR</t>
        </is>
      </c>
      <c r="D45" s="96" t="inlineStr">
        <is>
          <t>➜</t>
        </is>
      </c>
      <c r="E45" s="44" t="inlineStr">
        <is>
          <t>MKPF</t>
        </is>
      </c>
      <c r="F45" s="44" t="inlineStr">
        <is>
          <t>MBLNR</t>
        </is>
      </c>
      <c r="G45" s="96" t="inlineStr">
        <is>
          <t>N:1</t>
        </is>
      </c>
      <c r="H45" s="46" t="inlineStr">
        <is>
          <t>פריטי מסמך החומר תחת הכותרת</t>
        </is>
      </c>
      <c r="I45" s="104">
        <f>HYPERLINK("#'"&amp;"9. אינטגרציית מלאי ורכש (PM-MM)"&amp;"'!A25","➜ פתח")</f>
        <v/>
      </c>
    </row>
    <row r="46" ht="24" customHeight="1">
      <c r="A46" s="100" t="n">
        <v>44</v>
      </c>
      <c r="B46" s="103" t="inlineStr">
        <is>
          <t>MSEG</t>
        </is>
      </c>
      <c r="C46" s="103" t="inlineStr">
        <is>
          <t>AUFNR</t>
        </is>
      </c>
      <c r="D46" s="100" t="inlineStr">
        <is>
          <t>➜</t>
        </is>
      </c>
      <c r="E46" s="52" t="inlineStr">
        <is>
          <t>AUFK</t>
        </is>
      </c>
      <c r="F46" s="52" t="inlineStr">
        <is>
          <t>AUFNR</t>
        </is>
      </c>
      <c r="G46" s="100" t="inlineStr">
        <is>
          <t>N:1</t>
        </is>
      </c>
      <c r="H46" s="54" t="inlineStr">
        <is>
          <t>תנועת המלאי מחויבת לפק"ע</t>
        </is>
      </c>
      <c r="I46" s="105">
        <f>HYPERLINK("#'"&amp;"9. אינטגרציית מלאי ורכש (PM-MM)"&amp;"'!A25","➜ פתח")</f>
        <v/>
      </c>
    </row>
    <row r="47" ht="24" customHeight="1">
      <c r="A47" s="96" t="n">
        <v>45</v>
      </c>
      <c r="B47" s="102" t="inlineStr">
        <is>
          <t>EBKN</t>
        </is>
      </c>
      <c r="C47" s="102" t="inlineStr">
        <is>
          <t>BANFN</t>
        </is>
      </c>
      <c r="D47" s="96" t="inlineStr">
        <is>
          <t>➜</t>
        </is>
      </c>
      <c r="E47" s="44" t="inlineStr">
        <is>
          <t>EBAN</t>
        </is>
      </c>
      <c r="F47" s="44" t="inlineStr">
        <is>
          <t>BANFN</t>
        </is>
      </c>
      <c r="G47" s="96" t="inlineStr">
        <is>
          <t>N:1</t>
        </is>
      </c>
      <c r="H47" s="46" t="inlineStr">
        <is>
          <t>חיוב דרישת הרכש</t>
        </is>
      </c>
      <c r="I47" s="104">
        <f>HYPERLINK("#'"&amp;"9. אינטגרציית מלאי ורכש (PM-MM)"&amp;"'!A18","➜ פתח")</f>
        <v/>
      </c>
    </row>
    <row r="48" ht="24" customHeight="1">
      <c r="A48" s="100" t="n">
        <v>46</v>
      </c>
      <c r="B48" s="103" t="inlineStr">
        <is>
          <t>EBKN</t>
        </is>
      </c>
      <c r="C48" s="103" t="inlineStr">
        <is>
          <t>AUFNR</t>
        </is>
      </c>
      <c r="D48" s="100" t="inlineStr">
        <is>
          <t>➜</t>
        </is>
      </c>
      <c r="E48" s="52" t="inlineStr">
        <is>
          <t>AUFK</t>
        </is>
      </c>
      <c r="F48" s="52" t="inlineStr">
        <is>
          <t>AUFNR</t>
        </is>
      </c>
      <c r="G48" s="100" t="inlineStr">
        <is>
          <t>N:1</t>
        </is>
      </c>
      <c r="H48" s="54" t="inlineStr">
        <is>
          <t>דרישת הרכש מחויבת לפק"ע</t>
        </is>
      </c>
      <c r="I48" s="105">
        <f>HYPERLINK("#'"&amp;"9. אינטגרציית מלאי ורכש (PM-MM)"&amp;"'!A18","➜ פתח")</f>
        <v/>
      </c>
    </row>
    <row r="49" ht="24" customHeight="1">
      <c r="A49" s="96" t="n">
        <v>47</v>
      </c>
      <c r="B49" s="102" t="inlineStr">
        <is>
          <t>COSP</t>
        </is>
      </c>
      <c r="C49" s="102" t="inlineStr">
        <is>
          <t>OBJNR</t>
        </is>
      </c>
      <c r="D49" s="96" t="inlineStr">
        <is>
          <t>➜</t>
        </is>
      </c>
      <c r="E49" s="44" t="inlineStr">
        <is>
          <t>AUFK</t>
        </is>
      </c>
      <c r="F49" s="44" t="inlineStr">
        <is>
          <t>OBJNR</t>
        </is>
      </c>
      <c r="G49" s="96" t="inlineStr">
        <is>
          <t>N:1</t>
        </is>
      </c>
      <c r="H49" s="46" t="inlineStr">
        <is>
          <t>סך עלויות חיצוניות לפי אובייקט הפק"ע</t>
        </is>
      </c>
      <c r="I49" s="104">
        <f>HYPERLINK("#'"&amp;"10. עלויות והתחשבנות (PM-CO)"&amp;"'!A3","➜ פתח")</f>
        <v/>
      </c>
    </row>
    <row r="50" ht="24" customHeight="1">
      <c r="A50" s="100" t="n">
        <v>48</v>
      </c>
      <c r="B50" s="103" t="inlineStr">
        <is>
          <t>COSS</t>
        </is>
      </c>
      <c r="C50" s="103" t="inlineStr">
        <is>
          <t>OBJNR</t>
        </is>
      </c>
      <c r="D50" s="100" t="inlineStr">
        <is>
          <t>➜</t>
        </is>
      </c>
      <c r="E50" s="52" t="inlineStr">
        <is>
          <t>AUFK</t>
        </is>
      </c>
      <c r="F50" s="52" t="inlineStr">
        <is>
          <t>OBJNR</t>
        </is>
      </c>
      <c r="G50" s="100" t="inlineStr">
        <is>
          <t>N:1</t>
        </is>
      </c>
      <c r="H50" s="54" t="inlineStr">
        <is>
          <t>סך עלויות פנימיות לפי אובייקט הפק"ע</t>
        </is>
      </c>
      <c r="I50" s="105">
        <f>HYPERLINK("#'"&amp;"10. עלויות והתחשבנות (PM-CO)"&amp;"'!A10","➜ פתח")</f>
        <v/>
      </c>
    </row>
    <row r="51" ht="24" customHeight="1">
      <c r="A51" s="96" t="n">
        <v>49</v>
      </c>
      <c r="B51" s="102" t="inlineStr">
        <is>
          <t>COBRA</t>
        </is>
      </c>
      <c r="C51" s="102" t="inlineStr">
        <is>
          <t>OBJNR</t>
        </is>
      </c>
      <c r="D51" s="96" t="inlineStr">
        <is>
          <t>➜</t>
        </is>
      </c>
      <c r="E51" s="44" t="inlineStr">
        <is>
          <t>AUFK</t>
        </is>
      </c>
      <c r="F51" s="44" t="inlineStr">
        <is>
          <t>OBJNR</t>
        </is>
      </c>
      <c r="G51" s="96" t="inlineStr">
        <is>
          <t>1:1</t>
        </is>
      </c>
      <c r="H51" s="46" t="inlineStr">
        <is>
          <t>כותרת חוק ההתחשבנות של הפק"ע</t>
        </is>
      </c>
      <c r="I51" s="104">
        <f>HYPERLINK("#'"&amp;"10. עלויות והתחשבנות (PM-CO)"&amp;"'!A17","➜ פתח")</f>
        <v/>
      </c>
    </row>
    <row r="52" ht="24" customHeight="1">
      <c r="A52" s="100" t="n">
        <v>50</v>
      </c>
      <c r="B52" s="103" t="inlineStr">
        <is>
          <t>COBRB</t>
        </is>
      </c>
      <c r="C52" s="103" t="inlineStr">
        <is>
          <t>OBJNR</t>
        </is>
      </c>
      <c r="D52" s="100" t="inlineStr">
        <is>
          <t>➜</t>
        </is>
      </c>
      <c r="E52" s="52" t="inlineStr">
        <is>
          <t>COBRA</t>
        </is>
      </c>
      <c r="F52" s="52" t="inlineStr">
        <is>
          <t>OBJNR</t>
        </is>
      </c>
      <c r="G52" s="100" t="inlineStr">
        <is>
          <t>N:1</t>
        </is>
      </c>
      <c r="H52" s="54" t="inlineStr">
        <is>
          <t>פריטי חוק ההתחשבנות (חוקי חלוקה)</t>
        </is>
      </c>
      <c r="I52" s="105">
        <f>HYPERLINK("#'"&amp;"10. עלויות והתחשבנות (PM-CO)"&amp;"'!A23","➜ פתח")</f>
        <v/>
      </c>
    </row>
    <row r="53" ht="24" customHeight="1">
      <c r="A53" s="96" t="n">
        <v>51</v>
      </c>
      <c r="B53" s="102" t="inlineStr">
        <is>
          <t>MPOS</t>
        </is>
      </c>
      <c r="C53" s="102" t="inlineStr">
        <is>
          <t>WARPL</t>
        </is>
      </c>
      <c r="D53" s="96" t="inlineStr">
        <is>
          <t>➜</t>
        </is>
      </c>
      <c r="E53" s="44" t="inlineStr">
        <is>
          <t>MPLA</t>
        </is>
      </c>
      <c r="F53" s="44" t="inlineStr">
        <is>
          <t>WARPL</t>
        </is>
      </c>
      <c r="G53" s="96" t="inlineStr">
        <is>
          <t>N:1</t>
        </is>
      </c>
      <c r="H53" s="46" t="inlineStr">
        <is>
          <t>פריטי תכנית האחזקה</t>
        </is>
      </c>
      <c r="I53" s="104">
        <f>HYPERLINK("#'"&amp;"11. אחזקה מונעת ותוכניות"&amp;"'!A25","➜ פתח")</f>
        <v/>
      </c>
    </row>
    <row r="54" ht="24" customHeight="1">
      <c r="A54" s="100" t="n">
        <v>52</v>
      </c>
      <c r="B54" s="103" t="inlineStr">
        <is>
          <t>MPOS</t>
        </is>
      </c>
      <c r="C54" s="103" t="inlineStr">
        <is>
          <t>EQUNR</t>
        </is>
      </c>
      <c r="D54" s="100" t="inlineStr">
        <is>
          <t>➜</t>
        </is>
      </c>
      <c r="E54" s="52" t="inlineStr">
        <is>
          <t>EQUI</t>
        </is>
      </c>
      <c r="F54" s="52" t="inlineStr">
        <is>
          <t>EQUNR</t>
        </is>
      </c>
      <c r="G54" s="100" t="inlineStr">
        <is>
          <t>N:1</t>
        </is>
      </c>
      <c r="H54" s="54" t="inlineStr">
        <is>
          <t>פריט התכנית מתייחס לציוד</t>
        </is>
      </c>
      <c r="I54" s="105">
        <f>HYPERLINK("#'"&amp;"11. אחזקה מונעת ותוכניות"&amp;"'!A25","➜ פתח")</f>
        <v/>
      </c>
    </row>
    <row r="55" ht="24" customHeight="1">
      <c r="A55" s="96" t="n">
        <v>53</v>
      </c>
      <c r="B55" s="102" t="inlineStr">
        <is>
          <t>MPOS</t>
        </is>
      </c>
      <c r="C55" s="102" t="inlineStr">
        <is>
          <t>PLNNR</t>
        </is>
      </c>
      <c r="D55" s="96" t="inlineStr">
        <is>
          <t>➜</t>
        </is>
      </c>
      <c r="E55" s="44" t="inlineStr">
        <is>
          <t>PLKO</t>
        </is>
      </c>
      <c r="F55" s="44" t="inlineStr">
        <is>
          <t>PLNNR</t>
        </is>
      </c>
      <c r="G55" s="96" t="inlineStr">
        <is>
          <t>N:1</t>
        </is>
      </c>
      <c r="H55" s="46" t="inlineStr">
        <is>
          <t>רשימת הפעולות המשויכת לפריט</t>
        </is>
      </c>
      <c r="I55" s="104">
        <f>HYPERLINK("#'"&amp;"11. אחזקה מונעת ותוכניות"&amp;"'!A25","➜ פתח")</f>
        <v/>
      </c>
    </row>
    <row r="56" ht="24" customHeight="1">
      <c r="A56" s="100" t="n">
        <v>54</v>
      </c>
      <c r="B56" s="103" t="inlineStr">
        <is>
          <t>MHIO</t>
        </is>
      </c>
      <c r="C56" s="103" t="inlineStr">
        <is>
          <t>WARPL</t>
        </is>
      </c>
      <c r="D56" s="100" t="inlineStr">
        <is>
          <t>➜</t>
        </is>
      </c>
      <c r="E56" s="52" t="inlineStr">
        <is>
          <t>MPLA</t>
        </is>
      </c>
      <c r="F56" s="52" t="inlineStr">
        <is>
          <t>WARPL</t>
        </is>
      </c>
      <c r="G56" s="100" t="inlineStr">
        <is>
          <t>N:1</t>
        </is>
      </c>
      <c r="H56" s="54" t="inlineStr">
        <is>
          <t>אובייקטי קריאת התכנית</t>
        </is>
      </c>
      <c r="I56" s="105">
        <f>HYPERLINK("#'"&amp;"11. אחזקה מונעת ותוכניות"&amp;"'!A33","➜ פתח")</f>
        <v/>
      </c>
    </row>
    <row r="57" ht="24" customHeight="1">
      <c r="A57" s="96" t="n">
        <v>55</v>
      </c>
      <c r="B57" s="102" t="inlineStr">
        <is>
          <t>MHIO</t>
        </is>
      </c>
      <c r="C57" s="102" t="inlineStr">
        <is>
          <t>AUFNR</t>
        </is>
      </c>
      <c r="D57" s="96" t="inlineStr">
        <is>
          <t>➜</t>
        </is>
      </c>
      <c r="E57" s="44" t="inlineStr">
        <is>
          <t>AUFK</t>
        </is>
      </c>
      <c r="F57" s="44" t="inlineStr">
        <is>
          <t>AUFNR</t>
        </is>
      </c>
      <c r="G57" s="96" t="inlineStr">
        <is>
          <t>N:1</t>
        </is>
      </c>
      <c r="H57" s="46" t="inlineStr">
        <is>
          <t>הפק"ע שנוצרה מהקריאה</t>
        </is>
      </c>
      <c r="I57" s="104">
        <f>HYPERLINK("#'"&amp;"11. אחזקה מונעת ותוכניות"&amp;"'!A33","➜ פתח")</f>
        <v/>
      </c>
    </row>
    <row r="58" ht="24" customHeight="1">
      <c r="A58" s="100" t="n">
        <v>56</v>
      </c>
      <c r="B58" s="103" t="inlineStr">
        <is>
          <t>MHIS</t>
        </is>
      </c>
      <c r="C58" s="103" t="inlineStr">
        <is>
          <t>WARPL</t>
        </is>
      </c>
      <c r="D58" s="100" t="inlineStr">
        <is>
          <t>➜</t>
        </is>
      </c>
      <c r="E58" s="52" t="inlineStr">
        <is>
          <t>MPLA</t>
        </is>
      </c>
      <c r="F58" s="52" t="inlineStr">
        <is>
          <t>WARPL</t>
        </is>
      </c>
      <c r="G58" s="100" t="inlineStr">
        <is>
          <t>N:1</t>
        </is>
      </c>
      <c r="H58" s="54" t="inlineStr">
        <is>
          <t>היסטוריית התזמון של התכנית</t>
        </is>
      </c>
      <c r="I58" s="105">
        <f>HYPERLINK("#'"&amp;"11. אחזקה מונעת ותוכניות"&amp;"'!A40","➜ פתח")</f>
        <v/>
      </c>
    </row>
    <row r="59" ht="24" customHeight="1">
      <c r="A59" s="96" t="n">
        <v>57</v>
      </c>
      <c r="B59" s="102" t="inlineStr">
        <is>
          <t>PLPO</t>
        </is>
      </c>
      <c r="C59" s="102" t="inlineStr">
        <is>
          <t>PLNNR</t>
        </is>
      </c>
      <c r="D59" s="96" t="inlineStr">
        <is>
          <t>➜</t>
        </is>
      </c>
      <c r="E59" s="44" t="inlineStr">
        <is>
          <t>PLKO</t>
        </is>
      </c>
      <c r="F59" s="44" t="inlineStr">
        <is>
          <t>PLNNR</t>
        </is>
      </c>
      <c r="G59" s="96" t="inlineStr">
        <is>
          <t>N:1</t>
        </is>
      </c>
      <c r="H59" s="46" t="inlineStr">
        <is>
          <t>פעולות רשימת הפעולות תחת הכותרת</t>
        </is>
      </c>
      <c r="I59" s="104">
        <f>HYPERLINK("#'"&amp;"11. אחזקה מונעת ותוכניות"&amp;"'!A10","➜ פתח")</f>
        <v/>
      </c>
    </row>
    <row r="60" ht="24" customHeight="1">
      <c r="A60" s="100" t="n">
        <v>58</v>
      </c>
      <c r="B60" s="103" t="inlineStr">
        <is>
          <t>PLPO</t>
        </is>
      </c>
      <c r="C60" s="103" t="inlineStr">
        <is>
          <t>ARBID</t>
        </is>
      </c>
      <c r="D60" s="100" t="inlineStr">
        <is>
          <t>➜</t>
        </is>
      </c>
      <c r="E60" s="52" t="inlineStr">
        <is>
          <t>CRHD</t>
        </is>
      </c>
      <c r="F60" s="52" t="inlineStr">
        <is>
          <t>OBJID</t>
        </is>
      </c>
      <c r="G60" s="100" t="inlineStr">
        <is>
          <t>N:1</t>
        </is>
      </c>
      <c r="H60" s="54" t="inlineStr">
        <is>
          <t>מרכז העבודה של הפעולה ברשימה</t>
        </is>
      </c>
      <c r="I60" s="105">
        <f>HYPERLINK("#'"&amp;"11. אחזקה מונעת ותוכניות"&amp;"'!A10","➜ פתח")</f>
        <v/>
      </c>
    </row>
  </sheetData>
  <mergeCells count="2">
    <mergeCell ref="C1:I1"/>
    <mergeCell ref="A1:B1"/>
  </mergeCells>
  <hyperlinks>
    <hyperlink xmlns:r="http://schemas.openxmlformats.org/officeDocument/2006/relationships" ref="A1" r:id="rId1"/>
  </hyperlinks>
  <printOptions horizontalCentered="1" gridLines="0"/>
  <pageMargins left="0.3" right="0.3" top="0.7" bottom="0.6" header="0.3" footer="0.3"/>
  <pageSetup orientation="landscape" fitToHeight="0" fitToWidth="1"/>
  <headerFooter>
    <oddHeader>&amp;L&amp;"Segoe UI,Bold"&amp;13&amp;KD62027CBC ISRAEL&amp;C&amp;"Segoe UI,Bold"&amp;11&amp;K1E1E24Project NEO  |  SAP PM  ECC 6.0 -&gt; S/4HANA Migration&amp;R&amp;"Segoe UI"&amp;9&amp;K6B7280&amp;A</oddHeader>
    <oddFooter>&amp;L&amp;"Segoe UI"&amp;8&amp;K6B7280SAP PM Migration Workbook  -  CBC Israel (Project NEO)&amp;C&amp;"Segoe UI"&amp;8&amp;K6B7280Page &amp;P of &amp;N&amp;R&amp;"Segoe UI"&amp;8&amp;K6B7280&amp;D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2026-06-08T06:25:08Z</dcterms:created>
  <dcterms:modified xsi:type="dcterms:W3CDTF">2026-06-08T06:25:10Z</dcterms:modified>
</cp:coreProperties>
</file>