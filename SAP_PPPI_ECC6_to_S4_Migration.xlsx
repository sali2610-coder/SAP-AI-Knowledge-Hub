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סך ניווט מרכזי" sheetId="1" state="visible" r:id="rId1"/>
    <sheet name="1. נתוני אב חומר ויחידות מידה (" sheetId="2" state="visible" r:id="rId2"/>
    <sheet name="2. עץ מוצר (BOM)" sheetId="3" state="visible" r:id="rId3"/>
    <sheet name="3. מתכון ייצור ופעולות (Master " sheetId="4" state="visible" r:id="rId4"/>
    <sheet name="4. גרסאות ייצור (Production Ver" sheetId="5" state="visible" r:id="rId5"/>
    <sheet name="5. משאבים  מרכזי עבודה (Resourc" sheetId="6" state="visible" r:id="rId6"/>
    <sheet name="6. פק&quot;ע ייצור ומתכון בקרה (Proc" sheetId="7" state="visible" r:id="rId7"/>
    <sheet name="7. קונפיגורציה (Customizing)" sheetId="8" state="visible" r:id="rId8"/>
    <sheet name="Cockpit מעקב מיגרציה" sheetId="9" state="visible" r:id="rId9"/>
    <sheet name="ER - Join Map" sheetId="10" state="visible" r:id="rId10"/>
  </sheets>
  <definedNames>
    <definedName name="_xlnm.Print_Area" localSheetId="0">'מסך ניווט מרכזי'!$A$1:$M$60</definedName>
    <definedName name="_xlnm.Print_Titles" localSheetId="1">'1. נתוני אב חומר ויחידות מידה ('!$1:$2</definedName>
    <definedName name="_xlnm.Print_Titles" localSheetId="2">'2. עץ מוצר (BOM)'!$1:$2</definedName>
    <definedName name="_xlnm.Print_Titles" localSheetId="3">'3. מתכון ייצור ופעולות (Master '!$1:$2</definedName>
    <definedName name="_xlnm.Print_Titles" localSheetId="4">'4. גרסאות ייצור (Production Ver'!$1:$2</definedName>
    <definedName name="_xlnm.Print_Titles" localSheetId="5">'5. משאבים  מרכזי עבודה (Resourc'!$1:$2</definedName>
    <definedName name="_xlnm.Print_Titles" localSheetId="6">'6. פק"ע ייצור ומתכון בקרה (Proc'!$1:$2</definedName>
    <definedName name="_xlnm.Print_Titles" localSheetId="7">'7. קונפיגורציה (Customizing)'!$1:$2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b val="1"/>
      <color rgb="001E1E24"/>
      <sz val="11"/>
    </font>
    <font>
      <name val="Segoe UI"/>
      <b val="1"/>
      <color rgb="00FFFFFF"/>
      <sz val="9"/>
    </font>
    <font>
      <name val="Segoe UI"/>
      <b val="1"/>
      <color rgb="001E1E24"/>
      <sz val="9"/>
    </font>
    <font>
      <name val="Consolas"/>
      <b val="1"/>
      <color rgb="00D62027"/>
      <sz val="9"/>
    </font>
    <font>
      <name val="Segoe UI"/>
      <color rgb="001F2937"/>
      <sz val="9"/>
    </font>
    <font>
      <name val="Segoe UI"/>
      <b val="1"/>
      <color rgb="000563C1"/>
      <sz val="9"/>
      <u val="single"/>
    </font>
    <font>
      <name val="Segoe UI"/>
      <b val="1"/>
      <color rgb="00D62027"/>
      <sz val="9"/>
    </font>
    <font>
      <name val="Consolas"/>
      <b val="1"/>
      <color rgb="001E1E24"/>
      <sz val="9"/>
    </font>
    <font>
      <name val="Segoe UI"/>
      <color rgb="006B7280"/>
      <sz val="10"/>
    </font>
    <font>
      <name val="Segoe UI"/>
      <color rgb="001F2937"/>
      <sz val="10"/>
    </font>
    <font>
      <name val="Segoe UI"/>
      <b val="1"/>
      <color rgb="00D62027"/>
      <sz val="10"/>
    </font>
    <font>
      <name val="Segoe UI"/>
      <b val="1"/>
      <color rgb="00B01722"/>
      <sz val="10"/>
    </font>
    <font>
      <name val="Segoe UI"/>
      <b val="1"/>
      <color rgb="0037474F"/>
      <sz val="10"/>
    </font>
    <font>
      <name val="Segoe UI"/>
      <color rgb="009AA3AF"/>
      <sz val="10"/>
    </font>
    <font>
      <name val="Consolas"/>
      <color rgb="000B5394"/>
      <sz val="9"/>
    </font>
    <font>
      <name val="Segoe UI"/>
      <color rgb="009A5A23"/>
      <sz val="9"/>
    </font>
    <font>
      <name val="Segoe UI"/>
      <color rgb="000563C1"/>
      <sz val="9"/>
      <u val="single"/>
    </font>
    <font>
      <name val="Segoe UI"/>
      <b val="1"/>
      <color rgb="00FFFFFF"/>
      <sz val="12"/>
    </font>
    <font>
      <name val="Segoe UI"/>
      <b val="1"/>
      <color rgb="001E1E24"/>
      <sz val="18"/>
    </font>
    <font>
      <name val="Segoe UI"/>
      <b val="1"/>
      <color rgb="001E5A44"/>
      <sz val="18"/>
    </font>
    <font>
      <name val="Segoe UI"/>
      <b val="1"/>
      <color rgb="001E5A44"/>
      <sz val="9"/>
    </font>
    <font>
      <name val="Segoe UI"/>
      <b val="1"/>
      <color rgb="002A4A57"/>
      <sz val="18"/>
    </font>
    <font>
      <name val="Segoe UI"/>
      <b val="1"/>
      <color rgb="002A4A57"/>
      <sz val="9"/>
    </font>
    <font>
      <name val="Segoe UI"/>
      <b val="1"/>
      <color rgb="0037474F"/>
      <sz val="18"/>
    </font>
    <font>
      <name val="Segoe UI"/>
      <b val="1"/>
      <color rgb="0037474F"/>
      <sz val="9"/>
    </font>
    <font>
      <name val="Segoe UI"/>
      <b val="1"/>
      <color rgb="00B01722"/>
      <sz val="18"/>
    </font>
    <font>
      <name val="Segoe UI"/>
      <b val="1"/>
      <color rgb="00B01722"/>
      <sz val="9"/>
    </font>
    <font>
      <name val="Segoe UI"/>
      <b val="1"/>
      <color rgb="00D62027"/>
      <sz val="18"/>
    </font>
    <font>
      <name val="Segoe UI"/>
      <b val="1"/>
      <color rgb="001F2937"/>
      <sz val="11"/>
    </font>
    <font>
      <name val="Segoe UI"/>
      <b val="1"/>
      <color rgb="00475569"/>
      <sz val="10"/>
    </font>
    <font>
      <name val="Segoe UI"/>
      <b val="1"/>
      <color rgb="002A4A57"/>
      <sz val="10"/>
    </font>
    <font>
      <name val="Segoe UI"/>
      <b val="1"/>
      <color rgb="001E5A44"/>
      <sz val="10"/>
    </font>
    <font>
      <name val="Consolas"/>
      <b val="1"/>
      <color rgb="000B5394"/>
      <sz val="10"/>
    </font>
    <font>
      <name val="Segoe UI"/>
      <b val="1"/>
      <color rgb="0064748B"/>
      <sz val="10"/>
    </font>
    <font>
      <name val="Segoe UI"/>
      <b val="1"/>
      <color rgb="001E1E24"/>
      <sz val="10"/>
    </font>
    <font>
      <name val="Segoe UI"/>
      <b val="1"/>
      <color rgb="00FFFFFF"/>
      <sz val="8"/>
    </font>
    <font>
      <name val="Segoe UI"/>
      <b val="1"/>
      <color rgb="001E1E24"/>
      <sz val="8"/>
    </font>
    <font>
      <name val="Segoe UI"/>
      <color rgb="000563C1"/>
      <sz val="8"/>
      <u val="single"/>
    </font>
    <font>
      <name val="Segoe UI"/>
      <color rgb="00475569"/>
      <sz val="9"/>
    </font>
    <font>
      <name val="Segoe UI"/>
      <color theme="1"/>
      <sz val="11"/>
    </font>
  </fonts>
  <fills count="17">
    <fill>
      <patternFill/>
    </fill>
    <fill>
      <patternFill patternType="gray125"/>
    </fill>
    <fill>
      <patternFill patternType="solid">
        <fgColor rgb="001E1E24"/>
      </patternFill>
    </fill>
    <fill>
      <patternFill patternType="solid">
        <fgColor rgb="00D62027"/>
      </patternFill>
    </fill>
    <fill>
      <patternFill patternType="solid">
        <fgColor rgb="002B2B33"/>
      </patternFill>
    </fill>
    <fill>
      <patternFill patternType="solid">
        <fgColor rgb="008A9EA7"/>
      </patternFill>
    </fill>
    <fill>
      <patternFill patternType="solid">
        <fgColor rgb="00FCE4E6"/>
      </patternFill>
    </fill>
    <fill>
      <patternFill patternType="solid">
        <fgColor rgb="00F9FAFB"/>
      </patternFill>
    </fill>
    <fill>
      <patternFill patternType="solid">
        <fgColor rgb="00ECEFF1"/>
      </patternFill>
    </fill>
    <fill>
      <patternFill patternType="solid">
        <fgColor rgb="00FBF1E6"/>
      </patternFill>
    </fill>
    <fill>
      <patternFill patternType="solid">
        <fgColor rgb="00F3F4F6"/>
      </patternFill>
    </fill>
    <fill>
      <patternFill patternType="solid">
        <fgColor rgb="00FBE3E4"/>
      </patternFill>
    </fill>
    <fill>
      <patternFill patternType="solid">
        <fgColor rgb="00DCEFE0"/>
      </patternFill>
    </fill>
    <fill>
      <patternFill patternType="solid">
        <fgColor rgb="00DCE6EC"/>
      </patternFill>
    </fill>
    <fill>
      <patternFill patternType="solid">
        <fgColor rgb="00E1E6EA"/>
      </patternFill>
    </fill>
    <fill>
      <patternFill patternType="solid">
        <fgColor rgb="00F7F8FA"/>
      </patternFill>
    </fill>
    <fill>
      <patternFill patternType="solid">
        <fgColor rgb="00F1F3F5"/>
      </patternFill>
    </fill>
  </fills>
  <borders count="7">
    <border>
      <left/>
      <right/>
      <top/>
      <bottom/>
      <diagonal/>
    </border>
    <border>
      <left style="thin">
        <color rgb="00F40009"/>
      </left>
      <right style="thin">
        <color rgb="00F40009"/>
      </right>
      <top style="thin">
        <color rgb="00F40009"/>
      </top>
      <bottom style="thin">
        <color rgb="00F40009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medium">
        <color rgb="00F40009"/>
      </left>
      <right style="medium">
        <color rgb="00F40009"/>
      </right>
      <top style="medium">
        <color rgb="00F40009"/>
      </top>
      <bottom style="medium">
        <color rgb="00F4000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43" fillId="15" borderId="0" pivotButton="0" quotePrefix="0" xfId="0"/>
    <xf numFmtId="0" fontId="39" fillId="2" borderId="0" pivotButton="0" quotePrefix="0" xfId="0"/>
    <xf numFmtId="0" fontId="31" fillId="15" borderId="0" applyAlignment="1" pivotButton="0" quotePrefix="0" xfId="0">
      <alignment horizontal="right"/>
    </xf>
    <xf numFmtId="0" fontId="43" fillId="0" borderId="0" pivotButton="0" quotePrefix="0" xfId="0"/>
    <xf numFmtId="0" fontId="21" fillId="3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0" fontId="37" fillId="15" borderId="0" applyAlignment="1" pivotButton="0" quotePrefix="0" xfId="0">
      <alignment horizontal="right"/>
    </xf>
    <xf numFmtId="0" fontId="21" fillId="3" borderId="0" applyAlignment="1" pivotButton="0" quotePrefix="0" xfId="0">
      <alignment horizontal="right"/>
    </xf>
    <xf numFmtId="0" fontId="22" fillId="8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0" fontId="25" fillId="13" borderId="2" applyAlignment="1" pivotButton="0" quotePrefix="0" xfId="0">
      <alignment horizontal="center" vertical="center"/>
    </xf>
    <xf numFmtId="0" fontId="27" fillId="14" borderId="2" applyAlignment="1" pivotButton="0" quotePrefix="0" xfId="0">
      <alignment horizontal="center" vertical="center"/>
    </xf>
    <xf numFmtId="0" fontId="29" fillId="6" borderId="2" applyAlignment="1" pivotButton="0" quotePrefix="0" xfId="0">
      <alignment horizontal="center" vertical="center"/>
    </xf>
    <xf numFmtId="9" fontId="31" fillId="11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26" fillId="13" borderId="2" applyAlignment="1" pivotButton="0" quotePrefix="0" xfId="0">
      <alignment horizontal="center" vertical="center" wrapText="1"/>
    </xf>
    <xf numFmtId="0" fontId="28" fillId="14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right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38" fillId="5" borderId="2" applyAlignment="1" pivotButton="0" quotePrefix="0" xfId="0">
      <alignment horizontal="center" vertical="center" wrapText="1"/>
    </xf>
    <xf numFmtId="0" fontId="43" fillId="0" borderId="2" pivotButton="0" quotePrefix="0" xfId="0"/>
    <xf numFmtId="0" fontId="32" fillId="15" borderId="0" applyAlignment="1" pivotButton="0" quotePrefix="0" xfId="0">
      <alignment horizontal="right"/>
    </xf>
    <xf numFmtId="0" fontId="43" fillId="6" borderId="6" pivotButton="0" quotePrefix="0" xfId="0"/>
    <xf numFmtId="0" fontId="1" fillId="2" borderId="2" applyAlignment="1" pivotButton="0" quotePrefix="0" xfId="0">
      <alignment horizontal="center"/>
    </xf>
    <xf numFmtId="0" fontId="13" fillId="15" borderId="0" applyAlignment="1" pivotButton="0" quotePrefix="0" xfId="0">
      <alignment horizontal="right"/>
    </xf>
    <xf numFmtId="0" fontId="42" fillId="16" borderId="2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/>
    </xf>
    <xf numFmtId="0" fontId="4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right" vertical="center" wrapText="1"/>
    </xf>
    <xf numFmtId="0" fontId="1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right" vertical="top" wrapText="1"/>
    </xf>
    <xf numFmtId="0" fontId="19" fillId="0" borderId="2" applyAlignment="1" pivotButton="0" quotePrefix="0" xfId="0">
      <alignment horizontal="right" vertical="top" wrapText="1"/>
    </xf>
    <xf numFmtId="0" fontId="20" fillId="0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center" vertical="center" wrapText="1"/>
    </xf>
    <xf numFmtId="0" fontId="43" fillId="0" borderId="4" pivotButton="0" quotePrefix="0" xfId="0"/>
    <xf numFmtId="0" fontId="14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right" vertical="center" wrapText="1"/>
    </xf>
    <xf numFmtId="0" fontId="17" fillId="10" borderId="2" applyAlignment="1" pivotButton="0" quotePrefix="0" xfId="0">
      <alignment horizontal="center" vertical="center" wrapText="1"/>
    </xf>
    <xf numFmtId="0" fontId="43" fillId="0" borderId="5" pivotButton="0" quotePrefix="0" xfId="0"/>
    <xf numFmtId="0" fontId="14" fillId="11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top" wrapText="1"/>
    </xf>
    <xf numFmtId="0" fontId="1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right" vertical="top" wrapText="1"/>
    </xf>
    <xf numFmtId="0" fontId="19" fillId="9" borderId="2" applyAlignment="1" pivotButton="0" quotePrefix="0" xfId="0">
      <alignment horizontal="right" vertical="top" wrapText="1"/>
    </xf>
    <xf numFmtId="0" fontId="20" fillId="9" borderId="2" applyAlignment="1" pivotButton="0" quotePrefix="0" xfId="0">
      <alignment horizontal="center" vertical="top" wrapText="1"/>
    </xf>
    <xf numFmtId="0" fontId="1" fillId="2" borderId="2" pivotButton="0" quotePrefix="0" xfId="0"/>
    <xf numFmtId="0" fontId="15" fillId="6" borderId="2" pivotButton="0" quotePrefix="0" xfId="0"/>
    <xf numFmtId="0" fontId="32" fillId="0" borderId="2" applyAlignment="1" pivotButton="0" quotePrefix="0" xfId="0">
      <alignment horizontal="center"/>
    </xf>
    <xf numFmtId="0" fontId="6" fillId="8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center" vertical="center"/>
    </xf>
    <xf numFmtId="0" fontId="26" fillId="13" borderId="2" applyAlignment="1" pivotButton="0" quotePrefix="0" xfId="0">
      <alignment horizontal="center" vertical="center"/>
    </xf>
    <xf numFmtId="0" fontId="28" fillId="14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33" fillId="8" borderId="2" pivotButton="0" quotePrefix="0" xfId="0"/>
    <xf numFmtId="0" fontId="16" fillId="14" borderId="2" pivotButton="0" quotePrefix="0" xfId="0"/>
    <xf numFmtId="0" fontId="34" fillId="13" borderId="2" pivotButton="0" quotePrefix="0" xfId="0"/>
    <xf numFmtId="0" fontId="3" fillId="2" borderId="2" applyAlignment="1" pivotButton="0" quotePrefix="0" xfId="0">
      <alignment horizontal="center" vertical="center" wrapText="1"/>
    </xf>
    <xf numFmtId="0" fontId="35" fillId="12" borderId="2" pivotButton="0" quotePrefix="0" xfId="0"/>
    <xf numFmtId="0" fontId="20" fillId="0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36" fillId="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36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Segoe UI"/>
        <b val="1"/>
        <color rgb="00B01722"/>
        <sz val="10"/>
      </font>
      <fill>
        <patternFill patternType="solid">
          <fgColor rgb="00FCE4E6"/>
        </patternFill>
      </fill>
    </dxf>
    <dxf>
      <font>
        <name val="Segoe UI"/>
        <b val="1"/>
        <color rgb="00475569"/>
        <sz val="10"/>
      </font>
      <fill>
        <patternFill patternType="solid">
          <fgColor rgb="00ECEFF1"/>
        </patternFill>
      </fill>
    </dxf>
    <dxf>
      <font>
        <name val="Segoe UI"/>
        <b val="1"/>
        <color rgb="0037474F"/>
        <sz val="10"/>
      </font>
      <fill>
        <patternFill patternType="solid">
          <fgColor rgb="00E1E6EA"/>
        </patternFill>
      </fill>
    </dxf>
    <dxf>
      <font>
        <name val="Segoe UI"/>
        <b val="1"/>
        <color rgb="002A4A57"/>
        <sz val="10"/>
      </font>
      <fill>
        <patternFill patternType="solid">
          <fgColor rgb="00DCE6EC"/>
        </patternFill>
      </fill>
    </dxf>
    <dxf>
      <font>
        <name val="Segoe UI"/>
        <b val="1"/>
        <color rgb="001E5A44"/>
        <sz val="10"/>
      </font>
      <fill>
        <patternFill patternType="solid">
          <fgColor rgb="00DCE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&#1504;&#1514;&#1493;&#1504;&#1497; &#1488;&#1489; &#1495;&#1493;&#1502;&#1512; &#1493;&#1497;&#1495;&#1497;&#1491;&#1493;&#1514; &#1502;&#1497;&#1491;&#1492; ('!A1" TargetMode="External" Id="rId1" /><Relationship Type="http://schemas.openxmlformats.org/officeDocument/2006/relationships/hyperlink" Target="#'2. &#1506;&#1509; &#1502;&#1493;&#1510;&#1512; (BOM)'!A1" TargetMode="External" Id="rId2" /><Relationship Type="http://schemas.openxmlformats.org/officeDocument/2006/relationships/hyperlink" Target="#'3. &#1502;&#1514;&#1499;&#1493;&#1503; &#1497;&#1497;&#1510;&#1493;&#1512; &#1493;&#1508;&#1506;&#1493;&#1500;&#1493;&#1514; (Master '!A1" TargetMode="External" Id="rId3" /><Relationship Type="http://schemas.openxmlformats.org/officeDocument/2006/relationships/hyperlink" Target="#'4. &#1490;&#1512;&#1505;&#1488;&#1493;&#1514; &#1497;&#1497;&#1510;&#1493;&#1512; (Production Ver'!A1" TargetMode="External" Id="rId4" /><Relationship Type="http://schemas.openxmlformats.org/officeDocument/2006/relationships/hyperlink" Target="#'5. &#1502;&#1513;&#1488;&#1489;&#1497;&#1501;  &#1502;&#1512;&#1499;&#1494;&#1497; &#1506;&#1489;&#1493;&#1491;&#1492; (Resourc'!A1" TargetMode="External" Id="rId5" /><Relationship Type="http://schemas.openxmlformats.org/officeDocument/2006/relationships/hyperlink" Target="#'6. &#1508;&#1511;&quot;&#1506; &#1497;&#1497;&#1510;&#1493;&#1512; &#1493;&#1502;&#1514;&#1499;&#1493;&#1503; &#1489;&#1511;&#1512;&#1492; (Proc'!A1" TargetMode="External" Id="rId6" /><Relationship Type="http://schemas.openxmlformats.org/officeDocument/2006/relationships/hyperlink" Target="#'7. &#1511;&#1493;&#1504;&#1508;&#1497;&#1490;&#1493;&#1512;&#1510;&#1497;&#1492; (Customizing)'!A1" TargetMode="External" Id="rId7" /><Relationship Type="http://schemas.openxmlformats.org/officeDocument/2006/relationships/hyperlink" Target="#'Cockpit &#1502;&#1506;&#1511;&#1489; &#1502;&#1497;&#1490;&#1512;&#1510;&#1497;&#1492;'!A1" TargetMode="External" Id="rId8" /><Relationship Type="http://schemas.openxmlformats.org/officeDocument/2006/relationships/hyperlink" Target="#'ER - Join Map'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fioriappslibrary.hana.ondemand.com/sap/fix/externalViewer/#/detail/Apps('F1602A')" TargetMode="External" Id="rId2" /><Relationship Type="http://schemas.openxmlformats.org/officeDocument/2006/relationships/hyperlink" Target="https://fioriappslibrary.hana.ondemand.com/sap/fix/externalViewer/#/detail/Apps('F1602A')" TargetMode="External" Id="rId3" /><Relationship Type="http://schemas.openxmlformats.org/officeDocument/2006/relationships/hyperlink" Target="https://help.sap.com/docs/SAP_S4HANA_ON-PREMISE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launchpad.support.sap.com/#/notes/2267835" TargetMode="External" Id="rId10" /><Relationship Type="http://schemas.openxmlformats.org/officeDocument/2006/relationships/hyperlink" Target="https://help.sap.com/docs/SAP_S4HANA_ON-PREMISE" TargetMode="External" Id="rId11" /><Relationship Type="http://schemas.openxmlformats.org/officeDocument/2006/relationships/hyperlink" Target="https://help.sap.com/docs/SAP_S4HANA_ON-PREMISE" TargetMode="External" Id="rId12" /><Relationship Type="http://schemas.openxmlformats.org/officeDocument/2006/relationships/hyperlink" Target="https://help.sap.com/docs/SAP_S4HANA_ON-PREMISE" TargetMode="External" Id="rId13" /><Relationship Type="http://schemas.openxmlformats.org/officeDocument/2006/relationships/hyperlink" Target="https://help.sap.com/docs/SAP_S4HANA_ON-PREMISE" TargetMode="External" Id="rId14" /><Relationship Type="http://schemas.openxmlformats.org/officeDocument/2006/relationships/hyperlink" Target="https://help.sap.com/docs/SAP_S4HANA_ON-PREMISE" TargetMode="External" Id="rId15" /><Relationship Type="http://schemas.openxmlformats.org/officeDocument/2006/relationships/hyperlink" Target="https://help.sap.com/docs/SAP_S4HANA_ON-PREMISE" TargetMode="External" Id="rId16" /><Relationship Type="http://schemas.openxmlformats.org/officeDocument/2006/relationships/hyperlink" Target="https://help.sap.com/docs/SAP_S4HANA_ON-PREMISE" TargetMode="External" Id="rId17" /><Relationship Type="http://schemas.openxmlformats.org/officeDocument/2006/relationships/hyperlink" Target="https://help.sap.com/docs/SAP_S4HANA_ON-PREMISE" TargetMode="External" Id="rId18" /><Relationship Type="http://schemas.openxmlformats.org/officeDocument/2006/relationships/hyperlink" Target="https://help.sap.com/docs/SAP_S4HANA_ON-PREMISE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fioriappslibrary.hana.ondemand.com/sap/fix/externalViewer/#/detail/Apps('F1743')" TargetMode="External" Id="rId2" /><Relationship Type="http://schemas.openxmlformats.org/officeDocument/2006/relationships/hyperlink" Target="https://fioriappslibrary.hana.ondemand.com/sap/fix/externalViewer/#/detail/Apps('F1813')" TargetMode="External" Id="rId3" /><Relationship Type="http://schemas.openxmlformats.org/officeDocument/2006/relationships/hyperlink" Target="https://fioriappslibrary.hana.ondemand.com/sap/fix/externalViewer/#/detail/Apps('F1813')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help.sap.com/docs/SAP_S4HANA_ON-PREMISE" TargetMode="External" Id="rId10" /><Relationship Type="http://schemas.openxmlformats.org/officeDocument/2006/relationships/hyperlink" Target="https://help.sap.com/docs/SAP_S4HANA_ON-PREMISE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help.sap.com/docs/SAP_S4HANA_ON-PREMISE" TargetMode="External" Id="rId2" /><Relationship Type="http://schemas.openxmlformats.org/officeDocument/2006/relationships/hyperlink" Target="https://help.sap.com/docs/SAP_S4HANA_ON-PREMISE" TargetMode="External" Id="rId3" /><Relationship Type="http://schemas.openxmlformats.org/officeDocument/2006/relationships/hyperlink" Target="https://help.sap.com/docs/SAP_S4HANA_ON-PREMISE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help.sap.com/docs/SAP_S4HANA_ON-PREMISE" TargetMode="External" Id="rId10" /><Relationship Type="http://schemas.openxmlformats.org/officeDocument/2006/relationships/hyperlink" Target="https://help.sap.com/docs/SAP_S4HANA_ON-PREMISE" TargetMode="External" Id="rId11" /><Relationship Type="http://schemas.openxmlformats.org/officeDocument/2006/relationships/hyperlink" Target="https://help.sap.com/docs/SAP_S4HANA_ON-PREMISE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fioriappslibrary.hana.ondemand.com/sap/fix/externalViewer/#/detail/Apps('F2703')" TargetMode="External" Id="rId2" /><Relationship Type="http://schemas.openxmlformats.org/officeDocument/2006/relationships/hyperlink" Target="https://fioriappslibrary.hana.ondemand.com/sap/fix/externalViewer/#/detail/Apps('F1602A')" TargetMode="External" Id="rId3" /><Relationship Type="http://schemas.openxmlformats.org/officeDocument/2006/relationships/hyperlink" Target="https://launchpad.support.sap.com/#/notes/2655896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fioriappslibrary.hana.ondemand.com/sap/fix/externalViewer/#/detail/Apps('F3794')" TargetMode="External" Id="rId2" /><Relationship Type="http://schemas.openxmlformats.org/officeDocument/2006/relationships/hyperlink" Target="https://help.sap.com/docs/SAP_S4HANA_ON-PREMISE" TargetMode="External" Id="rId3" /><Relationship Type="http://schemas.openxmlformats.org/officeDocument/2006/relationships/hyperlink" Target="https://help.sap.com/docs/SAP_S4HANA_ON-PREMISE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help.sap.com/docs/SAP_S4HANA_ON-PREMISE" TargetMode="External" Id="rId10" /><Relationship Type="http://schemas.openxmlformats.org/officeDocument/2006/relationships/hyperlink" Target="https://help.sap.com/docs/SAP_S4HANA_ON-PREMISE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fioriappslibrary.hana.ondemand.com/sap/fix/externalViewer/#/detail/Apps('F3372')" TargetMode="External" Id="rId2" /><Relationship Type="http://schemas.openxmlformats.org/officeDocument/2006/relationships/hyperlink" Target="https://help.sap.com/docs/SAP_S4HANA_ON-PREMISE" TargetMode="External" Id="rId3" /><Relationship Type="http://schemas.openxmlformats.org/officeDocument/2006/relationships/hyperlink" Target="https://help.sap.com/docs/SAP_S4HANA_ON-PREMISE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help.sap.com/docs/SAP_S4HANA_ON-PREMISE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Relationship Type="http://schemas.openxmlformats.org/officeDocument/2006/relationships/hyperlink" Target="https://help.sap.com/docs/SAP_S4HANA_ON-PREMISE" TargetMode="External" Id="rId2" /><Relationship Type="http://schemas.openxmlformats.org/officeDocument/2006/relationships/hyperlink" Target="https://help.sap.com/docs/SAP_S4HANA_ON-PREMISE" TargetMode="External" Id="rId3" /><Relationship Type="http://schemas.openxmlformats.org/officeDocument/2006/relationships/hyperlink" Target="https://help.sap.com/docs/SAP_S4HANA_ON-PREMISE" TargetMode="External" Id="rId4" /><Relationship Type="http://schemas.openxmlformats.org/officeDocument/2006/relationships/hyperlink" Target="https://help.sap.com/docs/SAP_S4HANA_ON-PREMISE" TargetMode="External" Id="rId5" /><Relationship Type="http://schemas.openxmlformats.org/officeDocument/2006/relationships/hyperlink" Target="https://help.sap.com/docs/SAP_S4HANA_ON-PREMISE" TargetMode="External" Id="rId6" /><Relationship Type="http://schemas.openxmlformats.org/officeDocument/2006/relationships/hyperlink" Target="https://help.sap.com/docs/SAP_S4HANA_ON-PREMISE" TargetMode="External" Id="rId7" /><Relationship Type="http://schemas.openxmlformats.org/officeDocument/2006/relationships/hyperlink" Target="https://help.sap.com/docs/SAP_S4HANA_ON-PREMISE" TargetMode="External" Id="rId8" /><Relationship Type="http://schemas.openxmlformats.org/officeDocument/2006/relationships/hyperlink" Target="https://help.sap.com/docs/SAP_S4HANA_ON-PREMISE" TargetMode="External" Id="rId9" /><Relationship Type="http://schemas.openxmlformats.org/officeDocument/2006/relationships/hyperlink" Target="https://help.sap.com/docs/SAP_S4HANA_ON-PREMISE" TargetMode="External" Id="rId10" /><Relationship Type="http://schemas.openxmlformats.org/officeDocument/2006/relationships/hyperlink" Target="https://help.sap.com/docs/SAP_S4HANA_ON-PREMISE" TargetMode="External" Id="rId11" /><Relationship Type="http://schemas.openxmlformats.org/officeDocument/2006/relationships/hyperlink" Target="https://help.sap.com/docs/SAP_S4HANA_ON-PREMISE" TargetMode="External" Id="rId12" /><Relationship Type="http://schemas.openxmlformats.org/officeDocument/2006/relationships/hyperlink" Target="https://launchpad.support.sap.com/#/notes/2265093" TargetMode="External" Id="rId13" /><Relationship Type="http://schemas.openxmlformats.org/officeDocument/2006/relationships/hyperlink" Target="https://help.sap.com/docs/SAP_S4HANA_ON-PREMISE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sheet1.xml><?xml version="1.0" encoding="utf-8"?>
<worksheet xmlns="http://schemas.openxmlformats.org/spreadsheetml/2006/main">
  <sheetPr>
    <tabColor rgb="00D62027"/>
    <outlinePr summaryBelow="1" summaryRight="1"/>
    <pageSetUpPr/>
  </sheetPr>
  <dimension ref="A1:T64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3" customWidth="1" min="10" max="10"/>
    <col width="3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" t="inlineStr">
        <is>
          <t>Type</t>
        </is>
      </c>
      <c r="O1" s="2" t="inlineStr">
        <is>
          <t>Code</t>
        </is>
      </c>
      <c r="P1" s="2" t="inlineStr">
        <is>
          <t>He</t>
        </is>
      </c>
      <c r="Q1" s="2" t="inlineStr">
        <is>
          <t>En</t>
        </is>
      </c>
      <c r="R1" s="2" t="inlineStr">
        <is>
          <t>Sheet</t>
        </is>
      </c>
      <c r="S1" s="2" t="inlineStr">
        <is>
          <t>Cell</t>
        </is>
      </c>
      <c r="T1" s="2" t="inlineStr">
        <is>
          <t>Link</t>
        </is>
      </c>
    </row>
    <row r="2">
      <c r="A2" s="1" t="n"/>
      <c r="B2" s="3" t="inlineStr">
        <is>
          <t>CBC ISRAEL  |  SAP PP-PI  -  מסך ניווט מרכזי</t>
        </is>
      </c>
      <c r="C2" s="4" t="n"/>
      <c r="D2" s="4" t="n"/>
      <c r="E2" s="4" t="n"/>
      <c r="F2" s="4" t="n"/>
      <c r="G2" s="4" t="n"/>
      <c r="H2" s="4" t="n"/>
      <c r="I2" s="1" t="n"/>
      <c r="J2" s="5" t="inlineStr">
        <is>
          <t>★ CBC
Project NEO</t>
        </is>
      </c>
      <c r="K2" s="4" t="n"/>
      <c r="L2" s="4" t="n"/>
      <c r="M2" s="4" t="n"/>
      <c r="N2" s="4" t="inlineStr">
        <is>
          <t>טרנזקציה</t>
        </is>
      </c>
      <c r="O2" s="6" t="inlineStr">
        <is>
          <t>MM01</t>
        </is>
      </c>
      <c r="P2" s="4" t="inlineStr">
        <is>
          <t>Manage Product Master Data</t>
        </is>
      </c>
      <c r="Q2" s="4" t="inlineStr">
        <is>
          <t>F1602A</t>
        </is>
      </c>
      <c r="R2" s="4" t="inlineStr">
        <is>
          <t>1. נתוני אב חומר ויחידות מידה (</t>
        </is>
      </c>
      <c r="S2" s="4" t="inlineStr">
        <is>
          <t>A6</t>
        </is>
      </c>
      <c r="T2" s="7">
        <f>HYPERLINK("#'"&amp;R2&amp;"'!"&amp;S2,"➜ פתח")</f>
        <v/>
      </c>
    </row>
    <row r="3">
      <c r="A3" s="1" t="n"/>
      <c r="B3" s="8" t="inlineStr">
        <is>
          <t>Project NEO  -  Production Planning for Process Industries  |  ECC 6.0 ➜ S/4HANA</t>
        </is>
      </c>
      <c r="C3" s="4" t="n"/>
      <c r="D3" s="4" t="n"/>
      <c r="E3" s="4" t="n"/>
      <c r="F3" s="4" t="n"/>
      <c r="G3" s="4" t="n"/>
      <c r="H3" s="4" t="n"/>
      <c r="I3" s="1" t="n"/>
      <c r="J3" s="4" t="n"/>
      <c r="K3" s="4" t="n"/>
      <c r="L3" s="4" t="n"/>
      <c r="M3" s="4" t="n"/>
      <c r="N3" s="4" t="inlineStr">
        <is>
          <t>Fiori</t>
        </is>
      </c>
      <c r="O3" s="6" t="inlineStr">
        <is>
          <t>F1602A</t>
        </is>
      </c>
      <c r="P3" s="4" t="inlineStr">
        <is>
          <t>Manage Product Master Data</t>
        </is>
      </c>
      <c r="Q3" s="4" t="inlineStr"/>
      <c r="R3" s="4" t="inlineStr">
        <is>
          <t>1. נתוני אב חומר ויחידות מידה (</t>
        </is>
      </c>
      <c r="S3" s="4" t="inlineStr">
        <is>
          <t>A6</t>
        </is>
      </c>
      <c r="T3" s="7">
        <f>HYPERLINK("#'"&amp;R3&amp;"'!"&amp;S3,"➜ פתח")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4" t="inlineStr">
        <is>
          <t>טרנזקציה</t>
        </is>
      </c>
      <c r="O4" s="6" t="inlineStr">
        <is>
          <t>MM50</t>
        </is>
      </c>
      <c r="P4" s="4" t="inlineStr">
        <is>
          <t>Manage Product Master Data</t>
        </is>
      </c>
      <c r="Q4" s="4" t="inlineStr">
        <is>
          <t>F1602A</t>
        </is>
      </c>
      <c r="R4" s="4" t="inlineStr">
        <is>
          <t>1. נתוני אב חומר ויחידות מידה (</t>
        </is>
      </c>
      <c r="S4" s="4" t="inlineStr">
        <is>
          <t>A7</t>
        </is>
      </c>
      <c r="T4" s="7">
        <f>HYPERLINK("#'"&amp;R4&amp;"'!"&amp;S4,"➜ פתח")</f>
        <v/>
      </c>
    </row>
    <row r="5">
      <c r="A5" s="1" t="n"/>
      <c r="B5" s="9" t="inlineStr">
        <is>
          <t>סיכום התקדמות מיגרציה (KPI - חי מה-Cockpit)</t>
        </is>
      </c>
      <c r="C5" s="4" t="n"/>
      <c r="D5" s="4" t="n"/>
      <c r="E5" s="4" t="n"/>
      <c r="F5" s="4" t="n"/>
      <c r="G5" s="4" t="n"/>
      <c r="H5" s="4" t="n"/>
      <c r="I5" s="1" t="n"/>
      <c r="J5" s="1" t="n"/>
      <c r="K5" s="1" t="n"/>
      <c r="L5" s="1" t="n"/>
      <c r="M5" s="1" t="n"/>
      <c r="N5" s="4" t="inlineStr">
        <is>
          <t>Fiori</t>
        </is>
      </c>
      <c r="O5" s="6" t="inlineStr">
        <is>
          <t>F1602A</t>
        </is>
      </c>
      <c r="P5" s="4" t="inlineStr">
        <is>
          <t>Manage Product Master Data</t>
        </is>
      </c>
      <c r="Q5" s="4" t="inlineStr"/>
      <c r="R5" s="4" t="inlineStr">
        <is>
          <t>1. נתוני אב חומר ויחידות מידה (</t>
        </is>
      </c>
      <c r="S5" s="4" t="inlineStr">
        <is>
          <t>A7</t>
        </is>
      </c>
      <c r="T5" s="7">
        <f>HYPERLINK("#'"&amp;R5&amp;"'!"&amp;S5,"➜ פתח")</f>
        <v/>
      </c>
    </row>
    <row r="6" ht="30" customHeight="1">
      <c r="A6" s="1" t="n"/>
      <c r="B6" s="10">
        <f>COUNTA('Cockpit מעקב מיגרציה'!$C$8:$C$72)</f>
        <v/>
      </c>
      <c r="C6" s="11">
        <f>COUNTIF('Cockpit מעקב מיגרציה'!$D$8:$D$72,"Done")</f>
        <v/>
      </c>
      <c r="D6" s="12">
        <f>COUNTIF('Cockpit מעקב מיגרציה'!$D$8:$D$72,"Tested")</f>
        <v/>
      </c>
      <c r="E6" s="13">
        <f>(COUNTIF('Cockpit מעקב מיגרציה'!$D$8:$D$72,"In analysis")+COUNTIF('Cockpit מעקב מיגרציה'!$D$8:$D$72,"In conversion"))</f>
        <v/>
      </c>
      <c r="F6" s="14">
        <f>COUNTIF('Cockpit מעקב מיגרציה'!$D$8:$D$72,"Not started")</f>
        <v/>
      </c>
      <c r="G6" s="15">
        <f>IFERROR((COUNTIF('Cockpit מעקב מיגרציה'!$D$8:$D$72,"Done"))/(COUNTA('Cockpit מעקב מיגרציה'!$C$8:$C$72)),0)</f>
        <v/>
      </c>
      <c r="H6" s="1" t="n"/>
      <c r="I6" s="1" t="n"/>
      <c r="J6" s="1" t="n"/>
      <c r="K6" s="1" t="n"/>
      <c r="L6" s="1" t="n"/>
      <c r="M6" s="1" t="n"/>
      <c r="N6" s="4" t="inlineStr">
        <is>
          <t>טרנזקציה</t>
        </is>
      </c>
      <c r="O6" s="6" t="inlineStr">
        <is>
          <t>MMSC</t>
        </is>
      </c>
      <c r="P6" s="4" t="inlineStr">
        <is>
          <t>Mass Maintenance - Products</t>
        </is>
      </c>
      <c r="Q6" s="4" t="inlineStr">
        <is>
          <t>-</t>
        </is>
      </c>
      <c r="R6" s="4" t="inlineStr">
        <is>
          <t>1. נתוני אב חומר ויחידות מידה (</t>
        </is>
      </c>
      <c r="S6" s="4" t="inlineStr">
        <is>
          <t>A8</t>
        </is>
      </c>
      <c r="T6" s="7">
        <f>HYPERLINK("#'"&amp;R6&amp;"'!"&amp;S6,"➜ פתח")</f>
        <v/>
      </c>
    </row>
    <row r="7">
      <c r="A7" s="1" t="n"/>
      <c r="B7" s="16" t="inlineStr">
        <is>
          <t>סה"כ אובייקטים</t>
        </is>
      </c>
      <c r="C7" s="17" t="inlineStr">
        <is>
          <t>הושלם</t>
        </is>
      </c>
      <c r="D7" s="18" t="inlineStr">
        <is>
          <t>נבדק</t>
        </is>
      </c>
      <c r="E7" s="19" t="inlineStr">
        <is>
          <t>בתהליך</t>
        </is>
      </c>
      <c r="F7" s="20" t="inlineStr">
        <is>
          <t>פתוח</t>
        </is>
      </c>
      <c r="G7" s="21" t="inlineStr">
        <is>
          <t>% השלמה</t>
        </is>
      </c>
      <c r="H7" s="1" t="n"/>
      <c r="I7" s="1" t="n"/>
      <c r="J7" s="1" t="n"/>
      <c r="K7" s="1" t="n"/>
      <c r="L7" s="1" t="n"/>
      <c r="M7" s="1" t="n"/>
      <c r="N7" s="4" t="inlineStr">
        <is>
          <t>טרנזקציה</t>
        </is>
      </c>
      <c r="O7" s="6" t="inlineStr">
        <is>
          <t>CUNI</t>
        </is>
      </c>
      <c r="P7" s="4" t="inlineStr">
        <is>
          <t>Configure Units of Measure (SPRO)</t>
        </is>
      </c>
      <c r="Q7" s="4" t="inlineStr">
        <is>
          <t>-</t>
        </is>
      </c>
      <c r="R7" s="4" t="inlineStr">
        <is>
          <t>1. נתוני אב חומר ויחידות מידה (</t>
        </is>
      </c>
      <c r="S7" s="4" t="inlineStr">
        <is>
          <t>A9</t>
        </is>
      </c>
      <c r="T7" s="7">
        <f>HYPERLINK("#'"&amp;R7&amp;"'!"&amp;S7,"➜ פתח")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4" t="inlineStr">
        <is>
          <t>BAPI</t>
        </is>
      </c>
      <c r="O8" s="6" t="inlineStr">
        <is>
          <t>BAPI_MATERIAL_SAVEDATA</t>
        </is>
      </c>
      <c r="P8" s="4" t="inlineStr">
        <is>
          <t>יצירה/עדכון אב חומר - ליבת הטעינה ההמונית והממשקים</t>
        </is>
      </c>
      <c r="Q8" s="4" t="inlineStr"/>
      <c r="R8" s="4" t="inlineStr">
        <is>
          <t>1. נתוני אב חומר ויחידות מידה (</t>
        </is>
      </c>
      <c r="S8" s="4" t="inlineStr">
        <is>
          <t>A12</t>
        </is>
      </c>
      <c r="T8" s="7">
        <f>HYPERLINK("#'"&amp;R8&amp;"'!"&amp;S8,"➜ פתח")</f>
        <v/>
      </c>
    </row>
    <row r="9">
      <c r="A9" s="1" t="n"/>
      <c r="B9" s="22" t="inlineStr">
        <is>
          <t>ניווט מהיר לגיליונות</t>
        </is>
      </c>
      <c r="C9" s="4" t="n"/>
      <c r="D9" s="4" t="n"/>
      <c r="E9" s="4" t="n"/>
      <c r="F9" s="4" t="n"/>
      <c r="G9" s="4" t="n"/>
      <c r="H9" s="4" t="n"/>
      <c r="I9" s="1" t="n"/>
      <c r="J9" s="1" t="n"/>
      <c r="K9" s="1" t="n"/>
      <c r="L9" s="1" t="n"/>
      <c r="M9" s="1" t="n"/>
      <c r="N9" s="4" t="inlineStr">
        <is>
          <t>BAPI</t>
        </is>
      </c>
      <c r="O9" s="6" t="inlineStr">
        <is>
          <t>BAPI_MATERIAL_GET_DETAIL</t>
        </is>
      </c>
      <c r="P9" s="4" t="inlineStr">
        <is>
          <t>שליפת נתוני חומר לדוחות/ממשקים</t>
        </is>
      </c>
      <c r="Q9" s="4" t="inlineStr"/>
      <c r="R9" s="4" t="inlineStr">
        <is>
          <t>1. נתוני אב חומר ויחידות מידה (</t>
        </is>
      </c>
      <c r="S9" s="4" t="inlineStr">
        <is>
          <t>A13</t>
        </is>
      </c>
      <c r="T9" s="7">
        <f>HYPERLINK("#'"&amp;R9&amp;"'!"&amp;S9,"➜ פתח")</f>
        <v/>
      </c>
    </row>
    <row r="10">
      <c r="A10" s="1" t="n"/>
      <c r="B10" s="23" t="inlineStr">
        <is>
          <t>1. נתוני אב חומר ויחידות מידה (Material &amp; UoM)</t>
        </is>
      </c>
      <c r="C10" s="1" t="n"/>
      <c r="D10" s="23" t="inlineStr">
        <is>
          <t>2. עץ מוצר (BOM)</t>
        </is>
      </c>
      <c r="E10" s="1" t="n"/>
      <c r="F10" s="24" t="inlineStr">
        <is>
          <t>3. מתכון ייצור ופעולות (Master Recipe)</t>
        </is>
      </c>
      <c r="G10" s="1" t="n"/>
      <c r="H10" s="25" t="inlineStr">
        <is>
          <t>4. גרסאות ייצור (Production Versions - חובה ב-S/4)</t>
        </is>
      </c>
      <c r="I10" s="1" t="n"/>
      <c r="J10" s="1" t="n"/>
      <c r="K10" s="1" t="n"/>
      <c r="L10" s="1" t="n"/>
      <c r="M10" s="1" t="n"/>
      <c r="N10" s="4" t="inlineStr">
        <is>
          <t>IDoc</t>
        </is>
      </c>
      <c r="O10" s="6" t="inlineStr">
        <is>
          <t>MATMAS (MATMAS05)</t>
        </is>
      </c>
      <c r="P10" s="4" t="inlineStr">
        <is>
          <t>הפצת אב חומר ל/מ-מערכות חיצוניות (Zetes/Daymax)</t>
        </is>
      </c>
      <c r="Q10" s="4" t="inlineStr"/>
      <c r="R10" s="4" t="inlineStr">
        <is>
          <t>1. נתוני אב חומר ויחידות מידה (</t>
        </is>
      </c>
      <c r="S10" s="4" t="inlineStr">
        <is>
          <t>A14</t>
        </is>
      </c>
      <c r="T10" s="7">
        <f>HYPERLINK("#'"&amp;R10&amp;"'!"&amp;S10,"➜ פתח")</f>
        <v/>
      </c>
    </row>
    <row r="11">
      <c r="A11" s="1" t="n"/>
      <c r="B11" s="26" t="n"/>
      <c r="C11" s="1" t="n"/>
      <c r="D11" s="26" t="n"/>
      <c r="E11" s="1" t="n"/>
      <c r="F11" s="26" t="n"/>
      <c r="G11" s="1" t="n"/>
      <c r="H11" s="26" t="n"/>
      <c r="I11" s="1" t="n"/>
      <c r="J11" s="1" t="n"/>
      <c r="K11" s="1" t="n"/>
      <c r="L11" s="1" t="n"/>
      <c r="M11" s="1" t="n"/>
      <c r="N11" s="4" t="inlineStr">
        <is>
          <t>RFC</t>
        </is>
      </c>
      <c r="O11" s="6" t="inlineStr">
        <is>
          <t>MARA_SINGLE_READ / MARC_SINGLE_READ</t>
        </is>
      </c>
      <c r="P11" s="4" t="inlineStr">
        <is>
          <t>קריאת חומר/מפעל בודד</t>
        </is>
      </c>
      <c r="Q11" s="4" t="inlineStr"/>
      <c r="R11" s="4" t="inlineStr">
        <is>
          <t>1. נתוני אב חומר ויחידות מידה (</t>
        </is>
      </c>
      <c r="S11" s="4" t="inlineStr">
        <is>
          <t>A15</t>
        </is>
      </c>
      <c r="T11" s="7">
        <f>HYPERLINK("#'"&amp;R11&amp;"'!"&amp;S11,"➜ פתח")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4" t="inlineStr">
        <is>
          <t>תוכנית</t>
        </is>
      </c>
      <c r="O12" s="6" t="inlineStr">
        <is>
          <t>RMMG2000</t>
        </is>
      </c>
      <c r="P12" s="4" t="inlineStr">
        <is>
          <t>טעינה/עדכון חומר המוני (Direct Input)</t>
        </is>
      </c>
      <c r="Q12" s="4" t="inlineStr"/>
      <c r="R12" s="4" t="inlineStr">
        <is>
          <t>1. נתוני אב חומר ויחידות מידה (</t>
        </is>
      </c>
      <c r="S12" s="4" t="inlineStr">
        <is>
          <t>A18</t>
        </is>
      </c>
      <c r="T12" s="7">
        <f>HYPERLINK("#'"&amp;R12&amp;"'!"&amp;S12,"➜ פתח")</f>
        <v/>
      </c>
    </row>
    <row r="13">
      <c r="A13" s="1" t="n"/>
      <c r="B13" s="23" t="inlineStr">
        <is>
          <t>5. משאבים / מרכזי עבודה (Resources)</t>
        </is>
      </c>
      <c r="C13" s="1" t="n"/>
      <c r="D13" s="24" t="inlineStr">
        <is>
          <t>6. פק"ע ייצור ומתכון בקרה (Process Order)</t>
        </is>
      </c>
      <c r="E13" s="1" t="n"/>
      <c r="F13" s="23" t="inlineStr">
        <is>
          <t>7. קונפיגורציה (Customizing)</t>
        </is>
      </c>
      <c r="G13" s="1" t="n"/>
      <c r="H13" s="24" t="inlineStr">
        <is>
          <t>◆ Cockpit מעקב מיגרציה</t>
        </is>
      </c>
      <c r="I13" s="1" t="n"/>
      <c r="J13" s="1" t="n"/>
      <c r="K13" s="1" t="n"/>
      <c r="L13" s="1" t="n"/>
      <c r="M13" s="1" t="n"/>
      <c r="N13" s="4" t="inlineStr">
        <is>
          <t>תוכנית</t>
        </is>
      </c>
      <c r="O13" s="6" t="inlineStr">
        <is>
          <t>RMDATIND</t>
        </is>
      </c>
      <c r="P13" s="4" t="inlineStr">
        <is>
          <t>Direct Input לאב חומר מממשק</t>
        </is>
      </c>
      <c r="Q13" s="4" t="inlineStr"/>
      <c r="R13" s="4" t="inlineStr">
        <is>
          <t>1. נתוני אב חומר ויחידות מידה (</t>
        </is>
      </c>
      <c r="S13" s="4" t="inlineStr">
        <is>
          <t>A19</t>
        </is>
      </c>
      <c r="T13" s="7">
        <f>HYPERLINK("#'"&amp;R13&amp;"'!"&amp;S13,"➜ פתח")</f>
        <v/>
      </c>
    </row>
    <row r="14">
      <c r="A14" s="1" t="n"/>
      <c r="B14" s="26" t="n"/>
      <c r="C14" s="1" t="n"/>
      <c r="D14" s="26" t="n"/>
      <c r="E14" s="1" t="n"/>
      <c r="F14" s="26" t="n"/>
      <c r="G14" s="1" t="n"/>
      <c r="H14" s="26" t="n"/>
      <c r="I14" s="1" t="n"/>
      <c r="J14" s="1" t="n"/>
      <c r="K14" s="1" t="n"/>
      <c r="L14" s="1" t="n"/>
      <c r="M14" s="1" t="n"/>
      <c r="N14" s="4" t="inlineStr">
        <is>
          <t>תוכנית</t>
        </is>
      </c>
      <c r="O14" s="6" t="inlineStr">
        <is>
          <t>RMMM00B0 / MM60</t>
        </is>
      </c>
      <c r="P14" s="4" t="inlineStr">
        <is>
          <t>דוח רשימת חומרים</t>
        </is>
      </c>
      <c r="Q14" s="4" t="inlineStr"/>
      <c r="R14" s="4" t="inlineStr">
        <is>
          <t>1. נתוני אב חומר ויחידות מידה (</t>
        </is>
      </c>
      <c r="S14" s="4" t="inlineStr">
        <is>
          <t>A20</t>
        </is>
      </c>
      <c r="T14" s="7">
        <f>HYPERLINK("#'"&amp;R14&amp;"'!"&amp;S14,"➜ פתח")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4" t="inlineStr">
        <is>
          <t>טבלה</t>
        </is>
      </c>
      <c r="O15" s="6" t="inlineStr">
        <is>
          <t>MARA</t>
        </is>
      </c>
      <c r="P15" s="4" t="inlineStr">
        <is>
          <t>נתוני אב חומר כלליים</t>
        </is>
      </c>
      <c r="Q15" s="4" t="inlineStr">
        <is>
          <t>General material data</t>
        </is>
      </c>
      <c r="R15" s="4" t="inlineStr">
        <is>
          <t>1. נתוני אב חומר ויחידות מידה (</t>
        </is>
      </c>
      <c r="S15" s="4" t="inlineStr">
        <is>
          <t>A22</t>
        </is>
      </c>
      <c r="T15" s="7">
        <f>HYPERLINK("#'"&amp;R15&amp;"'!"&amp;S15,"➜ פתח")</f>
        <v/>
      </c>
    </row>
    <row r="16">
      <c r="A16" s="1" t="n"/>
      <c r="B16" s="24" t="inlineStr">
        <is>
          <t>⇄ ER - Join Map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4" t="inlineStr">
        <is>
          <t>שדה</t>
        </is>
      </c>
      <c r="O16" s="6" t="inlineStr">
        <is>
          <t>MATNR</t>
        </is>
      </c>
      <c r="P16" s="4" t="inlineStr">
        <is>
          <t>מספר חומר</t>
        </is>
      </c>
      <c r="Q16" s="4" t="inlineStr">
        <is>
          <t>Material number</t>
        </is>
      </c>
      <c r="R16" s="4" t="inlineStr">
        <is>
          <t>1. נתוני אב חומר ויחידות מידה (</t>
        </is>
      </c>
      <c r="S16" s="4" t="inlineStr">
        <is>
          <t>C23</t>
        </is>
      </c>
      <c r="T16" s="7">
        <f>HYPERLINK("#'"&amp;R16&amp;"'!"&amp;S16,"➜ פתח")</f>
        <v/>
      </c>
    </row>
    <row r="17">
      <c r="A17" s="1" t="n"/>
      <c r="B17" s="26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4" t="inlineStr">
        <is>
          <t>שדה</t>
        </is>
      </c>
      <c r="O17" s="6" t="inlineStr">
        <is>
          <t>MTART</t>
        </is>
      </c>
      <c r="P17" s="4" t="inlineStr">
        <is>
          <t>סוג חומר</t>
        </is>
      </c>
      <c r="Q17" s="4" t="inlineStr">
        <is>
          <t>Material type</t>
        </is>
      </c>
      <c r="R17" s="4" t="inlineStr">
        <is>
          <t>1. נתוני אב חומר ויחידות מידה (</t>
        </is>
      </c>
      <c r="S17" s="4" t="inlineStr">
        <is>
          <t>C24</t>
        </is>
      </c>
      <c r="T17" s="7">
        <f>HYPERLINK("#'"&amp;R17&amp;"'!"&amp;S17,"➜ פתח")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4" t="inlineStr">
        <is>
          <t>שדה</t>
        </is>
      </c>
      <c r="O18" s="6" t="inlineStr">
        <is>
          <t>MEINS</t>
        </is>
      </c>
      <c r="P18" s="4" t="inlineStr">
        <is>
          <t>יחידת מידה בסיסית</t>
        </is>
      </c>
      <c r="Q18" s="4" t="inlineStr">
        <is>
          <t>Base unit of measure</t>
        </is>
      </c>
      <c r="R18" s="4" t="inlineStr">
        <is>
          <t>1. נתוני אב חומר ויחידות מידה (</t>
        </is>
      </c>
      <c r="S18" s="4" t="inlineStr">
        <is>
          <t>C25</t>
        </is>
      </c>
      <c r="T18" s="7">
        <f>HYPERLINK("#'"&amp;R18&amp;"'!"&amp;S18,"➜ פתח")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4" t="inlineStr">
        <is>
          <t>שדה</t>
        </is>
      </c>
      <c r="O19" s="6" t="inlineStr">
        <is>
          <t>MATKL</t>
        </is>
      </c>
      <c r="P19" s="4" t="inlineStr">
        <is>
          <t>קבוצת חומר</t>
        </is>
      </c>
      <c r="Q19" s="4" t="inlineStr">
        <is>
          <t>Material group</t>
        </is>
      </c>
      <c r="R19" s="4" t="inlineStr">
        <is>
          <t>1. נתוני אב חומר ויחידות מידה (</t>
        </is>
      </c>
      <c r="S19" s="4" t="inlineStr">
        <is>
          <t>C26</t>
        </is>
      </c>
      <c r="T19" s="7">
        <f>HYPERLINK("#'"&amp;R19&amp;"'!"&amp;S19,"➜ פתח")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4" t="inlineStr">
        <is>
          <t>שדה</t>
        </is>
      </c>
      <c r="O20" s="6" t="inlineStr">
        <is>
          <t>GROES</t>
        </is>
      </c>
      <c r="P20" s="4" t="inlineStr">
        <is>
          <t>גודל / מידות</t>
        </is>
      </c>
      <c r="Q20" s="4" t="inlineStr">
        <is>
          <t>Size / dimensions</t>
        </is>
      </c>
      <c r="R20" s="4" t="inlineStr">
        <is>
          <t>1. נתוני אב חומר ויחידות מידה (</t>
        </is>
      </c>
      <c r="S20" s="4" t="inlineStr">
        <is>
          <t>C27</t>
        </is>
      </c>
      <c r="T20" s="7">
        <f>HYPERLINK("#'"&amp;R20&amp;"'!"&amp;S20,"➜ פתח")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4" t="inlineStr">
        <is>
          <t>שדה</t>
        </is>
      </c>
      <c r="O21" s="6" t="inlineStr">
        <is>
          <t>BRGEW</t>
        </is>
      </c>
      <c r="P21" s="4" t="inlineStr">
        <is>
          <t>משקל ברוטו</t>
        </is>
      </c>
      <c r="Q21" s="4" t="inlineStr">
        <is>
          <t>Gross weight</t>
        </is>
      </c>
      <c r="R21" s="4" t="inlineStr">
        <is>
          <t>1. נתוני אב חומר ויחידות מידה (</t>
        </is>
      </c>
      <c r="S21" s="4" t="inlineStr">
        <is>
          <t>C28</t>
        </is>
      </c>
      <c r="T21" s="7">
        <f>HYPERLINK("#'"&amp;R21&amp;"'!"&amp;S21,"➜ פתח")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4" t="inlineStr">
        <is>
          <t>שדה</t>
        </is>
      </c>
      <c r="O22" s="6" t="inlineStr">
        <is>
          <t>NTGEW</t>
        </is>
      </c>
      <c r="P22" s="4" t="inlineStr">
        <is>
          <t>משקל נטו</t>
        </is>
      </c>
      <c r="Q22" s="4" t="inlineStr">
        <is>
          <t>Net weight</t>
        </is>
      </c>
      <c r="R22" s="4" t="inlineStr">
        <is>
          <t>1. נתוני אב חומר ויחידות מידה (</t>
        </is>
      </c>
      <c r="S22" s="4" t="inlineStr">
        <is>
          <t>C29</t>
        </is>
      </c>
      <c r="T22" s="7">
        <f>HYPERLINK("#'"&amp;R22&amp;"'!"&amp;S22,"➜ פתח")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4" t="inlineStr">
        <is>
          <t>שדה</t>
        </is>
      </c>
      <c r="O23" s="6" t="inlineStr">
        <is>
          <t>XCHPF</t>
        </is>
      </c>
      <c r="P23" s="4" t="inlineStr">
        <is>
          <t>ניהול אצוות</t>
        </is>
      </c>
      <c r="Q23" s="4" t="inlineStr">
        <is>
          <t>Batch management indicator</t>
        </is>
      </c>
      <c r="R23" s="4" t="inlineStr">
        <is>
          <t>1. נתוני אב חומר ויחידות מידה (</t>
        </is>
      </c>
      <c r="S23" s="4" t="inlineStr">
        <is>
          <t>C30</t>
        </is>
      </c>
      <c r="T23" s="7">
        <f>HYPERLINK("#'"&amp;R23&amp;"'!"&amp;S23,"➜ פתח")</f>
        <v/>
      </c>
    </row>
    <row r="24">
      <c r="A24" s="1" t="n"/>
      <c r="B24" s="22" t="inlineStr">
        <is>
          <t>🔍 חיפוש גלובלי (טבלה / שדה / טרנזקציה - עברית/אנגלית)</t>
        </is>
      </c>
      <c r="C24" s="4" t="n"/>
      <c r="D24" s="4" t="n"/>
      <c r="E24" s="4" t="n"/>
      <c r="F24" s="4" t="n"/>
      <c r="G24" s="1" t="n"/>
      <c r="H24" s="1" t="n"/>
      <c r="I24" s="1" t="n"/>
      <c r="J24" s="1" t="n"/>
      <c r="K24" s="1" t="n"/>
      <c r="L24" s="1" t="n"/>
      <c r="M24" s="1" t="n"/>
      <c r="N24" s="4" t="inlineStr">
        <is>
          <t>טרנזקציה</t>
        </is>
      </c>
      <c r="O24" s="6" t="inlineStr">
        <is>
          <t>MM01</t>
        </is>
      </c>
      <c r="P24" s="4" t="inlineStr">
        <is>
          <t>נתוני אב חומר כלליים</t>
        </is>
      </c>
      <c r="Q24" s="4" t="inlineStr">
        <is>
          <t>General material data</t>
        </is>
      </c>
      <c r="R24" s="4" t="inlineStr">
        <is>
          <t>1. נתוני אב חומר ויחידות מידה (</t>
        </is>
      </c>
      <c r="S24" s="4" t="inlineStr">
        <is>
          <t>A23</t>
        </is>
      </c>
      <c r="T24" s="7">
        <f>HYPERLINK("#'"&amp;R24&amp;"'!"&amp;S24,"➜ פתח")</f>
        <v/>
      </c>
    </row>
    <row r="25" ht="26" customHeight="1">
      <c r="A25" s="1" t="n"/>
      <c r="B25" s="27" t="inlineStr">
        <is>
          <t>הקלד כאן:</t>
        </is>
      </c>
      <c r="C25" s="28" t="inlineStr"/>
      <c r="D25" s="4" t="n"/>
      <c r="E25" s="4" t="n"/>
      <c r="F25" s="4" t="n"/>
      <c r="G25" s="1" t="n"/>
      <c r="H25" s="1" t="n"/>
      <c r="I25" s="1" t="n"/>
      <c r="J25" s="1" t="n"/>
      <c r="K25" s="1" t="n"/>
      <c r="L25" s="1" t="n"/>
      <c r="M25" s="1" t="n"/>
      <c r="N25" s="4" t="inlineStr">
        <is>
          <t>טרנזקציה</t>
        </is>
      </c>
      <c r="O25" s="6" t="inlineStr">
        <is>
          <t>MM02</t>
        </is>
      </c>
      <c r="P25" s="4" t="inlineStr">
        <is>
          <t>נתוני אב חומר כלליים</t>
        </is>
      </c>
      <c r="Q25" s="4" t="inlineStr">
        <is>
          <t>General material data</t>
        </is>
      </c>
      <c r="R25" s="4" t="inlineStr">
        <is>
          <t>1. נתוני אב חומר ויחידות מידה (</t>
        </is>
      </c>
      <c r="S25" s="4" t="inlineStr">
        <is>
          <t>A23</t>
        </is>
      </c>
      <c r="T25" s="7">
        <f>HYPERLINK("#'"&amp;R25&amp;"'!"&amp;S25,"➜ פתח")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4" t="inlineStr">
        <is>
          <t>טרנזקציה</t>
        </is>
      </c>
      <c r="O26" s="6" t="inlineStr">
        <is>
          <t>MM03</t>
        </is>
      </c>
      <c r="P26" s="4" t="inlineStr">
        <is>
          <t>נתוני אב חומר כלליים</t>
        </is>
      </c>
      <c r="Q26" s="4" t="inlineStr">
        <is>
          <t>General material data</t>
        </is>
      </c>
      <c r="R26" s="4" t="inlineStr">
        <is>
          <t>1. נתוני אב חומר ויחידות מידה (</t>
        </is>
      </c>
      <c r="S26" s="4" t="inlineStr">
        <is>
          <t>A23</t>
        </is>
      </c>
      <c r="T26" s="7">
        <f>HYPERLINK("#'"&amp;R26&amp;"'!"&amp;S26,"➜ פתח")</f>
        <v/>
      </c>
    </row>
    <row r="27">
      <c r="A27" s="1" t="n"/>
      <c r="B27" s="29" t="inlineStr">
        <is>
          <t>קישור</t>
        </is>
      </c>
      <c r="C27" s="29" t="inlineStr">
        <is>
          <t>קוד</t>
        </is>
      </c>
      <c r="D27" s="29" t="inlineStr">
        <is>
          <t>עברית</t>
        </is>
      </c>
      <c r="E27" s="29" t="inlineStr">
        <is>
          <t>English</t>
        </is>
      </c>
      <c r="F27" s="29" t="inlineStr">
        <is>
          <t>גיליון</t>
        </is>
      </c>
      <c r="G27" s="29" t="inlineStr">
        <is>
          <t>תא</t>
        </is>
      </c>
      <c r="H27" s="1" t="n"/>
      <c r="I27" s="1" t="n"/>
      <c r="J27" s="1" t="n"/>
      <c r="K27" s="1" t="n"/>
      <c r="L27" s="1" t="n"/>
      <c r="M27" s="1" t="n"/>
      <c r="N27" s="4" t="inlineStr">
        <is>
          <t>טרנזקציה</t>
        </is>
      </c>
      <c r="O27" s="6" t="inlineStr">
        <is>
          <t>MM50</t>
        </is>
      </c>
      <c r="P27" s="4" t="inlineStr">
        <is>
          <t>נתוני אב חומר כלליים</t>
        </is>
      </c>
      <c r="Q27" s="4" t="inlineStr">
        <is>
          <t>General material data</t>
        </is>
      </c>
      <c r="R27" s="4" t="inlineStr">
        <is>
          <t>1. נתוני אב חומר ויחידות מידה (</t>
        </is>
      </c>
      <c r="S27" s="4" t="inlineStr">
        <is>
          <t>A23</t>
        </is>
      </c>
      <c r="T27" s="7">
        <f>HYPERLINK("#'"&amp;R27&amp;"'!"&amp;S27,"➜ פתח")</f>
        <v/>
      </c>
    </row>
    <row r="28">
      <c r="A28" s="1" t="n"/>
      <c r="B28" s="30">
        <f>IF(C25="","הקלד מונח וקבל תוצאות מיידיות...",IFERROR(_xlfn._xlws.FILTER(CHOOSE({1,2,3,4,5,6},$T$2:$T$649,$O$2:$O$649,$P$2:$P$649,$Q$2:$Q$649,$R$2:$R$649,$S$2:$S$649),(ISNUMBER(SEARCH(C25,$O$2:$O$649)))+(ISNUMBER(SEARCH(C25,$P$2:$P$649)))+(ISNUMBER(SEARCH(C25,$Q$2:$Q$649)))+(ISNUMBER(SEARCH(C25,$N$2:$N$649)))&gt;0),"לא נמצאו תוצאות"))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4" t="inlineStr">
        <is>
          <t>טרנזקציה</t>
        </is>
      </c>
      <c r="O28" s="6" t="inlineStr">
        <is>
          <t>MMSC</t>
        </is>
      </c>
      <c r="P28" s="4" t="inlineStr">
        <is>
          <t>נתוני אב חומר כלליים</t>
        </is>
      </c>
      <c r="Q28" s="4" t="inlineStr">
        <is>
          <t>General material data</t>
        </is>
      </c>
      <c r="R28" s="4" t="inlineStr">
        <is>
          <t>1. נתוני אב חומר ויחידות מידה (</t>
        </is>
      </c>
      <c r="S28" s="4" t="inlineStr">
        <is>
          <t>A23</t>
        </is>
      </c>
      <c r="T28" s="7">
        <f>HYPERLINK("#'"&amp;R28&amp;"'!"&amp;S28,"➜ פתח")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4" t="inlineStr">
        <is>
          <t>טבלה</t>
        </is>
      </c>
      <c r="O29" s="6" t="inlineStr">
        <is>
          <t>MAKT</t>
        </is>
      </c>
      <c r="P29" s="4" t="inlineStr">
        <is>
          <t>תיאורי חומר (טקסטים)</t>
        </is>
      </c>
      <c r="Q29" s="4" t="inlineStr">
        <is>
          <t>Material descriptions</t>
        </is>
      </c>
      <c r="R29" s="4" t="inlineStr">
        <is>
          <t>1. נתוני אב חומר ויחידות מידה (</t>
        </is>
      </c>
      <c r="S29" s="4" t="inlineStr">
        <is>
          <t>A32</t>
        </is>
      </c>
      <c r="T29" s="7">
        <f>HYPERLINK("#'"&amp;R29&amp;"'!"&amp;S29,"➜ פתח")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4" t="inlineStr">
        <is>
          <t>שדה</t>
        </is>
      </c>
      <c r="O30" s="6" t="inlineStr">
        <is>
          <t>MATNR</t>
        </is>
      </c>
      <c r="P30" s="4" t="inlineStr">
        <is>
          <t>מספר חומר</t>
        </is>
      </c>
      <c r="Q30" s="4" t="inlineStr">
        <is>
          <t>Material number</t>
        </is>
      </c>
      <c r="R30" s="4" t="inlineStr">
        <is>
          <t>1. נתוני אב חומר ויחידות מידה (</t>
        </is>
      </c>
      <c r="S30" s="4" t="inlineStr">
        <is>
          <t>C33</t>
        </is>
      </c>
      <c r="T30" s="7">
        <f>HYPERLINK("#'"&amp;R30&amp;"'!"&amp;S30,"➜ פתח")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4" t="inlineStr">
        <is>
          <t>שדה</t>
        </is>
      </c>
      <c r="O31" s="6" t="inlineStr">
        <is>
          <t>SPRAS</t>
        </is>
      </c>
      <c r="P31" s="4" t="inlineStr">
        <is>
          <t>שפה</t>
        </is>
      </c>
      <c r="Q31" s="4" t="inlineStr">
        <is>
          <t>Language key</t>
        </is>
      </c>
      <c r="R31" s="4" t="inlineStr">
        <is>
          <t>1. נתוני אב חומר ויחידות מידה (</t>
        </is>
      </c>
      <c r="S31" s="4" t="inlineStr">
        <is>
          <t>C34</t>
        </is>
      </c>
      <c r="T31" s="7">
        <f>HYPERLINK("#'"&amp;R31&amp;"'!"&amp;S31,"➜ פתח")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4" t="inlineStr">
        <is>
          <t>שדה</t>
        </is>
      </c>
      <c r="O32" s="6" t="inlineStr">
        <is>
          <t>MAKTX</t>
        </is>
      </c>
      <c r="P32" s="4" t="inlineStr">
        <is>
          <t>תיאור חומר</t>
        </is>
      </c>
      <c r="Q32" s="4" t="inlineStr">
        <is>
          <t>Material description</t>
        </is>
      </c>
      <c r="R32" s="4" t="inlineStr">
        <is>
          <t>1. נתוני אב חומר ויחידות מידה (</t>
        </is>
      </c>
      <c r="S32" s="4" t="inlineStr">
        <is>
          <t>C35</t>
        </is>
      </c>
      <c r="T32" s="7">
        <f>HYPERLINK("#'"&amp;R32&amp;"'!"&amp;S32,"➜ פתח")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4" t="inlineStr">
        <is>
          <t>שדה</t>
        </is>
      </c>
      <c r="O33" s="6" t="inlineStr">
        <is>
          <t>MAKTG</t>
        </is>
      </c>
      <c r="P33" s="4" t="inlineStr">
        <is>
          <t>תיאור (אותיות גדולות)</t>
        </is>
      </c>
      <c r="Q33" s="4" t="inlineStr">
        <is>
          <t>Description (upper case)</t>
        </is>
      </c>
      <c r="R33" s="4" t="inlineStr">
        <is>
          <t>1. נתוני אב חומר ויחידות מידה (</t>
        </is>
      </c>
      <c r="S33" s="4" t="inlineStr">
        <is>
          <t>C36</t>
        </is>
      </c>
      <c r="T33" s="7">
        <f>HYPERLINK("#'"&amp;R33&amp;"'!"&amp;S33,"➜ פתח")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4" t="inlineStr">
        <is>
          <t>טרנזקציה</t>
        </is>
      </c>
      <c r="O34" s="6" t="inlineStr">
        <is>
          <t>MM01</t>
        </is>
      </c>
      <c r="P34" s="4" t="inlineStr">
        <is>
          <t>תיאורי חומר (טקסטים)</t>
        </is>
      </c>
      <c r="Q34" s="4" t="inlineStr">
        <is>
          <t>Material descriptions</t>
        </is>
      </c>
      <c r="R34" s="4" t="inlineStr">
        <is>
          <t>1. נתוני אב חומר ויחידות מידה (</t>
        </is>
      </c>
      <c r="S34" s="4" t="inlineStr">
        <is>
          <t>A33</t>
        </is>
      </c>
      <c r="T34" s="7">
        <f>HYPERLINK("#'"&amp;R34&amp;"'!"&amp;S34,"➜ פתח")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4" t="inlineStr">
        <is>
          <t>טרנזקציה</t>
        </is>
      </c>
      <c r="O35" s="6" t="inlineStr">
        <is>
          <t>MM02</t>
        </is>
      </c>
      <c r="P35" s="4" t="inlineStr">
        <is>
          <t>תיאורי חומר (טקסטים)</t>
        </is>
      </c>
      <c r="Q35" s="4" t="inlineStr">
        <is>
          <t>Material descriptions</t>
        </is>
      </c>
      <c r="R35" s="4" t="inlineStr">
        <is>
          <t>1. נתוני אב חומר ויחידות מידה (</t>
        </is>
      </c>
      <c r="S35" s="4" t="inlineStr">
        <is>
          <t>A33</t>
        </is>
      </c>
      <c r="T35" s="7">
        <f>HYPERLINK("#'"&amp;R35&amp;"'!"&amp;S35,"➜ פתח")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4" t="inlineStr">
        <is>
          <t>טרנזקציה</t>
        </is>
      </c>
      <c r="O36" s="6" t="inlineStr">
        <is>
          <t>MM03</t>
        </is>
      </c>
      <c r="P36" s="4" t="inlineStr">
        <is>
          <t>תיאורי חומר (טקסטים)</t>
        </is>
      </c>
      <c r="Q36" s="4" t="inlineStr">
        <is>
          <t>Material descriptions</t>
        </is>
      </c>
      <c r="R36" s="4" t="inlineStr">
        <is>
          <t>1. נתוני אב חומר ויחידות מידה (</t>
        </is>
      </c>
      <c r="S36" s="4" t="inlineStr">
        <is>
          <t>A33</t>
        </is>
      </c>
      <c r="T36" s="7">
        <f>HYPERLINK("#'"&amp;R36&amp;"'!"&amp;S36,"➜ פתח")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4" t="inlineStr">
        <is>
          <t>טבלה</t>
        </is>
      </c>
      <c r="O37" s="6" t="inlineStr">
        <is>
          <t>MARC</t>
        </is>
      </c>
      <c r="P37" s="4" t="inlineStr">
        <is>
          <t>נתוני חומר ברמת מפעל</t>
        </is>
      </c>
      <c r="Q37" s="4" t="inlineStr">
        <is>
          <t>Plant data for material</t>
        </is>
      </c>
      <c r="R37" s="4" t="inlineStr">
        <is>
          <t>1. נתוני אב חומר ויחידות מידה (</t>
        </is>
      </c>
      <c r="S37" s="4" t="inlineStr">
        <is>
          <t>A38</t>
        </is>
      </c>
      <c r="T37" s="7">
        <f>HYPERLINK("#'"&amp;R37&amp;"'!"&amp;S37,"➜ פתח")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4" t="inlineStr">
        <is>
          <t>שדה</t>
        </is>
      </c>
      <c r="O38" s="6" t="inlineStr">
        <is>
          <t>MATNR</t>
        </is>
      </c>
      <c r="P38" s="4" t="inlineStr">
        <is>
          <t>מספר חומר</t>
        </is>
      </c>
      <c r="Q38" s="4" t="inlineStr">
        <is>
          <t>Material number</t>
        </is>
      </c>
      <c r="R38" s="4" t="inlineStr">
        <is>
          <t>1. נתוני אב חומר ויחידות מידה (</t>
        </is>
      </c>
      <c r="S38" s="4" t="inlineStr">
        <is>
          <t>C39</t>
        </is>
      </c>
      <c r="T38" s="7">
        <f>HYPERLINK("#'"&amp;R38&amp;"'!"&amp;S38,"➜ פתח")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4" t="inlineStr">
        <is>
          <t>שדה</t>
        </is>
      </c>
      <c r="O39" s="6" t="inlineStr">
        <is>
          <t>WERKS</t>
        </is>
      </c>
      <c r="P39" s="4" t="inlineStr">
        <is>
          <t>מפעל</t>
        </is>
      </c>
      <c r="Q39" s="4" t="inlineStr">
        <is>
          <t>Plant</t>
        </is>
      </c>
      <c r="R39" s="4" t="inlineStr">
        <is>
          <t>1. נתוני אב חומר ויחידות מידה (</t>
        </is>
      </c>
      <c r="S39" s="4" t="inlineStr">
        <is>
          <t>C40</t>
        </is>
      </c>
      <c r="T39" s="7">
        <f>HYPERLINK("#'"&amp;R39&amp;"'!"&amp;S39,"➜ פתח")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4" t="inlineStr">
        <is>
          <t>שדה</t>
        </is>
      </c>
      <c r="O40" s="6" t="inlineStr">
        <is>
          <t>DISPO</t>
        </is>
      </c>
      <c r="P40" s="4" t="inlineStr">
        <is>
          <t>אחראי MRP</t>
        </is>
      </c>
      <c r="Q40" s="4" t="inlineStr">
        <is>
          <t>MRP controller</t>
        </is>
      </c>
      <c r="R40" s="4" t="inlineStr">
        <is>
          <t>1. נתוני אב חומר ויחידות מידה (</t>
        </is>
      </c>
      <c r="S40" s="4" t="inlineStr">
        <is>
          <t>C41</t>
        </is>
      </c>
      <c r="T40" s="7">
        <f>HYPERLINK("#'"&amp;R40&amp;"'!"&amp;S40,"➜ פתח")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4" t="inlineStr">
        <is>
          <t>שדה</t>
        </is>
      </c>
      <c r="O41" s="6" t="inlineStr">
        <is>
          <t>DISMM</t>
        </is>
      </c>
      <c r="P41" s="4" t="inlineStr">
        <is>
          <t>סוג MRP</t>
        </is>
      </c>
      <c r="Q41" s="4" t="inlineStr">
        <is>
          <t>MRP type</t>
        </is>
      </c>
      <c r="R41" s="4" t="inlineStr">
        <is>
          <t>1. נתוני אב חומר ויחידות מידה (</t>
        </is>
      </c>
      <c r="S41" s="4" t="inlineStr">
        <is>
          <t>C42</t>
        </is>
      </c>
      <c r="T41" s="7">
        <f>HYPERLINK("#'"&amp;R41&amp;"'!"&amp;S41,"➜ פתח")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4" t="inlineStr">
        <is>
          <t>שדה</t>
        </is>
      </c>
      <c r="O42" s="6" t="inlineStr">
        <is>
          <t>BESKZ</t>
        </is>
      </c>
      <c r="P42" s="4" t="inlineStr">
        <is>
          <t>סוג רכש</t>
        </is>
      </c>
      <c r="Q42" s="4" t="inlineStr">
        <is>
          <t>Procurement type</t>
        </is>
      </c>
      <c r="R42" s="4" t="inlineStr">
        <is>
          <t>1. נתוני אב חומר ויחידות מידה (</t>
        </is>
      </c>
      <c r="S42" s="4" t="inlineStr">
        <is>
          <t>C43</t>
        </is>
      </c>
      <c r="T42" s="7">
        <f>HYPERLINK("#'"&amp;R42&amp;"'!"&amp;S42,"➜ פתח")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4" t="inlineStr">
        <is>
          <t>שדה</t>
        </is>
      </c>
      <c r="O43" s="6" t="inlineStr">
        <is>
          <t>SOBSL</t>
        </is>
      </c>
      <c r="P43" s="4" t="inlineStr">
        <is>
          <t>רכש מיוחד</t>
        </is>
      </c>
      <c r="Q43" s="4" t="inlineStr">
        <is>
          <t>Special procurement</t>
        </is>
      </c>
      <c r="R43" s="4" t="inlineStr">
        <is>
          <t>1. נתוני אב חומר ויחידות מידה (</t>
        </is>
      </c>
      <c r="S43" s="4" t="inlineStr">
        <is>
          <t>C44</t>
        </is>
      </c>
      <c r="T43" s="7">
        <f>HYPERLINK("#'"&amp;R43&amp;"'!"&amp;S43,"➜ פתח")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4" t="inlineStr">
        <is>
          <t>שדה</t>
        </is>
      </c>
      <c r="O44" s="6" t="inlineStr">
        <is>
          <t>FEVOR</t>
        </is>
      </c>
      <c r="P44" s="4" t="inlineStr">
        <is>
          <t>מתזמן ייצור</t>
        </is>
      </c>
      <c r="Q44" s="4" t="inlineStr">
        <is>
          <t>Production scheduler</t>
        </is>
      </c>
      <c r="R44" s="4" t="inlineStr">
        <is>
          <t>1. נתוני אב חומר ויחידות מידה (</t>
        </is>
      </c>
      <c r="S44" s="4" t="inlineStr">
        <is>
          <t>C45</t>
        </is>
      </c>
      <c r="T44" s="7">
        <f>HYPERLINK("#'"&amp;R44&amp;"'!"&amp;S44,"➜ פתח")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4" t="inlineStr">
        <is>
          <t>שדה</t>
        </is>
      </c>
      <c r="O45" s="6" t="inlineStr">
        <is>
          <t>SERNP</t>
        </is>
      </c>
      <c r="P45" s="4" t="inlineStr">
        <is>
          <t>פרופיל מספר סידורי</t>
        </is>
      </c>
      <c r="Q45" s="4" t="inlineStr">
        <is>
          <t>Serial number profile</t>
        </is>
      </c>
      <c r="R45" s="4" t="inlineStr">
        <is>
          <t>1. נתוני אב חומר ויחידות מידה (</t>
        </is>
      </c>
      <c r="S45" s="4" t="inlineStr">
        <is>
          <t>C46</t>
        </is>
      </c>
      <c r="T45" s="7">
        <f>HYPERLINK("#'"&amp;R45&amp;"'!"&amp;S45,"➜ פתח")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4" t="inlineStr">
        <is>
          <t>טרנזקציה</t>
        </is>
      </c>
      <c r="O46" s="6" t="inlineStr">
        <is>
          <t>MM01</t>
        </is>
      </c>
      <c r="P46" s="4" t="inlineStr">
        <is>
          <t>נתוני חומר ברמת מפעל</t>
        </is>
      </c>
      <c r="Q46" s="4" t="inlineStr">
        <is>
          <t>Plant data for material</t>
        </is>
      </c>
      <c r="R46" s="4" t="inlineStr">
        <is>
          <t>1. נתוני אב חומר ויחידות מידה (</t>
        </is>
      </c>
      <c r="S46" s="4" t="inlineStr">
        <is>
          <t>A39</t>
        </is>
      </c>
      <c r="T46" s="7">
        <f>HYPERLINK("#'"&amp;R46&amp;"'!"&amp;S46,"➜ פתח")</f>
        <v/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4" t="inlineStr">
        <is>
          <t>טרנזקציה</t>
        </is>
      </c>
      <c r="O47" s="6" t="inlineStr">
        <is>
          <t>MM02</t>
        </is>
      </c>
      <c r="P47" s="4" t="inlineStr">
        <is>
          <t>נתוני חומר ברמת מפעל</t>
        </is>
      </c>
      <c r="Q47" s="4" t="inlineStr">
        <is>
          <t>Plant data for material</t>
        </is>
      </c>
      <c r="R47" s="4" t="inlineStr">
        <is>
          <t>1. נתוני אב חומר ויחידות מידה (</t>
        </is>
      </c>
      <c r="S47" s="4" t="inlineStr">
        <is>
          <t>A39</t>
        </is>
      </c>
      <c r="T47" s="7">
        <f>HYPERLINK("#'"&amp;R47&amp;"'!"&amp;S47,"➜ פתח")</f>
        <v/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4" t="inlineStr">
        <is>
          <t>טרנזקציה</t>
        </is>
      </c>
      <c r="O48" s="6" t="inlineStr">
        <is>
          <t>MD04</t>
        </is>
      </c>
      <c r="P48" s="4" t="inlineStr">
        <is>
          <t>נתוני חומר ברמת מפעל</t>
        </is>
      </c>
      <c r="Q48" s="4" t="inlineStr">
        <is>
          <t>Plant data for material</t>
        </is>
      </c>
      <c r="R48" s="4" t="inlineStr">
        <is>
          <t>1. נתוני אב חומר ויחידות מידה (</t>
        </is>
      </c>
      <c r="S48" s="4" t="inlineStr">
        <is>
          <t>A39</t>
        </is>
      </c>
      <c r="T48" s="7">
        <f>HYPERLINK("#'"&amp;R48&amp;"'!"&amp;S48,"➜ פתח")</f>
        <v/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4" t="inlineStr">
        <is>
          <t>טרנזקציה</t>
        </is>
      </c>
      <c r="O49" s="6" t="inlineStr">
        <is>
          <t>CO09</t>
        </is>
      </c>
      <c r="P49" s="4" t="inlineStr">
        <is>
          <t>נתוני חומר ברמת מפעל</t>
        </is>
      </c>
      <c r="Q49" s="4" t="inlineStr">
        <is>
          <t>Plant data for material</t>
        </is>
      </c>
      <c r="R49" s="4" t="inlineStr">
        <is>
          <t>1. נתוני אב חומר ויחידות מידה (</t>
        </is>
      </c>
      <c r="S49" s="4" t="inlineStr">
        <is>
          <t>A39</t>
        </is>
      </c>
      <c r="T49" s="7">
        <f>HYPERLINK("#'"&amp;R49&amp;"'!"&amp;S49,"➜ פתח")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4" t="inlineStr">
        <is>
          <t>טבלה</t>
        </is>
      </c>
      <c r="O50" s="6" t="inlineStr">
        <is>
          <t>MARD</t>
        </is>
      </c>
      <c r="P50" s="4" t="inlineStr">
        <is>
          <t>נתוני חומר ברמת מחסן/מלאי</t>
        </is>
      </c>
      <c r="Q50" s="4" t="inlineStr">
        <is>
          <t>Storage location / stock data</t>
        </is>
      </c>
      <c r="R50" s="4" t="inlineStr">
        <is>
          <t>1. נתוני אב חומר ויחידות מידה (</t>
        </is>
      </c>
      <c r="S50" s="4" t="inlineStr">
        <is>
          <t>A48</t>
        </is>
      </c>
      <c r="T50" s="7">
        <f>HYPERLINK("#'"&amp;R50&amp;"'!"&amp;S50,"➜ פתח")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4" t="inlineStr">
        <is>
          <t>שדה</t>
        </is>
      </c>
      <c r="O51" s="6" t="inlineStr">
        <is>
          <t>MATNR</t>
        </is>
      </c>
      <c r="P51" s="4" t="inlineStr">
        <is>
          <t>מספר חומר</t>
        </is>
      </c>
      <c r="Q51" s="4" t="inlineStr">
        <is>
          <t>Material number</t>
        </is>
      </c>
      <c r="R51" s="4" t="inlineStr">
        <is>
          <t>1. נתוני אב חומר ויחידות מידה (</t>
        </is>
      </c>
      <c r="S51" s="4" t="inlineStr">
        <is>
          <t>C49</t>
        </is>
      </c>
      <c r="T51" s="7">
        <f>HYPERLINK("#'"&amp;R51&amp;"'!"&amp;S51,"➜ פתח")</f>
        <v/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4" t="inlineStr">
        <is>
          <t>שדה</t>
        </is>
      </c>
      <c r="O52" s="6" t="inlineStr">
        <is>
          <t>WERKS</t>
        </is>
      </c>
      <c r="P52" s="4" t="inlineStr">
        <is>
          <t>מפעל</t>
        </is>
      </c>
      <c r="Q52" s="4" t="inlineStr">
        <is>
          <t>Plant</t>
        </is>
      </c>
      <c r="R52" s="4" t="inlineStr">
        <is>
          <t>1. נתוני אב חומר ויחידות מידה (</t>
        </is>
      </c>
      <c r="S52" s="4" t="inlineStr">
        <is>
          <t>C50</t>
        </is>
      </c>
      <c r="T52" s="7">
        <f>HYPERLINK("#'"&amp;R52&amp;"'!"&amp;S52,"➜ פתח")</f>
        <v/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4" t="inlineStr">
        <is>
          <t>שדה</t>
        </is>
      </c>
      <c r="O53" s="6" t="inlineStr">
        <is>
          <t>LGORT</t>
        </is>
      </c>
      <c r="P53" s="4" t="inlineStr">
        <is>
          <t>מחסן</t>
        </is>
      </c>
      <c r="Q53" s="4" t="inlineStr">
        <is>
          <t>Storage location</t>
        </is>
      </c>
      <c r="R53" s="4" t="inlineStr">
        <is>
          <t>1. נתוני אב חומר ויחידות מידה (</t>
        </is>
      </c>
      <c r="S53" s="4" t="inlineStr">
        <is>
          <t>C51</t>
        </is>
      </c>
      <c r="T53" s="7">
        <f>HYPERLINK("#'"&amp;R53&amp;"'!"&amp;S53,"➜ פתח")</f>
        <v/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4" t="inlineStr">
        <is>
          <t>שדה</t>
        </is>
      </c>
      <c r="O54" s="6" t="inlineStr">
        <is>
          <t>LABST</t>
        </is>
      </c>
      <c r="P54" s="4" t="inlineStr">
        <is>
          <t>מלאי פנוי</t>
        </is>
      </c>
      <c r="Q54" s="4" t="inlineStr">
        <is>
          <t>Unrestricted stock</t>
        </is>
      </c>
      <c r="R54" s="4" t="inlineStr">
        <is>
          <t>1. נתוני אב חומר ויחידות מידה (</t>
        </is>
      </c>
      <c r="S54" s="4" t="inlineStr">
        <is>
          <t>C52</t>
        </is>
      </c>
      <c r="T54" s="7">
        <f>HYPERLINK("#'"&amp;R54&amp;"'!"&amp;S54,"➜ פתח")</f>
        <v/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4" t="inlineStr">
        <is>
          <t>שדה</t>
        </is>
      </c>
      <c r="O55" s="6" t="inlineStr">
        <is>
          <t>INSME</t>
        </is>
      </c>
      <c r="P55" s="4" t="inlineStr">
        <is>
          <t>מלאי בבדיקת איכות</t>
        </is>
      </c>
      <c r="Q55" s="4" t="inlineStr">
        <is>
          <t>Stock in quality inspection</t>
        </is>
      </c>
      <c r="R55" s="4" t="inlineStr">
        <is>
          <t>1. נתוני אב חומר ויחידות מידה (</t>
        </is>
      </c>
      <c r="S55" s="4" t="inlineStr">
        <is>
          <t>C53</t>
        </is>
      </c>
      <c r="T55" s="7">
        <f>HYPERLINK("#'"&amp;R55&amp;"'!"&amp;S55,"➜ פתח")</f>
        <v/>
      </c>
    </row>
    <row r="56">
      <c r="A56" s="1" t="n"/>
      <c r="B56" s="31" t="inlineStr">
        <is>
          <t>פורטל זה הוא .xlsx נקי (ללא מאקרו/גרפים) - בטוח למייל ארגוני. עדכן סטטוס ב-Cockpit וה-KPI יתעדכן מיד. להוספת כפתור חיפוש-מאקרו: הדבק pppi_modPM.bas דרך Alt+F11 ושמור כ-.xlsm. גם זמין כפורטל ווב: index_pppi.html.</t>
        </is>
      </c>
      <c r="C56" s="4" t="n"/>
      <c r="D56" s="4" t="n"/>
      <c r="E56" s="4" t="n"/>
      <c r="F56" s="4" t="n"/>
      <c r="G56" s="4" t="n"/>
      <c r="H56" s="4" t="n"/>
      <c r="I56" s="1" t="n"/>
      <c r="J56" s="1" t="n"/>
      <c r="K56" s="1" t="n"/>
      <c r="L56" s="1" t="n"/>
      <c r="M56" s="1" t="n"/>
      <c r="N56" s="4" t="inlineStr">
        <is>
          <t>טרנזקציה</t>
        </is>
      </c>
      <c r="O56" s="6" t="inlineStr">
        <is>
          <t>MMBE</t>
        </is>
      </c>
      <c r="P56" s="4" t="inlineStr">
        <is>
          <t>נתוני חומר ברמת מחסן/מלאי</t>
        </is>
      </c>
      <c r="Q56" s="4" t="inlineStr">
        <is>
          <t>Storage location / stock data</t>
        </is>
      </c>
      <c r="R56" s="4" t="inlineStr">
        <is>
          <t>1. נתוני אב חומר ויחידות מידה (</t>
        </is>
      </c>
      <c r="S56" s="4" t="inlineStr">
        <is>
          <t>A49</t>
        </is>
      </c>
      <c r="T56" s="7">
        <f>HYPERLINK("#'"&amp;R56&amp;"'!"&amp;S56,"➜ פתח")</f>
        <v/>
      </c>
    </row>
    <row r="57">
      <c r="A57" s="1" t="n"/>
      <c r="B57" s="4" t="n"/>
      <c r="C57" s="4" t="n"/>
      <c r="D57" s="4" t="n"/>
      <c r="E57" s="4" t="n"/>
      <c r="F57" s="4" t="n"/>
      <c r="G57" s="4" t="n"/>
      <c r="H57" s="4" t="n"/>
      <c r="I57" s="1" t="n"/>
      <c r="J57" s="1" t="n"/>
      <c r="K57" s="1" t="n"/>
      <c r="L57" s="1" t="n"/>
      <c r="M57" s="1" t="n"/>
      <c r="N57" s="4" t="inlineStr">
        <is>
          <t>טרנזקציה</t>
        </is>
      </c>
      <c r="O57" s="6" t="inlineStr">
        <is>
          <t>MB52</t>
        </is>
      </c>
      <c r="P57" s="4" t="inlineStr">
        <is>
          <t>נתוני חומר ברמת מחסן/מלאי</t>
        </is>
      </c>
      <c r="Q57" s="4" t="inlineStr">
        <is>
          <t>Storage location / stock data</t>
        </is>
      </c>
      <c r="R57" s="4" t="inlineStr">
        <is>
          <t>1. נתוני אב חומר ויחידות מידה (</t>
        </is>
      </c>
      <c r="S57" s="4" t="inlineStr">
        <is>
          <t>A49</t>
        </is>
      </c>
      <c r="T57" s="7">
        <f>HYPERLINK("#'"&amp;R57&amp;"'!"&amp;S57,"➜ פתח")</f>
        <v/>
      </c>
    </row>
    <row r="58">
      <c r="A58" s="1" t="n"/>
      <c r="B58" s="4" t="n"/>
      <c r="C58" s="4" t="n"/>
      <c r="D58" s="4" t="n"/>
      <c r="E58" s="4" t="n"/>
      <c r="F58" s="4" t="n"/>
      <c r="G58" s="4" t="n"/>
      <c r="H58" s="4" t="n"/>
      <c r="I58" s="1" t="n"/>
      <c r="J58" s="1" t="n"/>
      <c r="K58" s="1" t="n"/>
      <c r="L58" s="1" t="n"/>
      <c r="M58" s="1" t="n"/>
      <c r="N58" s="4" t="inlineStr">
        <is>
          <t>טבלה</t>
        </is>
      </c>
      <c r="O58" s="6" t="inlineStr">
        <is>
          <t>MARM</t>
        </is>
      </c>
      <c r="P58" s="4" t="inlineStr">
        <is>
          <t>המרות יחידות מידה חלופיות</t>
        </is>
      </c>
      <c r="Q58" s="4" t="inlineStr">
        <is>
          <t>Units of measure conversions</t>
        </is>
      </c>
      <c r="R58" s="4" t="inlineStr">
        <is>
          <t>1. נתוני אב חומר ויחידות מידה (</t>
        </is>
      </c>
      <c r="S58" s="4" t="inlineStr">
        <is>
          <t>A55</t>
        </is>
      </c>
      <c r="T58" s="7">
        <f>HYPERLINK("#'"&amp;R58&amp;"'!"&amp;S58,"➜ פתח")</f>
        <v/>
      </c>
    </row>
    <row r="59">
      <c r="A59" s="1" t="n"/>
      <c r="B59" s="4" t="n"/>
      <c r="C59" s="4" t="n"/>
      <c r="D59" s="4" t="n"/>
      <c r="E59" s="4" t="n"/>
      <c r="F59" s="4" t="n"/>
      <c r="G59" s="4" t="n"/>
      <c r="H59" s="4" t="n"/>
      <c r="I59" s="1" t="n"/>
      <c r="J59" s="1" t="n"/>
      <c r="K59" s="1" t="n"/>
      <c r="L59" s="1" t="n"/>
      <c r="M59" s="1" t="n"/>
      <c r="N59" s="4" t="inlineStr">
        <is>
          <t>שדה</t>
        </is>
      </c>
      <c r="O59" s="6" t="inlineStr">
        <is>
          <t>MATNR</t>
        </is>
      </c>
      <c r="P59" s="4" t="inlineStr">
        <is>
          <t>מספר חומר</t>
        </is>
      </c>
      <c r="Q59" s="4" t="inlineStr">
        <is>
          <t>Material number</t>
        </is>
      </c>
      <c r="R59" s="4" t="inlineStr">
        <is>
          <t>1. נתוני אב חומר ויחידות מידה (</t>
        </is>
      </c>
      <c r="S59" s="4" t="inlineStr">
        <is>
          <t>C56</t>
        </is>
      </c>
      <c r="T59" s="7">
        <f>HYPERLINK("#'"&amp;R59&amp;"'!"&amp;S59,"➜ פתח")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inlineStr">
        <is>
          <t>שדה</t>
        </is>
      </c>
      <c r="O60" s="6" t="inlineStr">
        <is>
          <t>MEINH</t>
        </is>
      </c>
      <c r="P60" s="4" t="inlineStr">
        <is>
          <t>יחידת מידה חלופית</t>
        </is>
      </c>
      <c r="Q60" s="4" t="inlineStr">
        <is>
          <t>Alternative unit of measure</t>
        </is>
      </c>
      <c r="R60" s="4" t="inlineStr">
        <is>
          <t>1. נתוני אב חומר ויחידות מידה (</t>
        </is>
      </c>
      <c r="S60" s="4" t="inlineStr">
        <is>
          <t>C57</t>
        </is>
      </c>
      <c r="T60" s="7">
        <f>HYPERLINK("#'"&amp;R60&amp;"'!"&amp;S60,"➜ פתח")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inlineStr">
        <is>
          <t>שדה</t>
        </is>
      </c>
      <c r="O61" s="6" t="inlineStr">
        <is>
          <t>UMREZ</t>
        </is>
      </c>
      <c r="P61" s="4" t="inlineStr">
        <is>
          <t>מונה להמרה</t>
        </is>
      </c>
      <c r="Q61" s="4" t="inlineStr">
        <is>
          <t>Numerator for conversion</t>
        </is>
      </c>
      <c r="R61" s="4" t="inlineStr">
        <is>
          <t>1. נתוני אב חומר ויחידות מידה (</t>
        </is>
      </c>
      <c r="S61" s="4" t="inlineStr">
        <is>
          <t>C58</t>
        </is>
      </c>
      <c r="T61" s="7">
        <f>HYPERLINK("#'"&amp;R61&amp;"'!"&amp;S61,"➜ פתח")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inlineStr">
        <is>
          <t>שדה</t>
        </is>
      </c>
      <c r="O62" s="6" t="inlineStr">
        <is>
          <t>UMREN</t>
        </is>
      </c>
      <c r="P62" s="4" t="inlineStr">
        <is>
          <t>מכנה להמרה</t>
        </is>
      </c>
      <c r="Q62" s="4" t="inlineStr">
        <is>
          <t>Denominator for conversion</t>
        </is>
      </c>
      <c r="R62" s="4" t="inlineStr">
        <is>
          <t>1. נתוני אב חומר ויחידות מידה (</t>
        </is>
      </c>
      <c r="S62" s="4" t="inlineStr">
        <is>
          <t>C59</t>
        </is>
      </c>
      <c r="T62" s="7">
        <f>HYPERLINK("#'"&amp;R62&amp;"'!"&amp;S62,"➜ פתח")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inlineStr">
        <is>
          <t>שדה</t>
        </is>
      </c>
      <c r="O63" s="6" t="inlineStr">
        <is>
          <t>EAN11</t>
        </is>
      </c>
      <c r="P63" s="4" t="inlineStr">
        <is>
          <t>ברקוד בינלאומי</t>
        </is>
      </c>
      <c r="Q63" s="4" t="inlineStr">
        <is>
          <t>International article number (EAN/UPC)</t>
        </is>
      </c>
      <c r="R63" s="4" t="inlineStr">
        <is>
          <t>1. נתוני אב חומר ויחידות מידה (</t>
        </is>
      </c>
      <c r="S63" s="4" t="inlineStr">
        <is>
          <t>C60</t>
        </is>
      </c>
      <c r="T63" s="7">
        <f>HYPERLINK("#'"&amp;R63&amp;"'!"&amp;S63,"➜ פתח")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inlineStr">
        <is>
          <t>שדה</t>
        </is>
      </c>
      <c r="O64" s="6" t="inlineStr">
        <is>
          <t>MESUB</t>
        </is>
      </c>
      <c r="P64" s="4" t="inlineStr">
        <is>
          <t>יחידה ברמה הנמוכה</t>
        </is>
      </c>
      <c r="Q64" s="4" t="inlineStr">
        <is>
          <t>Lowest level UoM</t>
        </is>
      </c>
      <c r="R64" s="4" t="inlineStr">
        <is>
          <t>1. נתוני אב חומר ויחידות מידה (</t>
        </is>
      </c>
      <c r="S64" s="4" t="inlineStr">
        <is>
          <t>C61</t>
        </is>
      </c>
      <c r="T64" s="7">
        <f>HYPERLINK("#'"&amp;R64&amp;"'!"&amp;S64,"➜ פתח")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inlineStr">
        <is>
          <t>טרנזקציה</t>
        </is>
      </c>
      <c r="O65" s="6" t="inlineStr">
        <is>
          <t>MM02 (תצוגת UoM)</t>
        </is>
      </c>
      <c r="P65" s="4" t="inlineStr">
        <is>
          <t>המרות יחידות מידה חלופיות</t>
        </is>
      </c>
      <c r="Q65" s="4" t="inlineStr">
        <is>
          <t>Units of measure conversions</t>
        </is>
      </c>
      <c r="R65" s="4" t="inlineStr">
        <is>
          <t>1. נתוני אב חומר ויחידות מידה (</t>
        </is>
      </c>
      <c r="S65" s="4" t="inlineStr">
        <is>
          <t>A56</t>
        </is>
      </c>
      <c r="T65" s="7">
        <f>HYPERLINK("#'"&amp;R65&amp;"'!"&amp;S65,"➜ פתח")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inlineStr">
        <is>
          <t>טבלה</t>
        </is>
      </c>
      <c r="O66" s="6" t="inlineStr">
        <is>
          <t>MEAN</t>
        </is>
      </c>
      <c r="P66" s="4" t="inlineStr">
        <is>
          <t>ברקודים / EAN לחומר</t>
        </is>
      </c>
      <c r="Q66" s="4" t="inlineStr">
        <is>
          <t>International article numbers (EANs)</t>
        </is>
      </c>
      <c r="R66" s="4" t="inlineStr">
        <is>
          <t>1. נתוני אב חומר ויחידות מידה (</t>
        </is>
      </c>
      <c r="S66" s="4" t="inlineStr">
        <is>
          <t>A63</t>
        </is>
      </c>
      <c r="T66" s="7">
        <f>HYPERLINK("#'"&amp;R66&amp;"'!"&amp;S66,"➜ פתח")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inlineStr">
        <is>
          <t>שדה</t>
        </is>
      </c>
      <c r="O67" s="6" t="inlineStr">
        <is>
          <t>MATNR</t>
        </is>
      </c>
      <c r="P67" s="4" t="inlineStr">
        <is>
          <t>מספר חומר</t>
        </is>
      </c>
      <c r="Q67" s="4" t="inlineStr">
        <is>
          <t>Material number</t>
        </is>
      </c>
      <c r="R67" s="4" t="inlineStr">
        <is>
          <t>1. נתוני אב חומר ויחידות מידה (</t>
        </is>
      </c>
      <c r="S67" s="4" t="inlineStr">
        <is>
          <t>C64</t>
        </is>
      </c>
      <c r="T67" s="7">
        <f>HYPERLINK("#'"&amp;R67&amp;"'!"&amp;S67,"➜ פתח")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inlineStr">
        <is>
          <t>שדה</t>
        </is>
      </c>
      <c r="O68" s="6" t="inlineStr">
        <is>
          <t>MEINH</t>
        </is>
      </c>
      <c r="P68" s="4" t="inlineStr">
        <is>
          <t>יחידת מידה</t>
        </is>
      </c>
      <c r="Q68" s="4" t="inlineStr">
        <is>
          <t>Unit of measure</t>
        </is>
      </c>
      <c r="R68" s="4" t="inlineStr">
        <is>
          <t>1. נתוני אב חומר ויחידות מידה (</t>
        </is>
      </c>
      <c r="S68" s="4" t="inlineStr">
        <is>
          <t>C65</t>
        </is>
      </c>
      <c r="T68" s="7">
        <f>HYPERLINK("#'"&amp;R68&amp;"'!"&amp;S68,"➜ פתח")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inlineStr">
        <is>
          <t>שדה</t>
        </is>
      </c>
      <c r="O69" s="6" t="inlineStr">
        <is>
          <t>EAN11</t>
        </is>
      </c>
      <c r="P69" s="4" t="inlineStr">
        <is>
          <t>ברקוד EAN</t>
        </is>
      </c>
      <c r="Q69" s="4" t="inlineStr">
        <is>
          <t>EAN / barcode</t>
        </is>
      </c>
      <c r="R69" s="4" t="inlineStr">
        <is>
          <t>1. נתוני אב חומר ויחידות מידה (</t>
        </is>
      </c>
      <c r="S69" s="4" t="inlineStr">
        <is>
          <t>C66</t>
        </is>
      </c>
      <c r="T69" s="7">
        <f>HYPERLINK("#'"&amp;R69&amp;"'!"&amp;S69,"➜ פתח")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inlineStr">
        <is>
          <t>שדה</t>
        </is>
      </c>
      <c r="O70" s="6" t="inlineStr">
        <is>
          <t>EANTP</t>
        </is>
      </c>
      <c r="P70" s="4" t="inlineStr">
        <is>
          <t>סוג EAN</t>
        </is>
      </c>
      <c r="Q70" s="4" t="inlineStr">
        <is>
          <t>EAN category</t>
        </is>
      </c>
      <c r="R70" s="4" t="inlineStr">
        <is>
          <t>1. נתוני אב חומר ויחידות מידה (</t>
        </is>
      </c>
      <c r="S70" s="4" t="inlineStr">
        <is>
          <t>C67</t>
        </is>
      </c>
      <c r="T70" s="7">
        <f>HYPERLINK("#'"&amp;R70&amp;"'!"&amp;S70,"➜ פתח")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inlineStr">
        <is>
          <t>שדה</t>
        </is>
      </c>
      <c r="O71" s="6" t="inlineStr">
        <is>
          <t>HPEAN</t>
        </is>
      </c>
      <c r="P71" s="4" t="inlineStr">
        <is>
          <t>ברקוד ראשי</t>
        </is>
      </c>
      <c r="Q71" s="4" t="inlineStr">
        <is>
          <t>Main EAN indicator</t>
        </is>
      </c>
      <c r="R71" s="4" t="inlineStr">
        <is>
          <t>1. נתוני אב חומר ויחידות מידה (</t>
        </is>
      </c>
      <c r="S71" s="4" t="inlineStr">
        <is>
          <t>C68</t>
        </is>
      </c>
      <c r="T71" s="7">
        <f>HYPERLINK("#'"&amp;R71&amp;"'!"&amp;S71,"➜ פתח")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טרנזקציה</t>
        </is>
      </c>
      <c r="O72" s="6" t="inlineStr">
        <is>
          <t>MM02</t>
        </is>
      </c>
      <c r="P72" s="4" t="inlineStr">
        <is>
          <t>ברקודים / EAN לחומר</t>
        </is>
      </c>
      <c r="Q72" s="4" t="inlineStr">
        <is>
          <t>International article numbers (EANs)</t>
        </is>
      </c>
      <c r="R72" s="4" t="inlineStr">
        <is>
          <t>1. נתוני אב חומר ויחידות מידה (</t>
        </is>
      </c>
      <c r="S72" s="4" t="inlineStr">
        <is>
          <t>A64</t>
        </is>
      </c>
      <c r="T72" s="7">
        <f>HYPERLINK("#'"&amp;R72&amp;"'!"&amp;S72,"➜ פתח")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טבלה</t>
        </is>
      </c>
      <c r="O73" s="6" t="inlineStr">
        <is>
          <t>MBEW</t>
        </is>
      </c>
      <c r="P73" s="4" t="inlineStr">
        <is>
          <t>הערכת חומר (Valuation)</t>
        </is>
      </c>
      <c r="Q73" s="4" t="inlineStr">
        <is>
          <t>Material valuation</t>
        </is>
      </c>
      <c r="R73" s="4" t="inlineStr">
        <is>
          <t>1. נתוני אב חומר ויחידות מידה (</t>
        </is>
      </c>
      <c r="S73" s="4" t="inlineStr">
        <is>
          <t>A70</t>
        </is>
      </c>
      <c r="T73" s="7">
        <f>HYPERLINK("#'"&amp;R73&amp;"'!"&amp;S73,"➜ פתח")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inlineStr">
        <is>
          <t>שדה</t>
        </is>
      </c>
      <c r="O74" s="6" t="inlineStr">
        <is>
          <t>MATNR</t>
        </is>
      </c>
      <c r="P74" s="4" t="inlineStr">
        <is>
          <t>מספר חומר</t>
        </is>
      </c>
      <c r="Q74" s="4" t="inlineStr">
        <is>
          <t>Material number</t>
        </is>
      </c>
      <c r="R74" s="4" t="inlineStr">
        <is>
          <t>1. נתוני אב חומר ויחידות מידה (</t>
        </is>
      </c>
      <c r="S74" s="4" t="inlineStr">
        <is>
          <t>C71</t>
        </is>
      </c>
      <c r="T74" s="7">
        <f>HYPERLINK("#'"&amp;R74&amp;"'!"&amp;S74,"➜ פתח")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inlineStr">
        <is>
          <t>שדה</t>
        </is>
      </c>
      <c r="O75" s="6" t="inlineStr">
        <is>
          <t>BWKEY</t>
        </is>
      </c>
      <c r="P75" s="4" t="inlineStr">
        <is>
          <t>אזור הערכה</t>
        </is>
      </c>
      <c r="Q75" s="4" t="inlineStr">
        <is>
          <t>Valuation area</t>
        </is>
      </c>
      <c r="R75" s="4" t="inlineStr">
        <is>
          <t>1. נתוני אב חומר ויחידות מידה (</t>
        </is>
      </c>
      <c r="S75" s="4" t="inlineStr">
        <is>
          <t>C72</t>
        </is>
      </c>
      <c r="T75" s="7">
        <f>HYPERLINK("#'"&amp;R75&amp;"'!"&amp;S75,"➜ פתח")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שדה</t>
        </is>
      </c>
      <c r="O76" s="6" t="inlineStr">
        <is>
          <t>BWTAR</t>
        </is>
      </c>
      <c r="P76" s="4" t="inlineStr">
        <is>
          <t>סוג הערכה</t>
        </is>
      </c>
      <c r="Q76" s="4" t="inlineStr">
        <is>
          <t>Valuation type</t>
        </is>
      </c>
      <c r="R76" s="4" t="inlineStr">
        <is>
          <t>1. נתוני אב חומר ויחידות מידה (</t>
        </is>
      </c>
      <c r="S76" s="4" t="inlineStr">
        <is>
          <t>C73</t>
        </is>
      </c>
      <c r="T76" s="7">
        <f>HYPERLINK("#'"&amp;R76&amp;"'!"&amp;S76,"➜ פתח")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inlineStr">
        <is>
          <t>שדה</t>
        </is>
      </c>
      <c r="O77" s="6" t="inlineStr">
        <is>
          <t>VPRSV</t>
        </is>
      </c>
      <c r="P77" s="4" t="inlineStr">
        <is>
          <t>בקרת מחיר</t>
        </is>
      </c>
      <c r="Q77" s="4" t="inlineStr">
        <is>
          <t>Price control (S/V)</t>
        </is>
      </c>
      <c r="R77" s="4" t="inlineStr">
        <is>
          <t>1. נתוני אב חומר ויחידות מידה (</t>
        </is>
      </c>
      <c r="S77" s="4" t="inlineStr">
        <is>
          <t>C74</t>
        </is>
      </c>
      <c r="T77" s="7">
        <f>HYPERLINK("#'"&amp;R77&amp;"'!"&amp;S77,"➜ פתח")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inlineStr">
        <is>
          <t>שדה</t>
        </is>
      </c>
      <c r="O78" s="6" t="inlineStr">
        <is>
          <t>STPRS</t>
        </is>
      </c>
      <c r="P78" s="4" t="inlineStr">
        <is>
          <t>מחיר תקן</t>
        </is>
      </c>
      <c r="Q78" s="4" t="inlineStr">
        <is>
          <t>Standard price</t>
        </is>
      </c>
      <c r="R78" s="4" t="inlineStr">
        <is>
          <t>1. נתוני אב חומר ויחידות מידה (</t>
        </is>
      </c>
      <c r="S78" s="4" t="inlineStr">
        <is>
          <t>C75</t>
        </is>
      </c>
      <c r="T78" s="7">
        <f>HYPERLINK("#'"&amp;R78&amp;"'!"&amp;S78,"➜ פתח")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inlineStr">
        <is>
          <t>שדה</t>
        </is>
      </c>
      <c r="O79" s="6" t="inlineStr">
        <is>
          <t>PEINH</t>
        </is>
      </c>
      <c r="P79" s="4" t="inlineStr">
        <is>
          <t>יחידת מחיר</t>
        </is>
      </c>
      <c r="Q79" s="4" t="inlineStr">
        <is>
          <t>Price unit</t>
        </is>
      </c>
      <c r="R79" s="4" t="inlineStr">
        <is>
          <t>1. נתוני אב חומר ויחידות מידה (</t>
        </is>
      </c>
      <c r="S79" s="4" t="inlineStr">
        <is>
          <t>C76</t>
        </is>
      </c>
      <c r="T79" s="7">
        <f>HYPERLINK("#'"&amp;R79&amp;"'!"&amp;S79,"➜ פתח")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inlineStr">
        <is>
          <t>טרנזקציה</t>
        </is>
      </c>
      <c r="O80" s="6" t="inlineStr">
        <is>
          <t>MM02</t>
        </is>
      </c>
      <c r="P80" s="4" t="inlineStr">
        <is>
          <t>הערכת חומר (Valuation)</t>
        </is>
      </c>
      <c r="Q80" s="4" t="inlineStr">
        <is>
          <t>Material valuation</t>
        </is>
      </c>
      <c r="R80" s="4" t="inlineStr">
        <is>
          <t>1. נתוני אב חומר ויחידות מידה (</t>
        </is>
      </c>
      <c r="S80" s="4" t="inlineStr">
        <is>
          <t>A71</t>
        </is>
      </c>
      <c r="T80" s="7">
        <f>HYPERLINK("#'"&amp;R80&amp;"'!"&amp;S80,"➜ פתח")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inlineStr">
        <is>
          <t>טרנזקציה</t>
        </is>
      </c>
      <c r="O81" s="6" t="inlineStr">
        <is>
          <t>MR21</t>
        </is>
      </c>
      <c r="P81" s="4" t="inlineStr">
        <is>
          <t>הערכת חומר (Valuation)</t>
        </is>
      </c>
      <c r="Q81" s="4" t="inlineStr">
        <is>
          <t>Material valuation</t>
        </is>
      </c>
      <c r="R81" s="4" t="inlineStr">
        <is>
          <t>1. נתוני אב חומר ויחידות מידה (</t>
        </is>
      </c>
      <c r="S81" s="4" t="inlineStr">
        <is>
          <t>A71</t>
        </is>
      </c>
      <c r="T81" s="7">
        <f>HYPERLINK("#'"&amp;R81&amp;"'!"&amp;S81,"➜ פתח")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inlineStr">
        <is>
          <t>טרנזקציה</t>
        </is>
      </c>
      <c r="O82" s="6" t="inlineStr">
        <is>
          <t>CKM3</t>
        </is>
      </c>
      <c r="P82" s="4" t="inlineStr">
        <is>
          <t>הערכת חומר (Valuation)</t>
        </is>
      </c>
      <c r="Q82" s="4" t="inlineStr">
        <is>
          <t>Material valuation</t>
        </is>
      </c>
      <c r="R82" s="4" t="inlineStr">
        <is>
          <t>1. נתוני אב חומר ויחידות מידה (</t>
        </is>
      </c>
      <c r="S82" s="4" t="inlineStr">
        <is>
          <t>A71</t>
        </is>
      </c>
      <c r="T82" s="7">
        <f>HYPERLINK("#'"&amp;R82&amp;"'!"&amp;S82,"➜ פתח")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inlineStr">
        <is>
          <t>טבלה</t>
        </is>
      </c>
      <c r="O83" s="6" t="inlineStr">
        <is>
          <t>MVKE</t>
        </is>
      </c>
      <c r="P83" s="4" t="inlineStr">
        <is>
          <t>נתוני חומר ברמת מכירות</t>
        </is>
      </c>
      <c r="Q83" s="4" t="inlineStr">
        <is>
          <t>Sales data for material</t>
        </is>
      </c>
      <c r="R83" s="4" t="inlineStr">
        <is>
          <t>1. נתוני אב חומר ויחידות מידה (</t>
        </is>
      </c>
      <c r="S83" s="4" t="inlineStr">
        <is>
          <t>A78</t>
        </is>
      </c>
      <c r="T83" s="7">
        <f>HYPERLINK("#'"&amp;R83&amp;"'!"&amp;S83,"➜ פתח")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inlineStr">
        <is>
          <t>שדה</t>
        </is>
      </c>
      <c r="O84" s="6" t="inlineStr">
        <is>
          <t>MATNR</t>
        </is>
      </c>
      <c r="P84" s="4" t="inlineStr">
        <is>
          <t>מספר חומר</t>
        </is>
      </c>
      <c r="Q84" s="4" t="inlineStr">
        <is>
          <t>Material number</t>
        </is>
      </c>
      <c r="R84" s="4" t="inlineStr">
        <is>
          <t>1. נתוני אב חומר ויחידות מידה (</t>
        </is>
      </c>
      <c r="S84" s="4" t="inlineStr">
        <is>
          <t>C79</t>
        </is>
      </c>
      <c r="T84" s="7">
        <f>HYPERLINK("#'"&amp;R84&amp;"'!"&amp;S84,"➜ פתח")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inlineStr">
        <is>
          <t>שדה</t>
        </is>
      </c>
      <c r="O85" s="6" t="inlineStr">
        <is>
          <t>VKORG</t>
        </is>
      </c>
      <c r="P85" s="4" t="inlineStr">
        <is>
          <t>ארגון מכירות</t>
        </is>
      </c>
      <c r="Q85" s="4" t="inlineStr">
        <is>
          <t>Sales organization</t>
        </is>
      </c>
      <c r="R85" s="4" t="inlineStr">
        <is>
          <t>1. נתוני אב חומר ויחידות מידה (</t>
        </is>
      </c>
      <c r="S85" s="4" t="inlineStr">
        <is>
          <t>C80</t>
        </is>
      </c>
      <c r="T85" s="7">
        <f>HYPERLINK("#'"&amp;R85&amp;"'!"&amp;S85,"➜ פתח")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inlineStr">
        <is>
          <t>שדה</t>
        </is>
      </c>
      <c r="O86" s="6" t="inlineStr">
        <is>
          <t>VTWEG</t>
        </is>
      </c>
      <c r="P86" s="4" t="inlineStr">
        <is>
          <t>ערוץ הפצה</t>
        </is>
      </c>
      <c r="Q86" s="4" t="inlineStr">
        <is>
          <t>Distribution channel</t>
        </is>
      </c>
      <c r="R86" s="4" t="inlineStr">
        <is>
          <t>1. נתוני אב חומר ויחידות מידה (</t>
        </is>
      </c>
      <c r="S86" s="4" t="inlineStr">
        <is>
          <t>C81</t>
        </is>
      </c>
      <c r="T86" s="7">
        <f>HYPERLINK("#'"&amp;R86&amp;"'!"&amp;S86,"➜ פתח")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inlineStr">
        <is>
          <t>שדה</t>
        </is>
      </c>
      <c r="O87" s="6" t="inlineStr">
        <is>
          <t>MTPOS</t>
        </is>
      </c>
      <c r="P87" s="4" t="inlineStr">
        <is>
          <t>קבוצת קטגוריית פריט</t>
        </is>
      </c>
      <c r="Q87" s="4" t="inlineStr">
        <is>
          <t>Item category group</t>
        </is>
      </c>
      <c r="R87" s="4" t="inlineStr">
        <is>
          <t>1. נתוני אב חומר ויחידות מידה (</t>
        </is>
      </c>
      <c r="S87" s="4" t="inlineStr">
        <is>
          <t>C82</t>
        </is>
      </c>
      <c r="T87" s="7">
        <f>HYPERLINK("#'"&amp;R87&amp;"'!"&amp;S87,"➜ פתח")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inlineStr">
        <is>
          <t>טרנזקציה</t>
        </is>
      </c>
      <c r="O88" s="6" t="inlineStr">
        <is>
          <t>MM01</t>
        </is>
      </c>
      <c r="P88" s="4" t="inlineStr">
        <is>
          <t>נתוני חומר ברמת מכירות</t>
        </is>
      </c>
      <c r="Q88" s="4" t="inlineStr">
        <is>
          <t>Sales data for material</t>
        </is>
      </c>
      <c r="R88" s="4" t="inlineStr">
        <is>
          <t>1. נתוני אב חומר ויחידות מידה (</t>
        </is>
      </c>
      <c r="S88" s="4" t="inlineStr">
        <is>
          <t>A79</t>
        </is>
      </c>
      <c r="T88" s="7">
        <f>HYPERLINK("#'"&amp;R88&amp;"'!"&amp;S88,"➜ פתח")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inlineStr">
        <is>
          <t>טרנזקציה</t>
        </is>
      </c>
      <c r="O89" s="6" t="inlineStr">
        <is>
          <t>MM02</t>
        </is>
      </c>
      <c r="P89" s="4" t="inlineStr">
        <is>
          <t>נתוני חומר ברמת מכירות</t>
        </is>
      </c>
      <c r="Q89" s="4" t="inlineStr">
        <is>
          <t>Sales data for material</t>
        </is>
      </c>
      <c r="R89" s="4" t="inlineStr">
        <is>
          <t>1. נתוני אב חומר ויחידות מידה (</t>
        </is>
      </c>
      <c r="S89" s="4" t="inlineStr">
        <is>
          <t>A79</t>
        </is>
      </c>
      <c r="T89" s="7">
        <f>HYPERLINK("#'"&amp;R89&amp;"'!"&amp;S89,"➜ פתח")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inlineStr">
        <is>
          <t>טבלה</t>
        </is>
      </c>
      <c r="O90" s="6" t="inlineStr">
        <is>
          <t>MLAN</t>
        </is>
      </c>
      <c r="P90" s="4" t="inlineStr">
        <is>
          <t>נתוני מס לחומר (לפי מדינה)</t>
        </is>
      </c>
      <c r="Q90" s="4" t="inlineStr">
        <is>
          <t>Material tax data</t>
        </is>
      </c>
      <c r="R90" s="4" t="inlineStr">
        <is>
          <t>1. נתוני אב חומר ויחידות מידה (</t>
        </is>
      </c>
      <c r="S90" s="4" t="inlineStr">
        <is>
          <t>A84</t>
        </is>
      </c>
      <c r="T90" s="7">
        <f>HYPERLINK("#'"&amp;R90&amp;"'!"&amp;S90,"➜ פתח")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inlineStr">
        <is>
          <t>שדה</t>
        </is>
      </c>
      <c r="O91" s="6" t="inlineStr">
        <is>
          <t>MATNR</t>
        </is>
      </c>
      <c r="P91" s="4" t="inlineStr">
        <is>
          <t>מספר חומר</t>
        </is>
      </c>
      <c r="Q91" s="4" t="inlineStr">
        <is>
          <t>Material number</t>
        </is>
      </c>
      <c r="R91" s="4" t="inlineStr">
        <is>
          <t>1. נתוני אב חומר ויחידות מידה (</t>
        </is>
      </c>
      <c r="S91" s="4" t="inlineStr">
        <is>
          <t>C85</t>
        </is>
      </c>
      <c r="T91" s="7">
        <f>HYPERLINK("#'"&amp;R91&amp;"'!"&amp;S91,"➜ פתח")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inlineStr">
        <is>
          <t>שדה</t>
        </is>
      </c>
      <c r="O92" s="6" t="inlineStr">
        <is>
          <t>ALAND</t>
        </is>
      </c>
      <c r="P92" s="4" t="inlineStr">
        <is>
          <t>מדינת מקור</t>
        </is>
      </c>
      <c r="Q92" s="4" t="inlineStr">
        <is>
          <t>Departure country</t>
        </is>
      </c>
      <c r="R92" s="4" t="inlineStr">
        <is>
          <t>1. נתוני אב חומר ויחידות מידה (</t>
        </is>
      </c>
      <c r="S92" s="4" t="inlineStr">
        <is>
          <t>C86</t>
        </is>
      </c>
      <c r="T92" s="7">
        <f>HYPERLINK("#'"&amp;R92&amp;"'!"&amp;S92,"➜ פתח")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inlineStr">
        <is>
          <t>שדה</t>
        </is>
      </c>
      <c r="O93" s="6" t="inlineStr">
        <is>
          <t>TAXM1</t>
        </is>
      </c>
      <c r="P93" s="4" t="inlineStr">
        <is>
          <t>סיווג מס</t>
        </is>
      </c>
      <c r="Q93" s="4" t="inlineStr">
        <is>
          <t>Tax classification</t>
        </is>
      </c>
      <c r="R93" s="4" t="inlineStr">
        <is>
          <t>1. נתוני אב חומר ויחידות מידה (</t>
        </is>
      </c>
      <c r="S93" s="4" t="inlineStr">
        <is>
          <t>C87</t>
        </is>
      </c>
      <c r="T93" s="7">
        <f>HYPERLINK("#'"&amp;R93&amp;"'!"&amp;S93,"➜ פתח")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inlineStr">
        <is>
          <t>טרנזקציה</t>
        </is>
      </c>
      <c r="O94" s="6" t="inlineStr">
        <is>
          <t>MM01</t>
        </is>
      </c>
      <c r="P94" s="4" t="inlineStr">
        <is>
          <t>נתוני מס לחומר (לפי מדינה)</t>
        </is>
      </c>
      <c r="Q94" s="4" t="inlineStr">
        <is>
          <t>Material tax data</t>
        </is>
      </c>
      <c r="R94" s="4" t="inlineStr">
        <is>
          <t>1. נתוני אב חומר ויחידות מידה (</t>
        </is>
      </c>
      <c r="S94" s="4" t="inlineStr">
        <is>
          <t>A85</t>
        </is>
      </c>
      <c r="T94" s="7">
        <f>HYPERLINK("#'"&amp;R94&amp;"'!"&amp;S94,"➜ פתח")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inlineStr">
        <is>
          <t>טרנזקציה</t>
        </is>
      </c>
      <c r="O95" s="6" t="inlineStr">
        <is>
          <t>MM02</t>
        </is>
      </c>
      <c r="P95" s="4" t="inlineStr">
        <is>
          <t>נתוני מס לחומר (לפי מדינה)</t>
        </is>
      </c>
      <c r="Q95" s="4" t="inlineStr">
        <is>
          <t>Material tax data</t>
        </is>
      </c>
      <c r="R95" s="4" t="inlineStr">
        <is>
          <t>1. נתוני אב חומר ויחידות מידה (</t>
        </is>
      </c>
      <c r="S95" s="4" t="inlineStr">
        <is>
          <t>A85</t>
        </is>
      </c>
      <c r="T95" s="7">
        <f>HYPERLINK("#'"&amp;R95&amp;"'!"&amp;S95,"➜ פתח")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inlineStr">
        <is>
          <t>טבלה</t>
        </is>
      </c>
      <c r="O96" s="6" t="inlineStr">
        <is>
          <t>MLGN</t>
        </is>
      </c>
      <c r="P96" s="4" t="inlineStr">
        <is>
          <t>נתוני חומר ברמת מחסן (WM)</t>
        </is>
      </c>
      <c r="Q96" s="4" t="inlineStr">
        <is>
          <t>Material data for warehouse number</t>
        </is>
      </c>
      <c r="R96" s="4" t="inlineStr">
        <is>
          <t>1. נתוני אב חומר ויחידות מידה (</t>
        </is>
      </c>
      <c r="S96" s="4" t="inlineStr">
        <is>
          <t>A89</t>
        </is>
      </c>
      <c r="T96" s="7">
        <f>HYPERLINK("#'"&amp;R96&amp;"'!"&amp;S96,"➜ פתח")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inlineStr">
        <is>
          <t>שדה</t>
        </is>
      </c>
      <c r="O97" s="6" t="inlineStr">
        <is>
          <t>MATNR</t>
        </is>
      </c>
      <c r="P97" s="4" t="inlineStr">
        <is>
          <t>מספר חומר</t>
        </is>
      </c>
      <c r="Q97" s="4" t="inlineStr">
        <is>
          <t>Material number</t>
        </is>
      </c>
      <c r="R97" s="4" t="inlineStr">
        <is>
          <t>1. נתוני אב חומר ויחידות מידה (</t>
        </is>
      </c>
      <c r="S97" s="4" t="inlineStr">
        <is>
          <t>C90</t>
        </is>
      </c>
      <c r="T97" s="7">
        <f>HYPERLINK("#'"&amp;R97&amp;"'!"&amp;S97,"➜ פתח")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inlineStr">
        <is>
          <t>שדה</t>
        </is>
      </c>
      <c r="O98" s="6" t="inlineStr">
        <is>
          <t>LGNUM</t>
        </is>
      </c>
      <c r="P98" s="4" t="inlineStr">
        <is>
          <t>מספר מחסן</t>
        </is>
      </c>
      <c r="Q98" s="4" t="inlineStr">
        <is>
          <t>Warehouse number</t>
        </is>
      </c>
      <c r="R98" s="4" t="inlineStr">
        <is>
          <t>1. נתוני אב חומר ויחידות מידה (</t>
        </is>
      </c>
      <c r="S98" s="4" t="inlineStr">
        <is>
          <t>C91</t>
        </is>
      </c>
      <c r="T98" s="7">
        <f>HYPERLINK("#'"&amp;R98&amp;"'!"&amp;S98,"➜ פתח")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inlineStr">
        <is>
          <t>שדה</t>
        </is>
      </c>
      <c r="O99" s="6" t="inlineStr">
        <is>
          <t>LTKZA</t>
        </is>
      </c>
      <c r="P99" s="4" t="inlineStr">
        <is>
          <t>אסטרטגיית הורדה</t>
        </is>
      </c>
      <c r="Q99" s="4" t="inlineStr">
        <is>
          <t>Stock removal strategy</t>
        </is>
      </c>
      <c r="R99" s="4" t="inlineStr">
        <is>
          <t>1. נתוני אב חומר ויחידות מידה (</t>
        </is>
      </c>
      <c r="S99" s="4" t="inlineStr">
        <is>
          <t>C92</t>
        </is>
      </c>
      <c r="T99" s="7">
        <f>HYPERLINK("#'"&amp;R99&amp;"'!"&amp;S99,"➜ פתח")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inlineStr">
        <is>
          <t>שדה</t>
        </is>
      </c>
      <c r="O100" s="6" t="inlineStr">
        <is>
          <t>LTKZE</t>
        </is>
      </c>
      <c r="P100" s="4" t="inlineStr">
        <is>
          <t>אסטרטגיית העלאה</t>
        </is>
      </c>
      <c r="Q100" s="4" t="inlineStr">
        <is>
          <t>Stock placement strategy</t>
        </is>
      </c>
      <c r="R100" s="4" t="inlineStr">
        <is>
          <t>1. נתוני אב חומר ויחידות מידה (</t>
        </is>
      </c>
      <c r="S100" s="4" t="inlineStr">
        <is>
          <t>C93</t>
        </is>
      </c>
      <c r="T100" s="7">
        <f>HYPERLINK("#'"&amp;R100&amp;"'!"&amp;S100,"➜ פתח")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inlineStr">
        <is>
          <t>טרנזקציה</t>
        </is>
      </c>
      <c r="O101" s="6" t="inlineStr">
        <is>
          <t>MM01</t>
        </is>
      </c>
      <c r="P101" s="4" t="inlineStr">
        <is>
          <t>נתוני חומר ברמת מחסן (WM)</t>
        </is>
      </c>
      <c r="Q101" s="4" t="inlineStr">
        <is>
          <t>Material data for warehouse number</t>
        </is>
      </c>
      <c r="R101" s="4" t="inlineStr">
        <is>
          <t>1. נתוני אב חומר ויחידות מידה (</t>
        </is>
      </c>
      <c r="S101" s="4" t="inlineStr">
        <is>
          <t>A90</t>
        </is>
      </c>
      <c r="T101" s="7">
        <f>HYPERLINK("#'"&amp;R101&amp;"'!"&amp;S101,"➜ פתח")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inlineStr">
        <is>
          <t>טרנזקציה</t>
        </is>
      </c>
      <c r="O102" s="6" t="inlineStr">
        <is>
          <t>MM02</t>
        </is>
      </c>
      <c r="P102" s="4" t="inlineStr">
        <is>
          <t>נתוני חומר ברמת מחסן (WM)</t>
        </is>
      </c>
      <c r="Q102" s="4" t="inlineStr">
        <is>
          <t>Material data for warehouse number</t>
        </is>
      </c>
      <c r="R102" s="4" t="inlineStr">
        <is>
          <t>1. נתוני אב חומר ויחידות מידה (</t>
        </is>
      </c>
      <c r="S102" s="4" t="inlineStr">
        <is>
          <t>A90</t>
        </is>
      </c>
      <c r="T102" s="7">
        <f>HYPERLINK("#'"&amp;R102&amp;"'!"&amp;S102,"➜ פתח")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inlineStr">
        <is>
          <t>טבלה</t>
        </is>
      </c>
      <c r="O103" s="6" t="inlineStr">
        <is>
          <t>MLGT</t>
        </is>
      </c>
      <c r="P103" s="4" t="inlineStr">
        <is>
          <t>נתוני חומר לפי טיפוס אחסון</t>
        </is>
      </c>
      <c r="Q103" s="4" t="inlineStr">
        <is>
          <t>Material data for storage type</t>
        </is>
      </c>
      <c r="R103" s="4" t="inlineStr">
        <is>
          <t>1. נתוני אב חומר ויחידות מידה (</t>
        </is>
      </c>
      <c r="S103" s="4" t="inlineStr">
        <is>
          <t>A95</t>
        </is>
      </c>
      <c r="T103" s="7">
        <f>HYPERLINK("#'"&amp;R103&amp;"'!"&amp;S103,"➜ פתח")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inlineStr">
        <is>
          <t>שדה</t>
        </is>
      </c>
      <c r="O104" s="6" t="inlineStr">
        <is>
          <t>MATNR</t>
        </is>
      </c>
      <c r="P104" s="4" t="inlineStr">
        <is>
          <t>מספר חומר</t>
        </is>
      </c>
      <c r="Q104" s="4" t="inlineStr">
        <is>
          <t>Material number</t>
        </is>
      </c>
      <c r="R104" s="4" t="inlineStr">
        <is>
          <t>1. נתוני אב חומר ויחידות מידה (</t>
        </is>
      </c>
      <c r="S104" s="4" t="inlineStr">
        <is>
          <t>C96</t>
        </is>
      </c>
      <c r="T104" s="7">
        <f>HYPERLINK("#'"&amp;R104&amp;"'!"&amp;S104,"➜ פתח")</f>
        <v/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inlineStr">
        <is>
          <t>שדה</t>
        </is>
      </c>
      <c r="O105" s="6" t="inlineStr">
        <is>
          <t>LGNUM</t>
        </is>
      </c>
      <c r="P105" s="4" t="inlineStr">
        <is>
          <t>מספר מחסן</t>
        </is>
      </c>
      <c r="Q105" s="4" t="inlineStr">
        <is>
          <t>Warehouse number</t>
        </is>
      </c>
      <c r="R105" s="4" t="inlineStr">
        <is>
          <t>1. נתוני אב חומר ויחידות מידה (</t>
        </is>
      </c>
      <c r="S105" s="4" t="inlineStr">
        <is>
          <t>C97</t>
        </is>
      </c>
      <c r="T105" s="7">
        <f>HYPERLINK("#'"&amp;R105&amp;"'!"&amp;S105,"➜ פתח")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inlineStr">
        <is>
          <t>שדה</t>
        </is>
      </c>
      <c r="O106" s="6" t="inlineStr">
        <is>
          <t>LGTYP</t>
        </is>
      </c>
      <c r="P106" s="4" t="inlineStr">
        <is>
          <t>טיפוס אחסון</t>
        </is>
      </c>
      <c r="Q106" s="4" t="inlineStr">
        <is>
          <t>Storage type</t>
        </is>
      </c>
      <c r="R106" s="4" t="inlineStr">
        <is>
          <t>1. נתוני אב חומר ויחידות מידה (</t>
        </is>
      </c>
      <c r="S106" s="4" t="inlineStr">
        <is>
          <t>C98</t>
        </is>
      </c>
      <c r="T106" s="7">
        <f>HYPERLINK("#'"&amp;R106&amp;"'!"&amp;S106,"➜ פתח")</f>
        <v/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inlineStr">
        <is>
          <t>שדה</t>
        </is>
      </c>
      <c r="O107" s="6" t="inlineStr">
        <is>
          <t>LPMAX</t>
        </is>
      </c>
      <c r="P107" s="4" t="inlineStr">
        <is>
          <t>כמות תא מקסימלית</t>
        </is>
      </c>
      <c r="Q107" s="4" t="inlineStr">
        <is>
          <t>Maximum bin quantity</t>
        </is>
      </c>
      <c r="R107" s="4" t="inlineStr">
        <is>
          <t>1. נתוני אב חומר ויחידות מידה (</t>
        </is>
      </c>
      <c r="S107" s="4" t="inlineStr">
        <is>
          <t>C99</t>
        </is>
      </c>
      <c r="T107" s="7">
        <f>HYPERLINK("#'"&amp;R107&amp;"'!"&amp;S107,"➜ פתח")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inlineStr">
        <is>
          <t>טרנזקציה</t>
        </is>
      </c>
      <c r="O108" s="6" t="inlineStr">
        <is>
          <t>MM01</t>
        </is>
      </c>
      <c r="P108" s="4" t="inlineStr">
        <is>
          <t>נתוני חומר לפי טיפוס אחסון</t>
        </is>
      </c>
      <c r="Q108" s="4" t="inlineStr">
        <is>
          <t>Material data for storage type</t>
        </is>
      </c>
      <c r="R108" s="4" t="inlineStr">
        <is>
          <t>1. נתוני אב חומר ויחידות מידה (</t>
        </is>
      </c>
      <c r="S108" s="4" t="inlineStr">
        <is>
          <t>A96</t>
        </is>
      </c>
      <c r="T108" s="7">
        <f>HYPERLINK("#'"&amp;R108&amp;"'!"&amp;S108,"➜ פתח")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inlineStr">
        <is>
          <t>טרנזקציה</t>
        </is>
      </c>
      <c r="O109" s="6" t="inlineStr">
        <is>
          <t>MM02</t>
        </is>
      </c>
      <c r="P109" s="4" t="inlineStr">
        <is>
          <t>נתוני חומר לפי טיפוס אחסון</t>
        </is>
      </c>
      <c r="Q109" s="4" t="inlineStr">
        <is>
          <t>Material data for storage type</t>
        </is>
      </c>
      <c r="R109" s="4" t="inlineStr">
        <is>
          <t>1. נתוני אב חומר ויחידות מידה (</t>
        </is>
      </c>
      <c r="S109" s="4" t="inlineStr">
        <is>
          <t>A96</t>
        </is>
      </c>
      <c r="T109" s="7">
        <f>HYPERLINK("#'"&amp;R109&amp;"'!"&amp;S109,"➜ פתח")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inlineStr">
        <is>
          <t>טבלה</t>
        </is>
      </c>
      <c r="O110" s="6" t="inlineStr">
        <is>
          <t>MDMA</t>
        </is>
      </c>
      <c r="P110" s="4" t="inlineStr">
        <is>
          <t>אזורי MRP לחומר</t>
        </is>
      </c>
      <c r="Q110" s="4" t="inlineStr">
        <is>
          <t>MRP areas for material</t>
        </is>
      </c>
      <c r="R110" s="4" t="inlineStr">
        <is>
          <t>1. נתוני אב חומר ויחידות מידה (</t>
        </is>
      </c>
      <c r="S110" s="4" t="inlineStr">
        <is>
          <t>A101</t>
        </is>
      </c>
      <c r="T110" s="7">
        <f>HYPERLINK("#'"&amp;R110&amp;"'!"&amp;S110,"➜ פתח")</f>
        <v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inlineStr">
        <is>
          <t>שדה</t>
        </is>
      </c>
      <c r="O111" s="6" t="inlineStr">
        <is>
          <t>MATNR</t>
        </is>
      </c>
      <c r="P111" s="4" t="inlineStr">
        <is>
          <t>מספר חומר</t>
        </is>
      </c>
      <c r="Q111" s="4" t="inlineStr">
        <is>
          <t>Material number</t>
        </is>
      </c>
      <c r="R111" s="4" t="inlineStr">
        <is>
          <t>1. נתוני אב חומר ויחידות מידה (</t>
        </is>
      </c>
      <c r="S111" s="4" t="inlineStr">
        <is>
          <t>C102</t>
        </is>
      </c>
      <c r="T111" s="7">
        <f>HYPERLINK("#'"&amp;R111&amp;"'!"&amp;S111,"➜ פתח")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inlineStr">
        <is>
          <t>שדה</t>
        </is>
      </c>
      <c r="O112" s="6" t="inlineStr">
        <is>
          <t>WERKS</t>
        </is>
      </c>
      <c r="P112" s="4" t="inlineStr">
        <is>
          <t>מפעל</t>
        </is>
      </c>
      <c r="Q112" s="4" t="inlineStr">
        <is>
          <t>Plant</t>
        </is>
      </c>
      <c r="R112" s="4" t="inlineStr">
        <is>
          <t>1. נתוני אב חומר ויחידות מידה (</t>
        </is>
      </c>
      <c r="S112" s="4" t="inlineStr">
        <is>
          <t>C103</t>
        </is>
      </c>
      <c r="T112" s="7">
        <f>HYPERLINK("#'"&amp;R112&amp;"'!"&amp;S112,"➜ פתח")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inlineStr">
        <is>
          <t>שדה</t>
        </is>
      </c>
      <c r="O113" s="6" t="inlineStr">
        <is>
          <t>BERID</t>
        </is>
      </c>
      <c r="P113" s="4" t="inlineStr">
        <is>
          <t>אזור MRP</t>
        </is>
      </c>
      <c r="Q113" s="4" t="inlineStr">
        <is>
          <t>MRP area</t>
        </is>
      </c>
      <c r="R113" s="4" t="inlineStr">
        <is>
          <t>1. נתוני אב חומר ויחידות מידה (</t>
        </is>
      </c>
      <c r="S113" s="4" t="inlineStr">
        <is>
          <t>C104</t>
        </is>
      </c>
      <c r="T113" s="7">
        <f>HYPERLINK("#'"&amp;R113&amp;"'!"&amp;S113,"➜ פתח")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inlineStr">
        <is>
          <t>שדה</t>
        </is>
      </c>
      <c r="O114" s="6" t="inlineStr">
        <is>
          <t>DISMM</t>
        </is>
      </c>
      <c r="P114" s="4" t="inlineStr">
        <is>
          <t>סוג MRP</t>
        </is>
      </c>
      <c r="Q114" s="4" t="inlineStr">
        <is>
          <t>MRP type</t>
        </is>
      </c>
      <c r="R114" s="4" t="inlineStr">
        <is>
          <t>1. נתוני אב חומר ויחידות מידה (</t>
        </is>
      </c>
      <c r="S114" s="4" t="inlineStr">
        <is>
          <t>C105</t>
        </is>
      </c>
      <c r="T114" s="7">
        <f>HYPERLINK("#'"&amp;R114&amp;"'!"&amp;S114,"➜ פתח")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inlineStr">
        <is>
          <t>טרנזקציה</t>
        </is>
      </c>
      <c r="O115" s="6" t="inlineStr">
        <is>
          <t>MM02</t>
        </is>
      </c>
      <c r="P115" s="4" t="inlineStr">
        <is>
          <t>אזורי MRP לחומר</t>
        </is>
      </c>
      <c r="Q115" s="4" t="inlineStr">
        <is>
          <t>MRP areas for material</t>
        </is>
      </c>
      <c r="R115" s="4" t="inlineStr">
        <is>
          <t>1. נתוני אב חומר ויחידות מידה (</t>
        </is>
      </c>
      <c r="S115" s="4" t="inlineStr">
        <is>
          <t>A102</t>
        </is>
      </c>
      <c r="T115" s="7">
        <f>HYPERLINK("#'"&amp;R115&amp;"'!"&amp;S115,"➜ פתח")</f>
        <v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inlineStr">
        <is>
          <t>טרנזקציה</t>
        </is>
      </c>
      <c r="O116" s="6" t="inlineStr">
        <is>
          <t>MDLV</t>
        </is>
      </c>
      <c r="P116" s="4" t="inlineStr">
        <is>
          <t>אזורי MRP לחומר</t>
        </is>
      </c>
      <c r="Q116" s="4" t="inlineStr">
        <is>
          <t>MRP areas for material</t>
        </is>
      </c>
      <c r="R116" s="4" t="inlineStr">
        <is>
          <t>1. נתוני אב חומר ויחידות מידה (</t>
        </is>
      </c>
      <c r="S116" s="4" t="inlineStr">
        <is>
          <t>A102</t>
        </is>
      </c>
      <c r="T116" s="7">
        <f>HYPERLINK("#'"&amp;R116&amp;"'!"&amp;S116,"➜ פתח")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inlineStr">
        <is>
          <t>טבלה</t>
        </is>
      </c>
      <c r="O117" s="6" t="inlineStr">
        <is>
          <t>QMAT</t>
        </is>
      </c>
      <c r="P117" s="4" t="inlineStr">
        <is>
          <t>הגדרות בדיקת איכות לחומר</t>
        </is>
      </c>
      <c r="Q117" s="4" t="inlineStr">
        <is>
          <t>Inspection setup data for material</t>
        </is>
      </c>
      <c r="R117" s="4" t="inlineStr">
        <is>
          <t>1. נתוני אב חומר ויחידות מידה (</t>
        </is>
      </c>
      <c r="S117" s="4" t="inlineStr">
        <is>
          <t>A107</t>
        </is>
      </c>
      <c r="T117" s="7">
        <f>HYPERLINK("#'"&amp;R117&amp;"'!"&amp;S117,"➜ פתח")</f>
        <v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inlineStr">
        <is>
          <t>שדה</t>
        </is>
      </c>
      <c r="O118" s="6" t="inlineStr">
        <is>
          <t>MATNR</t>
        </is>
      </c>
      <c r="P118" s="4" t="inlineStr">
        <is>
          <t>מספר חומר</t>
        </is>
      </c>
      <c r="Q118" s="4" t="inlineStr">
        <is>
          <t>Material number</t>
        </is>
      </c>
      <c r="R118" s="4" t="inlineStr">
        <is>
          <t>1. נתוני אב חומר ויחידות מידה (</t>
        </is>
      </c>
      <c r="S118" s="4" t="inlineStr">
        <is>
          <t>C108</t>
        </is>
      </c>
      <c r="T118" s="7">
        <f>HYPERLINK("#'"&amp;R118&amp;"'!"&amp;S118,"➜ פתח")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inlineStr">
        <is>
          <t>שדה</t>
        </is>
      </c>
      <c r="O119" s="6" t="inlineStr">
        <is>
          <t>WERKS</t>
        </is>
      </c>
      <c r="P119" s="4" t="inlineStr">
        <is>
          <t>מפעל</t>
        </is>
      </c>
      <c r="Q119" s="4" t="inlineStr">
        <is>
          <t>Plant</t>
        </is>
      </c>
      <c r="R119" s="4" t="inlineStr">
        <is>
          <t>1. נתוני אב חומר ויחידות מידה (</t>
        </is>
      </c>
      <c r="S119" s="4" t="inlineStr">
        <is>
          <t>C109</t>
        </is>
      </c>
      <c r="T119" s="7">
        <f>HYPERLINK("#'"&amp;R119&amp;"'!"&amp;S119,"➜ פתח")</f>
        <v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inlineStr">
        <is>
          <t>שדה</t>
        </is>
      </c>
      <c r="O120" s="6" t="inlineStr">
        <is>
          <t>ART</t>
        </is>
      </c>
      <c r="P120" s="4" t="inlineStr">
        <is>
          <t>סוג בדיקה</t>
        </is>
      </c>
      <c r="Q120" s="4" t="inlineStr">
        <is>
          <t>Inspection type</t>
        </is>
      </c>
      <c r="R120" s="4" t="inlineStr">
        <is>
          <t>1. נתוני אב חומר ויחידות מידה (</t>
        </is>
      </c>
      <c r="S120" s="4" t="inlineStr">
        <is>
          <t>C110</t>
        </is>
      </c>
      <c r="T120" s="7">
        <f>HYPERLINK("#'"&amp;R120&amp;"'!"&amp;S120,"➜ פתח")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inlineStr">
        <is>
          <t>שדה</t>
        </is>
      </c>
      <c r="O121" s="6" t="inlineStr">
        <is>
          <t>AKTIV</t>
        </is>
      </c>
      <c r="P121" s="4" t="inlineStr">
        <is>
          <t>פעיל</t>
        </is>
      </c>
      <c r="Q121" s="4" t="inlineStr">
        <is>
          <t>Active indicator</t>
        </is>
      </c>
      <c r="R121" s="4" t="inlineStr">
        <is>
          <t>1. נתוני אב חומר ויחידות מידה (</t>
        </is>
      </c>
      <c r="S121" s="4" t="inlineStr">
        <is>
          <t>C111</t>
        </is>
      </c>
      <c r="T121" s="7">
        <f>HYPERLINK("#'"&amp;R121&amp;"'!"&amp;S121,"➜ פתח")</f>
        <v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inlineStr">
        <is>
          <t>טרנזקציה</t>
        </is>
      </c>
      <c r="O122" s="6" t="inlineStr">
        <is>
          <t>QA08</t>
        </is>
      </c>
      <c r="P122" s="4" t="inlineStr">
        <is>
          <t>הגדרות בדיקת איכות לחומר</t>
        </is>
      </c>
      <c r="Q122" s="4" t="inlineStr">
        <is>
          <t>Inspection setup data for material</t>
        </is>
      </c>
      <c r="R122" s="4" t="inlineStr">
        <is>
          <t>1. נתוני אב חומר ויחידות מידה (</t>
        </is>
      </c>
      <c r="S122" s="4" t="inlineStr">
        <is>
          <t>A108</t>
        </is>
      </c>
      <c r="T122" s="7">
        <f>HYPERLINK("#'"&amp;R122&amp;"'!"&amp;S122,"➜ פתח")</f>
        <v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inlineStr">
        <is>
          <t>טרנזקציה</t>
        </is>
      </c>
      <c r="O123" s="6" t="inlineStr">
        <is>
          <t>MM02</t>
        </is>
      </c>
      <c r="P123" s="4" t="inlineStr">
        <is>
          <t>הגדרות בדיקת איכות לחומר</t>
        </is>
      </c>
      <c r="Q123" s="4" t="inlineStr">
        <is>
          <t>Inspection setup data for material</t>
        </is>
      </c>
      <c r="R123" s="4" t="inlineStr">
        <is>
          <t>1. נתוני אב חומר ויחידות מידה (</t>
        </is>
      </c>
      <c r="S123" s="4" t="inlineStr">
        <is>
          <t>A108</t>
        </is>
      </c>
      <c r="T123" s="7">
        <f>HYPERLINK("#'"&amp;R123&amp;"'!"&amp;S123,"➜ פתח")</f>
        <v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inlineStr">
        <is>
          <t>טבלה</t>
        </is>
      </c>
      <c r="O124" s="6" t="inlineStr">
        <is>
          <t>MCH1</t>
        </is>
      </c>
      <c r="P124" s="4" t="inlineStr">
        <is>
          <t>אצוות חומר (Batches)</t>
        </is>
      </c>
      <c r="Q124" s="4" t="inlineStr">
        <is>
          <t>Batch master records</t>
        </is>
      </c>
      <c r="R124" s="4" t="inlineStr">
        <is>
          <t>1. נתוני אב חומר ויחידות מידה (</t>
        </is>
      </c>
      <c r="S124" s="4" t="inlineStr">
        <is>
          <t>A113</t>
        </is>
      </c>
      <c r="T124" s="7">
        <f>HYPERLINK("#'"&amp;R124&amp;"'!"&amp;S124,"➜ פתח")</f>
        <v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inlineStr">
        <is>
          <t>שדה</t>
        </is>
      </c>
      <c r="O125" s="6" t="inlineStr">
        <is>
          <t>MATNR</t>
        </is>
      </c>
      <c r="P125" s="4" t="inlineStr">
        <is>
          <t>מספר חומר</t>
        </is>
      </c>
      <c r="Q125" s="4" t="inlineStr">
        <is>
          <t>Material number</t>
        </is>
      </c>
      <c r="R125" s="4" t="inlineStr">
        <is>
          <t>1. נתוני אב חומר ויחידות מידה (</t>
        </is>
      </c>
      <c r="S125" s="4" t="inlineStr">
        <is>
          <t>C114</t>
        </is>
      </c>
      <c r="T125" s="7">
        <f>HYPERLINK("#'"&amp;R125&amp;"'!"&amp;S125,"➜ פתח")</f>
        <v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inlineStr">
        <is>
          <t>שדה</t>
        </is>
      </c>
      <c r="O126" s="6" t="inlineStr">
        <is>
          <t>CHARG</t>
        </is>
      </c>
      <c r="P126" s="4" t="inlineStr">
        <is>
          <t>מספר אצווה</t>
        </is>
      </c>
      <c r="Q126" s="4" t="inlineStr">
        <is>
          <t>Batch number</t>
        </is>
      </c>
      <c r="R126" s="4" t="inlineStr">
        <is>
          <t>1. נתוני אב חומר ויחידות מידה (</t>
        </is>
      </c>
      <c r="S126" s="4" t="inlineStr">
        <is>
          <t>C115</t>
        </is>
      </c>
      <c r="T126" s="7">
        <f>HYPERLINK("#'"&amp;R126&amp;"'!"&amp;S126,"➜ פתח")</f>
        <v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inlineStr">
        <is>
          <t>שדה</t>
        </is>
      </c>
      <c r="O127" s="6" t="inlineStr">
        <is>
          <t>ERSDA</t>
        </is>
      </c>
      <c r="P127" s="4" t="inlineStr">
        <is>
          <t>תאריך יצירה</t>
        </is>
      </c>
      <c r="Q127" s="4" t="inlineStr">
        <is>
          <t>Creation date</t>
        </is>
      </c>
      <c r="R127" s="4" t="inlineStr">
        <is>
          <t>1. נתוני אב חומר ויחידות מידה (</t>
        </is>
      </c>
      <c r="S127" s="4" t="inlineStr">
        <is>
          <t>C116</t>
        </is>
      </c>
      <c r="T127" s="7">
        <f>HYPERLINK("#'"&amp;R127&amp;"'!"&amp;S127,"➜ פתח")</f>
        <v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inlineStr">
        <is>
          <t>שדה</t>
        </is>
      </c>
      <c r="O128" s="6" t="inlineStr">
        <is>
          <t>VFDAT</t>
        </is>
      </c>
      <c r="P128" s="4" t="inlineStr">
        <is>
          <t>תאריך תפוגה</t>
        </is>
      </c>
      <c r="Q128" s="4" t="inlineStr">
        <is>
          <t>Shelf life expiration / BBD</t>
        </is>
      </c>
      <c r="R128" s="4" t="inlineStr">
        <is>
          <t>1. נתוני אב חומר ויחידות מידה (</t>
        </is>
      </c>
      <c r="S128" s="4" t="inlineStr">
        <is>
          <t>C117</t>
        </is>
      </c>
      <c r="T128" s="7">
        <f>HYPERLINK("#'"&amp;R128&amp;"'!"&amp;S128,"➜ פתח")</f>
        <v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inlineStr">
        <is>
          <t>שדה</t>
        </is>
      </c>
      <c r="O129" s="6" t="inlineStr">
        <is>
          <t>HSDAT</t>
        </is>
      </c>
      <c r="P129" s="4" t="inlineStr">
        <is>
          <t>תאריך ייצור</t>
        </is>
      </c>
      <c r="Q129" s="4" t="inlineStr">
        <is>
          <t>Date of manufacture</t>
        </is>
      </c>
      <c r="R129" s="4" t="inlineStr">
        <is>
          <t>1. נתוני אב חומר ויחידות מידה (</t>
        </is>
      </c>
      <c r="S129" s="4" t="inlineStr">
        <is>
          <t>C118</t>
        </is>
      </c>
      <c r="T129" s="7">
        <f>HYPERLINK("#'"&amp;R129&amp;"'!"&amp;S129,"➜ פתח")</f>
        <v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inlineStr">
        <is>
          <t>שדה</t>
        </is>
      </c>
      <c r="O130" s="6" t="inlineStr">
        <is>
          <t>LICHA</t>
        </is>
      </c>
      <c r="P130" s="4" t="inlineStr">
        <is>
          <t>אצוות ספק</t>
        </is>
      </c>
      <c r="Q130" s="4" t="inlineStr">
        <is>
          <t>Vendor batch</t>
        </is>
      </c>
      <c r="R130" s="4" t="inlineStr">
        <is>
          <t>1. נתוני אב חומר ויחידות מידה (</t>
        </is>
      </c>
      <c r="S130" s="4" t="inlineStr">
        <is>
          <t>C119</t>
        </is>
      </c>
      <c r="T130" s="7">
        <f>HYPERLINK("#'"&amp;R130&amp;"'!"&amp;S130,"➜ פתח")</f>
        <v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inlineStr">
        <is>
          <t>שדה</t>
        </is>
      </c>
      <c r="O131" s="6" t="inlineStr">
        <is>
          <t>ZUSTD</t>
        </is>
      </c>
      <c r="P131" s="4" t="inlineStr">
        <is>
          <t>סטטוס אצווה</t>
        </is>
      </c>
      <c r="Q131" s="4" t="inlineStr">
        <is>
          <t>Batch status (released/restricted)</t>
        </is>
      </c>
      <c r="R131" s="4" t="inlineStr">
        <is>
          <t>1. נתוני אב חומר ויחידות מידה (</t>
        </is>
      </c>
      <c r="S131" s="4" t="inlineStr">
        <is>
          <t>C120</t>
        </is>
      </c>
      <c r="T131" s="7">
        <f>HYPERLINK("#'"&amp;R131&amp;"'!"&amp;S131,"➜ פתח")</f>
        <v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inlineStr">
        <is>
          <t>טרנזקציה</t>
        </is>
      </c>
      <c r="O132" s="6" t="inlineStr">
        <is>
          <t>MSC1N</t>
        </is>
      </c>
      <c r="P132" s="4" t="inlineStr">
        <is>
          <t>אצוות חומר (Batches)</t>
        </is>
      </c>
      <c r="Q132" s="4" t="inlineStr">
        <is>
          <t>Batch master records</t>
        </is>
      </c>
      <c r="R132" s="4" t="inlineStr">
        <is>
          <t>1. נתוני אב חומר ויחידות מידה (</t>
        </is>
      </c>
      <c r="S132" s="4" t="inlineStr">
        <is>
          <t>A114</t>
        </is>
      </c>
      <c r="T132" s="7">
        <f>HYPERLINK("#'"&amp;R132&amp;"'!"&amp;S132,"➜ פתח")</f>
        <v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inlineStr">
        <is>
          <t>טרנזקציה</t>
        </is>
      </c>
      <c r="O133" s="6" t="inlineStr">
        <is>
          <t>MSC2N</t>
        </is>
      </c>
      <c r="P133" s="4" t="inlineStr">
        <is>
          <t>אצוות חומר (Batches)</t>
        </is>
      </c>
      <c r="Q133" s="4" t="inlineStr">
        <is>
          <t>Batch master records</t>
        </is>
      </c>
      <c r="R133" s="4" t="inlineStr">
        <is>
          <t>1. נתוני אב חומר ויחידות מידה (</t>
        </is>
      </c>
      <c r="S133" s="4" t="inlineStr">
        <is>
          <t>A114</t>
        </is>
      </c>
      <c r="T133" s="7">
        <f>HYPERLINK("#'"&amp;R133&amp;"'!"&amp;S133,"➜ פתח")</f>
        <v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inlineStr">
        <is>
          <t>טרנזקציה</t>
        </is>
      </c>
      <c r="O134" s="6" t="inlineStr">
        <is>
          <t>MSC3N</t>
        </is>
      </c>
      <c r="P134" s="4" t="inlineStr">
        <is>
          <t>אצוות חומר (Batches)</t>
        </is>
      </c>
      <c r="Q134" s="4" t="inlineStr">
        <is>
          <t>Batch master records</t>
        </is>
      </c>
      <c r="R134" s="4" t="inlineStr">
        <is>
          <t>1. נתוני אב חומר ויחידות מידה (</t>
        </is>
      </c>
      <c r="S134" s="4" t="inlineStr">
        <is>
          <t>A114</t>
        </is>
      </c>
      <c r="T134" s="7">
        <f>HYPERLINK("#'"&amp;R134&amp;"'!"&amp;S134,"➜ פתח")</f>
        <v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inlineStr">
        <is>
          <t>טבלה</t>
        </is>
      </c>
      <c r="O135" s="6" t="inlineStr">
        <is>
          <t>MCHA</t>
        </is>
      </c>
      <c r="P135" s="4" t="inlineStr">
        <is>
          <t>אצוות חומר ברמת מפעל</t>
        </is>
      </c>
      <c r="Q135" s="4" t="inlineStr">
        <is>
          <t>Batch master at plant level</t>
        </is>
      </c>
      <c r="R135" s="4" t="inlineStr">
        <is>
          <t>1. נתוני אב חומר ויחידות מידה (</t>
        </is>
      </c>
      <c r="S135" s="4" t="inlineStr">
        <is>
          <t>A122</t>
        </is>
      </c>
      <c r="T135" s="7">
        <f>HYPERLINK("#'"&amp;R135&amp;"'!"&amp;S135,"➜ פתח")</f>
        <v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inlineStr">
        <is>
          <t>שדה</t>
        </is>
      </c>
      <c r="O136" s="6" t="inlineStr">
        <is>
          <t>MATNR</t>
        </is>
      </c>
      <c r="P136" s="4" t="inlineStr">
        <is>
          <t>מספר חומר</t>
        </is>
      </c>
      <c r="Q136" s="4" t="inlineStr">
        <is>
          <t>Material number</t>
        </is>
      </c>
      <c r="R136" s="4" t="inlineStr">
        <is>
          <t>1. נתוני אב חומר ויחידות מידה (</t>
        </is>
      </c>
      <c r="S136" s="4" t="inlineStr">
        <is>
          <t>C123</t>
        </is>
      </c>
      <c r="T136" s="7">
        <f>HYPERLINK("#'"&amp;R136&amp;"'!"&amp;S136,"➜ פתח")</f>
        <v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inlineStr">
        <is>
          <t>שדה</t>
        </is>
      </c>
      <c r="O137" s="6" t="inlineStr">
        <is>
          <t>WERKS</t>
        </is>
      </c>
      <c r="P137" s="4" t="inlineStr">
        <is>
          <t>מפעל</t>
        </is>
      </c>
      <c r="Q137" s="4" t="inlineStr">
        <is>
          <t>Plant</t>
        </is>
      </c>
      <c r="R137" s="4" t="inlineStr">
        <is>
          <t>1. נתוני אב חומר ויחידות מידה (</t>
        </is>
      </c>
      <c r="S137" s="4" t="inlineStr">
        <is>
          <t>C124</t>
        </is>
      </c>
      <c r="T137" s="7">
        <f>HYPERLINK("#'"&amp;R137&amp;"'!"&amp;S137,"➜ פתח")</f>
        <v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inlineStr">
        <is>
          <t>שדה</t>
        </is>
      </c>
      <c r="O138" s="6" t="inlineStr">
        <is>
          <t>CHARG</t>
        </is>
      </c>
      <c r="P138" s="4" t="inlineStr">
        <is>
          <t>מספר אצווה</t>
        </is>
      </c>
      <c r="Q138" s="4" t="inlineStr">
        <is>
          <t>Batch number</t>
        </is>
      </c>
      <c r="R138" s="4" t="inlineStr">
        <is>
          <t>1. נתוני אב חומר ויחידות מידה (</t>
        </is>
      </c>
      <c r="S138" s="4" t="inlineStr">
        <is>
          <t>C125</t>
        </is>
      </c>
      <c r="T138" s="7">
        <f>HYPERLINK("#'"&amp;R138&amp;"'!"&amp;S138,"➜ פתח")</f>
        <v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inlineStr">
        <is>
          <t>שדה</t>
        </is>
      </c>
      <c r="O139" s="6" t="inlineStr">
        <is>
          <t>ZUSCH</t>
        </is>
      </c>
      <c r="P139" s="4" t="inlineStr">
        <is>
          <t>מפתח סטטוס אצווה</t>
        </is>
      </c>
      <c r="Q139" s="4" t="inlineStr">
        <is>
          <t>Batch status key</t>
        </is>
      </c>
      <c r="R139" s="4" t="inlineStr">
        <is>
          <t>1. נתוני אב חומר ויחידות מידה (</t>
        </is>
      </c>
      <c r="S139" s="4" t="inlineStr">
        <is>
          <t>C126</t>
        </is>
      </c>
      <c r="T139" s="7">
        <f>HYPERLINK("#'"&amp;R139&amp;"'!"&amp;S139,"➜ פתח")</f>
        <v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inlineStr">
        <is>
          <t>טרנזקציה</t>
        </is>
      </c>
      <c r="O140" s="6" t="inlineStr">
        <is>
          <t>MSC2N</t>
        </is>
      </c>
      <c r="P140" s="4" t="inlineStr">
        <is>
          <t>אצוות חומר ברמת מפעל</t>
        </is>
      </c>
      <c r="Q140" s="4" t="inlineStr">
        <is>
          <t>Batch master at plant level</t>
        </is>
      </c>
      <c r="R140" s="4" t="inlineStr">
        <is>
          <t>1. נתוני אב חומר ויחידות מידה (</t>
        </is>
      </c>
      <c r="S140" s="4" t="inlineStr">
        <is>
          <t>A123</t>
        </is>
      </c>
      <c r="T140" s="7">
        <f>HYPERLINK("#'"&amp;R140&amp;"'!"&amp;S140,"➜ פתח")</f>
        <v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inlineStr">
        <is>
          <t>טבלה</t>
        </is>
      </c>
      <c r="O141" s="6" t="inlineStr">
        <is>
          <t>T006</t>
        </is>
      </c>
      <c r="P141" s="4" t="inlineStr">
        <is>
          <t>יחידות מידה (Customizing)</t>
        </is>
      </c>
      <c r="Q141" s="4" t="inlineStr">
        <is>
          <t>Units of measure</t>
        </is>
      </c>
      <c r="R141" s="4" t="inlineStr">
        <is>
          <t>1. נתוני אב חומר ויחידות מידה (</t>
        </is>
      </c>
      <c r="S141" s="4" t="inlineStr">
        <is>
          <t>A128</t>
        </is>
      </c>
      <c r="T141" s="7">
        <f>HYPERLINK("#'"&amp;R141&amp;"'!"&amp;S141,"➜ פתח")</f>
        <v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inlineStr">
        <is>
          <t>שדה</t>
        </is>
      </c>
      <c r="O142" s="6" t="inlineStr">
        <is>
          <t>MSEHI</t>
        </is>
      </c>
      <c r="P142" s="4" t="inlineStr">
        <is>
          <t>יחידת מידה</t>
        </is>
      </c>
      <c r="Q142" s="4" t="inlineStr">
        <is>
          <t>Unit of measure</t>
        </is>
      </c>
      <c r="R142" s="4" t="inlineStr">
        <is>
          <t>1. נתוני אב חומר ויחידות מידה (</t>
        </is>
      </c>
      <c r="S142" s="4" t="inlineStr">
        <is>
          <t>C129</t>
        </is>
      </c>
      <c r="T142" s="7">
        <f>HYPERLINK("#'"&amp;R142&amp;"'!"&amp;S142,"➜ פתח")</f>
        <v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inlineStr">
        <is>
          <t>שדה</t>
        </is>
      </c>
      <c r="O143" s="6" t="inlineStr">
        <is>
          <t>DIMID</t>
        </is>
      </c>
      <c r="P143" s="4" t="inlineStr">
        <is>
          <t>מפתח מימד</t>
        </is>
      </c>
      <c r="Q143" s="4" t="inlineStr">
        <is>
          <t>Dimension key</t>
        </is>
      </c>
      <c r="R143" s="4" t="inlineStr">
        <is>
          <t>1. נתוני אב חומר ויחידות מידה (</t>
        </is>
      </c>
      <c r="S143" s="4" t="inlineStr">
        <is>
          <t>C130</t>
        </is>
      </c>
      <c r="T143" s="7">
        <f>HYPERLINK("#'"&amp;R143&amp;"'!"&amp;S143,"➜ פתח")</f>
        <v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inlineStr">
        <is>
          <t>שדה</t>
        </is>
      </c>
      <c r="O144" s="6" t="inlineStr">
        <is>
          <t>ZAEHL</t>
        </is>
      </c>
      <c r="P144" s="4" t="inlineStr">
        <is>
          <t>מונה ISO</t>
        </is>
      </c>
      <c r="Q144" s="4" t="inlineStr">
        <is>
          <t>Numerator (ISO)</t>
        </is>
      </c>
      <c r="R144" s="4" t="inlineStr">
        <is>
          <t>1. נתוני אב חומר ויחידות מידה (</t>
        </is>
      </c>
      <c r="S144" s="4" t="inlineStr">
        <is>
          <t>C131</t>
        </is>
      </c>
      <c r="T144" s="7">
        <f>HYPERLINK("#'"&amp;R144&amp;"'!"&amp;S144,"➜ פתח")</f>
        <v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inlineStr">
        <is>
          <t>שדה</t>
        </is>
      </c>
      <c r="O145" s="6" t="inlineStr">
        <is>
          <t>NENNR</t>
        </is>
      </c>
      <c r="P145" s="4" t="inlineStr">
        <is>
          <t>מכנה ISO</t>
        </is>
      </c>
      <c r="Q145" s="4" t="inlineStr">
        <is>
          <t>Denominator (ISO)</t>
        </is>
      </c>
      <c r="R145" s="4" t="inlineStr">
        <is>
          <t>1. נתוני אב חומר ויחידות מידה (</t>
        </is>
      </c>
      <c r="S145" s="4" t="inlineStr">
        <is>
          <t>C132</t>
        </is>
      </c>
      <c r="T145" s="7">
        <f>HYPERLINK("#'"&amp;R145&amp;"'!"&amp;S145,"➜ פתח")</f>
        <v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inlineStr">
        <is>
          <t>שדה</t>
        </is>
      </c>
      <c r="O146" s="6" t="inlineStr">
        <is>
          <t>DECAN</t>
        </is>
      </c>
      <c r="P146" s="4" t="inlineStr">
        <is>
          <t>ספרות עשרוניות</t>
        </is>
      </c>
      <c r="Q146" s="4" t="inlineStr">
        <is>
          <t>Decimal places for rounding</t>
        </is>
      </c>
      <c r="R146" s="4" t="inlineStr">
        <is>
          <t>1. נתוני אב חומר ויחידות מידה (</t>
        </is>
      </c>
      <c r="S146" s="4" t="inlineStr">
        <is>
          <t>C133</t>
        </is>
      </c>
      <c r="T146" s="7">
        <f>HYPERLINK("#'"&amp;R146&amp;"'!"&amp;S146,"➜ פתח")</f>
        <v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inlineStr">
        <is>
          <t>טרנזקציה</t>
        </is>
      </c>
      <c r="O147" s="6" t="inlineStr">
        <is>
          <t>CUNI</t>
        </is>
      </c>
      <c r="P147" s="4" t="inlineStr">
        <is>
          <t>יחידות מידה (Customizing)</t>
        </is>
      </c>
      <c r="Q147" s="4" t="inlineStr">
        <is>
          <t>Units of measure</t>
        </is>
      </c>
      <c r="R147" s="4" t="inlineStr">
        <is>
          <t>1. נתוני אב חומר ויחידות מידה (</t>
        </is>
      </c>
      <c r="S147" s="4" t="inlineStr">
        <is>
          <t>A129</t>
        </is>
      </c>
      <c r="T147" s="7">
        <f>HYPERLINK("#'"&amp;R147&amp;"'!"&amp;S147,"➜ פתח")</f>
        <v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inlineStr">
        <is>
          <t>טרנזקציה</t>
        </is>
      </c>
      <c r="O148" s="6" t="inlineStr">
        <is>
          <t>SPRO</t>
        </is>
      </c>
      <c r="P148" s="4" t="inlineStr">
        <is>
          <t>יחידות מידה (Customizing)</t>
        </is>
      </c>
      <c r="Q148" s="4" t="inlineStr">
        <is>
          <t>Units of measure</t>
        </is>
      </c>
      <c r="R148" s="4" t="inlineStr">
        <is>
          <t>1. נתוני אב חומר ויחידות מידה (</t>
        </is>
      </c>
      <c r="S148" s="4" t="inlineStr">
        <is>
          <t>A129</t>
        </is>
      </c>
      <c r="T148" s="7">
        <f>HYPERLINK("#'"&amp;R148&amp;"'!"&amp;S148,"➜ פתח")</f>
        <v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inlineStr">
        <is>
          <t>טרנזקציה</t>
        </is>
      </c>
      <c r="O149" s="6" t="inlineStr">
        <is>
          <t>CS01</t>
        </is>
      </c>
      <c r="P149" s="4" t="inlineStr">
        <is>
          <t>Maintain Bill of Material</t>
        </is>
      </c>
      <c r="Q149" s="4" t="inlineStr">
        <is>
          <t>F1743</t>
        </is>
      </c>
      <c r="R149" s="4" t="inlineStr">
        <is>
          <t>2. עץ מוצר (BOM)</t>
        </is>
      </c>
      <c r="S149" s="4" t="inlineStr">
        <is>
          <t>A6</t>
        </is>
      </c>
      <c r="T149" s="7">
        <f>HYPERLINK("#'"&amp;R149&amp;"'!"&amp;S149,"➜ פתח")</f>
        <v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inlineStr">
        <is>
          <t>Fiori</t>
        </is>
      </c>
      <c r="O150" s="6" t="inlineStr">
        <is>
          <t>F1743</t>
        </is>
      </c>
      <c r="P150" s="4" t="inlineStr">
        <is>
          <t>Maintain Bill of Material</t>
        </is>
      </c>
      <c r="Q150" s="4" t="inlineStr"/>
      <c r="R150" s="4" t="inlineStr">
        <is>
          <t>2. עץ מוצר (BOM)</t>
        </is>
      </c>
      <c r="S150" s="4" t="inlineStr">
        <is>
          <t>A6</t>
        </is>
      </c>
      <c r="T150" s="7">
        <f>HYPERLINK("#'"&amp;R150&amp;"'!"&amp;S150,"➜ פתח")</f>
        <v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inlineStr">
        <is>
          <t>טרנזקציה</t>
        </is>
      </c>
      <c r="O151" s="6" t="inlineStr">
        <is>
          <t>CS11</t>
        </is>
      </c>
      <c r="P151" s="4" t="inlineStr">
        <is>
          <t>Manage Material BOMs</t>
        </is>
      </c>
      <c r="Q151" s="4" t="inlineStr">
        <is>
          <t>F1813</t>
        </is>
      </c>
      <c r="R151" s="4" t="inlineStr">
        <is>
          <t>2. עץ מוצר (BOM)</t>
        </is>
      </c>
      <c r="S151" s="4" t="inlineStr">
        <is>
          <t>A7</t>
        </is>
      </c>
      <c r="T151" s="7">
        <f>HYPERLINK("#'"&amp;R151&amp;"'!"&amp;S151,"➜ פתח")</f>
        <v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inlineStr">
        <is>
          <t>Fiori</t>
        </is>
      </c>
      <c r="O152" s="6" t="inlineStr">
        <is>
          <t>F1813</t>
        </is>
      </c>
      <c r="P152" s="4" t="inlineStr">
        <is>
          <t>Manage Material BOMs</t>
        </is>
      </c>
      <c r="Q152" s="4" t="inlineStr"/>
      <c r="R152" s="4" t="inlineStr">
        <is>
          <t>2. עץ מוצר (BOM)</t>
        </is>
      </c>
      <c r="S152" s="4" t="inlineStr">
        <is>
          <t>A7</t>
        </is>
      </c>
      <c r="T152" s="7">
        <f>HYPERLINK("#'"&amp;R152&amp;"'!"&amp;S152,"➜ פתח")</f>
        <v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inlineStr">
        <is>
          <t>טרנזקציה</t>
        </is>
      </c>
      <c r="O153" s="6" t="inlineStr">
        <is>
          <t>CEWB</t>
        </is>
      </c>
      <c r="P153" s="4" t="inlineStr">
        <is>
          <t>Manage Bill of Materials</t>
        </is>
      </c>
      <c r="Q153" s="4" t="inlineStr">
        <is>
          <t>F1813</t>
        </is>
      </c>
      <c r="R153" s="4" t="inlineStr">
        <is>
          <t>2. עץ מוצר (BOM)</t>
        </is>
      </c>
      <c r="S153" s="4" t="inlineStr">
        <is>
          <t>A8</t>
        </is>
      </c>
      <c r="T153" s="7">
        <f>HYPERLINK("#'"&amp;R153&amp;"'!"&amp;S153,"➜ פתח")</f>
        <v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inlineStr">
        <is>
          <t>Fiori</t>
        </is>
      </c>
      <c r="O154" s="6" t="inlineStr">
        <is>
          <t>F1813</t>
        </is>
      </c>
      <c r="P154" s="4" t="inlineStr">
        <is>
          <t>Manage Bill of Materials</t>
        </is>
      </c>
      <c r="Q154" s="4" t="inlineStr"/>
      <c r="R154" s="4" t="inlineStr">
        <is>
          <t>2. עץ מוצר (BOM)</t>
        </is>
      </c>
      <c r="S154" s="4" t="inlineStr">
        <is>
          <t>A8</t>
        </is>
      </c>
      <c r="T154" s="7">
        <f>HYPERLINK("#'"&amp;R154&amp;"'!"&amp;S154,"➜ פתח")</f>
        <v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inlineStr">
        <is>
          <t>BAPI</t>
        </is>
      </c>
      <c r="O155" s="6" t="inlineStr">
        <is>
          <t>BAPI_MATERIAL_BOM_GROUP_CREATE</t>
        </is>
      </c>
      <c r="P155" s="4" t="inlineStr">
        <is>
          <t>יצירת עץ מוצר (S/4 BOM API)</t>
        </is>
      </c>
      <c r="Q155" s="4" t="inlineStr"/>
      <c r="R155" s="4" t="inlineStr">
        <is>
          <t>2. עץ מוצר (BOM)</t>
        </is>
      </c>
      <c r="S155" s="4" t="inlineStr">
        <is>
          <t>A11</t>
        </is>
      </c>
      <c r="T155" s="7">
        <f>HYPERLINK("#'"&amp;R155&amp;"'!"&amp;S155,"➜ פתח")</f>
        <v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inlineStr">
        <is>
          <t>FM</t>
        </is>
      </c>
      <c r="O156" s="6" t="inlineStr">
        <is>
          <t>CSAP_MAT_BOM_MAINTAIN</t>
        </is>
      </c>
      <c r="P156" s="4" t="inlineStr">
        <is>
          <t>תחזוקת עץ מוצר (ECC)</t>
        </is>
      </c>
      <c r="Q156" s="4" t="inlineStr"/>
      <c r="R156" s="4" t="inlineStr">
        <is>
          <t>2. עץ מוצר (BOM)</t>
        </is>
      </c>
      <c r="S156" s="4" t="inlineStr">
        <is>
          <t>A12</t>
        </is>
      </c>
      <c r="T156" s="7">
        <f>HYPERLINK("#'"&amp;R156&amp;"'!"&amp;S156,"➜ פתח")</f>
        <v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inlineStr">
        <is>
          <t>IDoc</t>
        </is>
      </c>
      <c r="O157" s="6" t="inlineStr">
        <is>
          <t>BOMMAT</t>
        </is>
      </c>
      <c r="P157" s="4" t="inlineStr">
        <is>
          <t>הפצת עץ מוצר חומר בין מערכות</t>
        </is>
      </c>
      <c r="Q157" s="4" t="inlineStr"/>
      <c r="R157" s="4" t="inlineStr">
        <is>
          <t>2. עץ מוצר (BOM)</t>
        </is>
      </c>
      <c r="S157" s="4" t="inlineStr">
        <is>
          <t>A13</t>
        </is>
      </c>
      <c r="T157" s="7">
        <f>HYPERLINK("#'"&amp;R157&amp;"'!"&amp;S157,"➜ פתח")</f>
        <v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inlineStr">
        <is>
          <t>RFC</t>
        </is>
      </c>
      <c r="O158" s="6" t="inlineStr">
        <is>
          <t>CS_BOM_EXPL_MAT_RC1</t>
        </is>
      </c>
      <c r="P158" s="4" t="inlineStr">
        <is>
          <t>פיצוץ עץ מוצר לחומר</t>
        </is>
      </c>
      <c r="Q158" s="4" t="inlineStr"/>
      <c r="R158" s="4" t="inlineStr">
        <is>
          <t>2. עץ מוצר (BOM)</t>
        </is>
      </c>
      <c r="S158" s="4" t="inlineStr">
        <is>
          <t>A14</t>
        </is>
      </c>
      <c r="T158" s="7">
        <f>HYPERLINK("#'"&amp;R158&amp;"'!"&amp;S158,"➜ פתח")</f>
        <v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inlineStr">
        <is>
          <t>תוכנית</t>
        </is>
      </c>
      <c r="O159" s="6" t="inlineStr">
        <is>
          <t>RCSBOM00</t>
        </is>
      </c>
      <c r="P159" s="4" t="inlineStr">
        <is>
          <t>עיבוד/בדיקת עצי מוצר המוני</t>
        </is>
      </c>
      <c r="Q159" s="4" t="inlineStr"/>
      <c r="R159" s="4" t="inlineStr">
        <is>
          <t>2. עץ מוצר (BOM)</t>
        </is>
      </c>
      <c r="S159" s="4" t="inlineStr">
        <is>
          <t>A17</t>
        </is>
      </c>
      <c r="T159" s="7">
        <f>HYPERLINK("#'"&amp;R159&amp;"'!"&amp;S159,"➜ פתח")</f>
        <v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inlineStr">
        <is>
          <t>תוכנית</t>
        </is>
      </c>
      <c r="O160" s="6" t="inlineStr">
        <is>
          <t>RCSBI010</t>
        </is>
      </c>
      <c r="P160" s="4" t="inlineStr">
        <is>
          <t>פיצוץ עץ מוצר רב-רמתי</t>
        </is>
      </c>
      <c r="Q160" s="4" t="inlineStr"/>
      <c r="R160" s="4" t="inlineStr">
        <is>
          <t>2. עץ מוצר (BOM)</t>
        </is>
      </c>
      <c r="S160" s="4" t="inlineStr">
        <is>
          <t>A18</t>
        </is>
      </c>
      <c r="T160" s="7">
        <f>HYPERLINK("#'"&amp;R160&amp;"'!"&amp;S160,"➜ פתח")</f>
        <v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inlineStr">
        <is>
          <t>תוכנית</t>
        </is>
      </c>
      <c r="O161" s="6" t="inlineStr">
        <is>
          <t>CS_BT</t>
        </is>
      </c>
      <c r="P161" s="4" t="inlineStr">
        <is>
          <t>דוח Where-Used לרכיב</t>
        </is>
      </c>
      <c r="Q161" s="4" t="inlineStr"/>
      <c r="R161" s="4" t="inlineStr">
        <is>
          <t>2. עץ מוצר (BOM)</t>
        </is>
      </c>
      <c r="S161" s="4" t="inlineStr">
        <is>
          <t>A19</t>
        </is>
      </c>
      <c r="T161" s="7">
        <f>HYPERLINK("#'"&amp;R161&amp;"'!"&amp;S161,"➜ פתח")</f>
        <v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inlineStr">
        <is>
          <t>טבלה</t>
        </is>
      </c>
      <c r="O162" s="6" t="inlineStr">
        <is>
          <t>MAST</t>
        </is>
      </c>
      <c r="P162" s="4" t="inlineStr">
        <is>
          <t>קישור חומר לעץ מוצר</t>
        </is>
      </c>
      <c r="Q162" s="4" t="inlineStr">
        <is>
          <t>Material to BOM link</t>
        </is>
      </c>
      <c r="R162" s="4" t="inlineStr">
        <is>
          <t>2. עץ מוצר (BOM)</t>
        </is>
      </c>
      <c r="S162" s="4" t="inlineStr">
        <is>
          <t>A21</t>
        </is>
      </c>
      <c r="T162" s="7">
        <f>HYPERLINK("#'"&amp;R162&amp;"'!"&amp;S162,"➜ פתח")</f>
        <v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inlineStr">
        <is>
          <t>שדה</t>
        </is>
      </c>
      <c r="O163" s="6" t="inlineStr">
        <is>
          <t>MATNR</t>
        </is>
      </c>
      <c r="P163" s="4" t="inlineStr">
        <is>
          <t>מספר חומר</t>
        </is>
      </c>
      <c r="Q163" s="4" t="inlineStr">
        <is>
          <t>Material number</t>
        </is>
      </c>
      <c r="R163" s="4" t="inlineStr">
        <is>
          <t>2. עץ מוצר (BOM)</t>
        </is>
      </c>
      <c r="S163" s="4" t="inlineStr">
        <is>
          <t>C22</t>
        </is>
      </c>
      <c r="T163" s="7">
        <f>HYPERLINK("#'"&amp;R163&amp;"'!"&amp;S163,"➜ פתח")</f>
        <v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inlineStr">
        <is>
          <t>שדה</t>
        </is>
      </c>
      <c r="O164" s="6" t="inlineStr">
        <is>
          <t>WERKS</t>
        </is>
      </c>
      <c r="P164" s="4" t="inlineStr">
        <is>
          <t>מפעל</t>
        </is>
      </c>
      <c r="Q164" s="4" t="inlineStr">
        <is>
          <t>Plant</t>
        </is>
      </c>
      <c r="R164" s="4" t="inlineStr">
        <is>
          <t>2. עץ מוצר (BOM)</t>
        </is>
      </c>
      <c r="S164" s="4" t="inlineStr">
        <is>
          <t>C23</t>
        </is>
      </c>
      <c r="T164" s="7">
        <f>HYPERLINK("#'"&amp;R164&amp;"'!"&amp;S164,"➜ פתח")</f>
        <v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inlineStr">
        <is>
          <t>שדה</t>
        </is>
      </c>
      <c r="O165" s="6" t="inlineStr">
        <is>
          <t>STLAN</t>
        </is>
      </c>
      <c r="P165" s="4" t="inlineStr">
        <is>
          <t>שימוש עץ מוצר</t>
        </is>
      </c>
      <c r="Q165" s="4" t="inlineStr">
        <is>
          <t>BOM usage (1=Production)</t>
        </is>
      </c>
      <c r="R165" s="4" t="inlineStr">
        <is>
          <t>2. עץ מוצר (BOM)</t>
        </is>
      </c>
      <c r="S165" s="4" t="inlineStr">
        <is>
          <t>C24</t>
        </is>
      </c>
      <c r="T165" s="7">
        <f>HYPERLINK("#'"&amp;R165&amp;"'!"&amp;S165,"➜ פתח")</f>
        <v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inlineStr">
        <is>
          <t>שדה</t>
        </is>
      </c>
      <c r="O166" s="6" t="inlineStr">
        <is>
          <t>STLNR</t>
        </is>
      </c>
      <c r="P166" s="4" t="inlineStr">
        <is>
          <t>מספר עץ מוצר</t>
        </is>
      </c>
      <c r="Q166" s="4" t="inlineStr">
        <is>
          <t>Bill of material number</t>
        </is>
      </c>
      <c r="R166" s="4" t="inlineStr">
        <is>
          <t>2. עץ מוצר (BOM)</t>
        </is>
      </c>
      <c r="S166" s="4" t="inlineStr">
        <is>
          <t>C25</t>
        </is>
      </c>
      <c r="T166" s="7">
        <f>HYPERLINK("#'"&amp;R166&amp;"'!"&amp;S166,"➜ פתח")</f>
        <v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inlineStr">
        <is>
          <t>שדה</t>
        </is>
      </c>
      <c r="O167" s="6" t="inlineStr">
        <is>
          <t>STLAL</t>
        </is>
      </c>
      <c r="P167" s="4" t="inlineStr">
        <is>
          <t>חלופת עץ מוצר</t>
        </is>
      </c>
      <c r="Q167" s="4" t="inlineStr">
        <is>
          <t>Alternative BOM</t>
        </is>
      </c>
      <c r="R167" s="4" t="inlineStr">
        <is>
          <t>2. עץ מוצר (BOM)</t>
        </is>
      </c>
      <c r="S167" s="4" t="inlineStr">
        <is>
          <t>C26</t>
        </is>
      </c>
      <c r="T167" s="7">
        <f>HYPERLINK("#'"&amp;R167&amp;"'!"&amp;S167,"➜ פתח")</f>
        <v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inlineStr">
        <is>
          <t>טרנזקציה</t>
        </is>
      </c>
      <c r="O168" s="6" t="inlineStr">
        <is>
          <t>CS01</t>
        </is>
      </c>
      <c r="P168" s="4" t="inlineStr">
        <is>
          <t>קישור חומר לעץ מוצר</t>
        </is>
      </c>
      <c r="Q168" s="4" t="inlineStr">
        <is>
          <t>Material to BOM link</t>
        </is>
      </c>
      <c r="R168" s="4" t="inlineStr">
        <is>
          <t>2. עץ מוצר (BOM)</t>
        </is>
      </c>
      <c r="S168" s="4" t="inlineStr">
        <is>
          <t>A22</t>
        </is>
      </c>
      <c r="T168" s="7">
        <f>HYPERLINK("#'"&amp;R168&amp;"'!"&amp;S168,"➜ פתח")</f>
        <v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inlineStr">
        <is>
          <t>טרנזקציה</t>
        </is>
      </c>
      <c r="O169" s="6" t="inlineStr">
        <is>
          <t>CS02</t>
        </is>
      </c>
      <c r="P169" s="4" t="inlineStr">
        <is>
          <t>קישור חומר לעץ מוצר</t>
        </is>
      </c>
      <c r="Q169" s="4" t="inlineStr">
        <is>
          <t>Material to BOM link</t>
        </is>
      </c>
      <c r="R169" s="4" t="inlineStr">
        <is>
          <t>2. עץ מוצר (BOM)</t>
        </is>
      </c>
      <c r="S169" s="4" t="inlineStr">
        <is>
          <t>A22</t>
        </is>
      </c>
      <c r="T169" s="7">
        <f>HYPERLINK("#'"&amp;R169&amp;"'!"&amp;S169,"➜ פתח")</f>
        <v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inlineStr">
        <is>
          <t>טרנזקציה</t>
        </is>
      </c>
      <c r="O170" s="6" t="inlineStr">
        <is>
          <t>CS03</t>
        </is>
      </c>
      <c r="P170" s="4" t="inlineStr">
        <is>
          <t>קישור חומר לעץ מוצר</t>
        </is>
      </c>
      <c r="Q170" s="4" t="inlineStr">
        <is>
          <t>Material to BOM link</t>
        </is>
      </c>
      <c r="R170" s="4" t="inlineStr">
        <is>
          <t>2. עץ מוצר (BOM)</t>
        </is>
      </c>
      <c r="S170" s="4" t="inlineStr">
        <is>
          <t>A22</t>
        </is>
      </c>
      <c r="T170" s="7">
        <f>HYPERLINK("#'"&amp;R170&amp;"'!"&amp;S170,"➜ פתח")</f>
        <v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inlineStr">
        <is>
          <t>טבלה</t>
        </is>
      </c>
      <c r="O171" s="6" t="inlineStr">
        <is>
          <t>STKO</t>
        </is>
      </c>
      <c r="P171" s="4" t="inlineStr">
        <is>
          <t>כותרת עץ מוצר</t>
        </is>
      </c>
      <c r="Q171" s="4" t="inlineStr">
        <is>
          <t>BOM header</t>
        </is>
      </c>
      <c r="R171" s="4" t="inlineStr">
        <is>
          <t>2. עץ מוצר (BOM)</t>
        </is>
      </c>
      <c r="S171" s="4" t="inlineStr">
        <is>
          <t>A28</t>
        </is>
      </c>
      <c r="T171" s="7">
        <f>HYPERLINK("#'"&amp;R171&amp;"'!"&amp;S171,"➜ פתח")</f>
        <v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inlineStr">
        <is>
          <t>שדה</t>
        </is>
      </c>
      <c r="O172" s="6" t="inlineStr">
        <is>
          <t>STLTY</t>
        </is>
      </c>
      <c r="P172" s="4" t="inlineStr">
        <is>
          <t>קטגוריית עץ מוצר</t>
        </is>
      </c>
      <c r="Q172" s="4" t="inlineStr">
        <is>
          <t>BOM category</t>
        </is>
      </c>
      <c r="R172" s="4" t="inlineStr">
        <is>
          <t>2. עץ מוצר (BOM)</t>
        </is>
      </c>
      <c r="S172" s="4" t="inlineStr">
        <is>
          <t>C29</t>
        </is>
      </c>
      <c r="T172" s="7">
        <f>HYPERLINK("#'"&amp;R172&amp;"'!"&amp;S172,"➜ פתח")</f>
        <v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inlineStr">
        <is>
          <t>שדה</t>
        </is>
      </c>
      <c r="O173" s="6" t="inlineStr">
        <is>
          <t>STLNR</t>
        </is>
      </c>
      <c r="P173" s="4" t="inlineStr">
        <is>
          <t>מספר עץ מוצר</t>
        </is>
      </c>
      <c r="Q173" s="4" t="inlineStr">
        <is>
          <t>Bill of material number</t>
        </is>
      </c>
      <c r="R173" s="4" t="inlineStr">
        <is>
          <t>2. עץ מוצר (BOM)</t>
        </is>
      </c>
      <c r="S173" s="4" t="inlineStr">
        <is>
          <t>C30</t>
        </is>
      </c>
      <c r="T173" s="7">
        <f>HYPERLINK("#'"&amp;R173&amp;"'!"&amp;S173,"➜ פתח")</f>
        <v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inlineStr">
        <is>
          <t>שדה</t>
        </is>
      </c>
      <c r="O174" s="6" t="inlineStr">
        <is>
          <t>STLAL</t>
        </is>
      </c>
      <c r="P174" s="4" t="inlineStr">
        <is>
          <t>חלופת עץ מוצר</t>
        </is>
      </c>
      <c r="Q174" s="4" t="inlineStr">
        <is>
          <t>Alternative BOM</t>
        </is>
      </c>
      <c r="R174" s="4" t="inlineStr">
        <is>
          <t>2. עץ מוצר (BOM)</t>
        </is>
      </c>
      <c r="S174" s="4" t="inlineStr">
        <is>
          <t>C31</t>
        </is>
      </c>
      <c r="T174" s="7">
        <f>HYPERLINK("#'"&amp;R174&amp;"'!"&amp;S174,"➜ פתח")</f>
        <v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inlineStr">
        <is>
          <t>שדה</t>
        </is>
      </c>
      <c r="O175" s="6" t="inlineStr">
        <is>
          <t>BMENG</t>
        </is>
      </c>
      <c r="P175" s="4" t="inlineStr">
        <is>
          <t>כמות בסיס</t>
        </is>
      </c>
      <c r="Q175" s="4" t="inlineStr">
        <is>
          <t>Base quantity</t>
        </is>
      </c>
      <c r="R175" s="4" t="inlineStr">
        <is>
          <t>2. עץ מוצר (BOM)</t>
        </is>
      </c>
      <c r="S175" s="4" t="inlineStr">
        <is>
          <t>C32</t>
        </is>
      </c>
      <c r="T175" s="7">
        <f>HYPERLINK("#'"&amp;R175&amp;"'!"&amp;S175,"➜ פתח")</f>
        <v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inlineStr">
        <is>
          <t>שדה</t>
        </is>
      </c>
      <c r="O176" s="6" t="inlineStr">
        <is>
          <t>BMEIN</t>
        </is>
      </c>
      <c r="P176" s="4" t="inlineStr">
        <is>
          <t>יחידת בסיס</t>
        </is>
      </c>
      <c r="Q176" s="4" t="inlineStr">
        <is>
          <t>Base unit of measure</t>
        </is>
      </c>
      <c r="R176" s="4" t="inlineStr">
        <is>
          <t>2. עץ מוצר (BOM)</t>
        </is>
      </c>
      <c r="S176" s="4" t="inlineStr">
        <is>
          <t>C33</t>
        </is>
      </c>
      <c r="T176" s="7">
        <f>HYPERLINK("#'"&amp;R176&amp;"'!"&amp;S176,"➜ פתח")</f>
        <v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inlineStr">
        <is>
          <t>שדה</t>
        </is>
      </c>
      <c r="O177" s="6" t="inlineStr">
        <is>
          <t>STLST</t>
        </is>
      </c>
      <c r="P177" s="4" t="inlineStr">
        <is>
          <t>סטטוס עץ מוצר</t>
        </is>
      </c>
      <c r="Q177" s="4" t="inlineStr">
        <is>
          <t>BOM status</t>
        </is>
      </c>
      <c r="R177" s="4" t="inlineStr">
        <is>
          <t>2. עץ מוצר (BOM)</t>
        </is>
      </c>
      <c r="S177" s="4" t="inlineStr">
        <is>
          <t>C34</t>
        </is>
      </c>
      <c r="T177" s="7">
        <f>HYPERLINK("#'"&amp;R177&amp;"'!"&amp;S177,"➜ פתח")</f>
        <v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inlineStr">
        <is>
          <t>טרנזקציה</t>
        </is>
      </c>
      <c r="O178" s="6" t="inlineStr">
        <is>
          <t>CS01</t>
        </is>
      </c>
      <c r="P178" s="4" t="inlineStr">
        <is>
          <t>כותרת עץ מוצר</t>
        </is>
      </c>
      <c r="Q178" s="4" t="inlineStr">
        <is>
          <t>BOM header</t>
        </is>
      </c>
      <c r="R178" s="4" t="inlineStr">
        <is>
          <t>2. עץ מוצר (BOM)</t>
        </is>
      </c>
      <c r="S178" s="4" t="inlineStr">
        <is>
          <t>A29</t>
        </is>
      </c>
      <c r="T178" s="7">
        <f>HYPERLINK("#'"&amp;R178&amp;"'!"&amp;S178,"➜ פתח")</f>
        <v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inlineStr">
        <is>
          <t>טרנזקציה</t>
        </is>
      </c>
      <c r="O179" s="6" t="inlineStr">
        <is>
          <t>CS02</t>
        </is>
      </c>
      <c r="P179" s="4" t="inlineStr">
        <is>
          <t>כותרת עץ מוצר</t>
        </is>
      </c>
      <c r="Q179" s="4" t="inlineStr">
        <is>
          <t>BOM header</t>
        </is>
      </c>
      <c r="R179" s="4" t="inlineStr">
        <is>
          <t>2. עץ מוצר (BOM)</t>
        </is>
      </c>
      <c r="S179" s="4" t="inlineStr">
        <is>
          <t>A29</t>
        </is>
      </c>
      <c r="T179" s="7">
        <f>HYPERLINK("#'"&amp;R179&amp;"'!"&amp;S179,"➜ פתח")</f>
        <v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inlineStr">
        <is>
          <t>טרנזקציה</t>
        </is>
      </c>
      <c r="O180" s="6" t="inlineStr">
        <is>
          <t>CS03</t>
        </is>
      </c>
      <c r="P180" s="4" t="inlineStr">
        <is>
          <t>כותרת עץ מוצר</t>
        </is>
      </c>
      <c r="Q180" s="4" t="inlineStr">
        <is>
          <t>BOM header</t>
        </is>
      </c>
      <c r="R180" s="4" t="inlineStr">
        <is>
          <t>2. עץ מוצר (BOM)</t>
        </is>
      </c>
      <c r="S180" s="4" t="inlineStr">
        <is>
          <t>A29</t>
        </is>
      </c>
      <c r="T180" s="7">
        <f>HYPERLINK("#'"&amp;R180&amp;"'!"&amp;S180,"➜ פתח")</f>
        <v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inlineStr">
        <is>
          <t>טבלה</t>
        </is>
      </c>
      <c r="O181" s="6" t="inlineStr">
        <is>
          <t>STPO</t>
        </is>
      </c>
      <c r="P181" s="4" t="inlineStr">
        <is>
          <t>פריטי עץ מוצר (רכיבים)</t>
        </is>
      </c>
      <c r="Q181" s="4" t="inlineStr">
        <is>
          <t>BOM item</t>
        </is>
      </c>
      <c r="R181" s="4" t="inlineStr">
        <is>
          <t>2. עץ מוצר (BOM)</t>
        </is>
      </c>
      <c r="S181" s="4" t="inlineStr">
        <is>
          <t>A36</t>
        </is>
      </c>
      <c r="T181" s="7">
        <f>HYPERLINK("#'"&amp;R181&amp;"'!"&amp;S181,"➜ פתח")</f>
        <v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inlineStr">
        <is>
          <t>שדה</t>
        </is>
      </c>
      <c r="O182" s="6" t="inlineStr">
        <is>
          <t>STLTY</t>
        </is>
      </c>
      <c r="P182" s="4" t="inlineStr">
        <is>
          <t>קטגוריית עץ מוצר</t>
        </is>
      </c>
      <c r="Q182" s="4" t="inlineStr">
        <is>
          <t>BOM category</t>
        </is>
      </c>
      <c r="R182" s="4" t="inlineStr">
        <is>
          <t>2. עץ מוצר (BOM)</t>
        </is>
      </c>
      <c r="S182" s="4" t="inlineStr">
        <is>
          <t>C37</t>
        </is>
      </c>
      <c r="T182" s="7">
        <f>HYPERLINK("#'"&amp;R182&amp;"'!"&amp;S182,"➜ פתח")</f>
        <v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inlineStr">
        <is>
          <t>שדה</t>
        </is>
      </c>
      <c r="O183" s="6" t="inlineStr">
        <is>
          <t>STLNR</t>
        </is>
      </c>
      <c r="P183" s="4" t="inlineStr">
        <is>
          <t>מספר עץ מוצר</t>
        </is>
      </c>
      <c r="Q183" s="4" t="inlineStr">
        <is>
          <t>Bill of material number</t>
        </is>
      </c>
      <c r="R183" s="4" t="inlineStr">
        <is>
          <t>2. עץ מוצר (BOM)</t>
        </is>
      </c>
      <c r="S183" s="4" t="inlineStr">
        <is>
          <t>C38</t>
        </is>
      </c>
      <c r="T183" s="7">
        <f>HYPERLINK("#'"&amp;R183&amp;"'!"&amp;S183,"➜ פתח")</f>
        <v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inlineStr">
        <is>
          <t>שדה</t>
        </is>
      </c>
      <c r="O184" s="6" t="inlineStr">
        <is>
          <t>STLKN</t>
        </is>
      </c>
      <c r="P184" s="4" t="inlineStr">
        <is>
          <t>מספר צומת פריט</t>
        </is>
      </c>
      <c r="Q184" s="4" t="inlineStr">
        <is>
          <t>BOM item node number</t>
        </is>
      </c>
      <c r="R184" s="4" t="inlineStr">
        <is>
          <t>2. עץ מוצר (BOM)</t>
        </is>
      </c>
      <c r="S184" s="4" t="inlineStr">
        <is>
          <t>C39</t>
        </is>
      </c>
      <c r="T184" s="7">
        <f>HYPERLINK("#'"&amp;R184&amp;"'!"&amp;S184,"➜ פתח")</f>
        <v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inlineStr">
        <is>
          <t>שדה</t>
        </is>
      </c>
      <c r="O185" s="6" t="inlineStr">
        <is>
          <t>POSNR</t>
        </is>
      </c>
      <c r="P185" s="4" t="inlineStr">
        <is>
          <t>מספר פריט</t>
        </is>
      </c>
      <c r="Q185" s="4" t="inlineStr">
        <is>
          <t>BOM item number</t>
        </is>
      </c>
      <c r="R185" s="4" t="inlineStr">
        <is>
          <t>2. עץ מוצר (BOM)</t>
        </is>
      </c>
      <c r="S185" s="4" t="inlineStr">
        <is>
          <t>C40</t>
        </is>
      </c>
      <c r="T185" s="7">
        <f>HYPERLINK("#'"&amp;R185&amp;"'!"&amp;S185,"➜ פתח")</f>
        <v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inlineStr">
        <is>
          <t>שדה</t>
        </is>
      </c>
      <c r="O186" s="6" t="inlineStr">
        <is>
          <t>IDNRK</t>
        </is>
      </c>
      <c r="P186" s="4" t="inlineStr">
        <is>
          <t>רכיב / חומר</t>
        </is>
      </c>
      <c r="Q186" s="4" t="inlineStr">
        <is>
          <t>Component (BOM item material)</t>
        </is>
      </c>
      <c r="R186" s="4" t="inlineStr">
        <is>
          <t>2. עץ מוצר (BOM)</t>
        </is>
      </c>
      <c r="S186" s="4" t="inlineStr">
        <is>
          <t>C41</t>
        </is>
      </c>
      <c r="T186" s="7">
        <f>HYPERLINK("#'"&amp;R186&amp;"'!"&amp;S186,"➜ פתח")</f>
        <v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inlineStr">
        <is>
          <t>שדה</t>
        </is>
      </c>
      <c r="O187" s="6" t="inlineStr">
        <is>
          <t>MENGE</t>
        </is>
      </c>
      <c r="P187" s="4" t="inlineStr">
        <is>
          <t>כמות רכיב</t>
        </is>
      </c>
      <c r="Q187" s="4" t="inlineStr">
        <is>
          <t>Component quantity</t>
        </is>
      </c>
      <c r="R187" s="4" t="inlineStr">
        <is>
          <t>2. עץ מוצר (BOM)</t>
        </is>
      </c>
      <c r="S187" s="4" t="inlineStr">
        <is>
          <t>C42</t>
        </is>
      </c>
      <c r="T187" s="7">
        <f>HYPERLINK("#'"&amp;R187&amp;"'!"&amp;S187,"➜ פתח")</f>
        <v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inlineStr">
        <is>
          <t>שדה</t>
        </is>
      </c>
      <c r="O188" s="6" t="inlineStr">
        <is>
          <t>MEINS</t>
        </is>
      </c>
      <c r="P188" s="4" t="inlineStr">
        <is>
          <t>יחידת רכיב</t>
        </is>
      </c>
      <c r="Q188" s="4" t="inlineStr">
        <is>
          <t>Component unit</t>
        </is>
      </c>
      <c r="R188" s="4" t="inlineStr">
        <is>
          <t>2. עץ מוצר (BOM)</t>
        </is>
      </c>
      <c r="S188" s="4" t="inlineStr">
        <is>
          <t>C43</t>
        </is>
      </c>
      <c r="T188" s="7">
        <f>HYPERLINK("#'"&amp;R188&amp;"'!"&amp;S188,"➜ פתח")</f>
        <v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inlineStr">
        <is>
          <t>שדה</t>
        </is>
      </c>
      <c r="O189" s="6" t="inlineStr">
        <is>
          <t>AUSCH</t>
        </is>
      </c>
      <c r="P189" s="4" t="inlineStr">
        <is>
          <t>פחת רכיב (%)</t>
        </is>
      </c>
      <c r="Q189" s="4" t="inlineStr">
        <is>
          <t>Component scrap (%)</t>
        </is>
      </c>
      <c r="R189" s="4" t="inlineStr">
        <is>
          <t>2. עץ מוצר (BOM)</t>
        </is>
      </c>
      <c r="S189" s="4" t="inlineStr">
        <is>
          <t>C44</t>
        </is>
      </c>
      <c r="T189" s="7">
        <f>HYPERLINK("#'"&amp;R189&amp;"'!"&amp;S189,"➜ פתח")</f>
        <v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inlineStr">
        <is>
          <t>שדה</t>
        </is>
      </c>
      <c r="O190" s="6" t="inlineStr">
        <is>
          <t>POSTP</t>
        </is>
      </c>
      <c r="P190" s="4" t="inlineStr">
        <is>
          <t>סוג פריט</t>
        </is>
      </c>
      <c r="Q190" s="4" t="inlineStr">
        <is>
          <t>Item category</t>
        </is>
      </c>
      <c r="R190" s="4" t="inlineStr">
        <is>
          <t>2. עץ מוצר (BOM)</t>
        </is>
      </c>
      <c r="S190" s="4" t="inlineStr">
        <is>
          <t>C45</t>
        </is>
      </c>
      <c r="T190" s="7">
        <f>HYPERLINK("#'"&amp;R190&amp;"'!"&amp;S190,"➜ פתח")</f>
        <v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inlineStr">
        <is>
          <t>טרנזקציה</t>
        </is>
      </c>
      <c r="O191" s="6" t="inlineStr">
        <is>
          <t>CS02</t>
        </is>
      </c>
      <c r="P191" s="4" t="inlineStr">
        <is>
          <t>פריטי עץ מוצר (רכיבים)</t>
        </is>
      </c>
      <c r="Q191" s="4" t="inlineStr">
        <is>
          <t>BOM item</t>
        </is>
      </c>
      <c r="R191" s="4" t="inlineStr">
        <is>
          <t>2. עץ מוצר (BOM)</t>
        </is>
      </c>
      <c r="S191" s="4" t="inlineStr">
        <is>
          <t>A37</t>
        </is>
      </c>
      <c r="T191" s="7">
        <f>HYPERLINK("#'"&amp;R191&amp;"'!"&amp;S191,"➜ פתח")</f>
        <v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inlineStr">
        <is>
          <t>טרנזקציה</t>
        </is>
      </c>
      <c r="O192" s="6" t="inlineStr">
        <is>
          <t>CS11</t>
        </is>
      </c>
      <c r="P192" s="4" t="inlineStr">
        <is>
          <t>פריטי עץ מוצר (רכיבים)</t>
        </is>
      </c>
      <c r="Q192" s="4" t="inlineStr">
        <is>
          <t>BOM item</t>
        </is>
      </c>
      <c r="R192" s="4" t="inlineStr">
        <is>
          <t>2. עץ מוצר (BOM)</t>
        </is>
      </c>
      <c r="S192" s="4" t="inlineStr">
        <is>
          <t>A37</t>
        </is>
      </c>
      <c r="T192" s="7">
        <f>HYPERLINK("#'"&amp;R192&amp;"'!"&amp;S192,"➜ פתח")</f>
        <v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inlineStr">
        <is>
          <t>טרנזקציה</t>
        </is>
      </c>
      <c r="O193" s="6" t="inlineStr">
        <is>
          <t>CS15</t>
        </is>
      </c>
      <c r="P193" s="4" t="inlineStr">
        <is>
          <t>פריטי עץ מוצר (רכיבים)</t>
        </is>
      </c>
      <c r="Q193" s="4" t="inlineStr">
        <is>
          <t>BOM item</t>
        </is>
      </c>
      <c r="R193" s="4" t="inlineStr">
        <is>
          <t>2. עץ מוצר (BOM)</t>
        </is>
      </c>
      <c r="S193" s="4" t="inlineStr">
        <is>
          <t>A37</t>
        </is>
      </c>
      <c r="T193" s="7">
        <f>HYPERLINK("#'"&amp;R193&amp;"'!"&amp;S193,"➜ פתח")</f>
        <v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inlineStr">
        <is>
          <t>טבלה</t>
        </is>
      </c>
      <c r="O194" s="6" t="inlineStr">
        <is>
          <t>STAS</t>
        </is>
      </c>
      <c r="P194" s="4" t="inlineStr">
        <is>
          <t>בחירת פריטי עץ מוצר</t>
        </is>
      </c>
      <c r="Q194" s="4" t="inlineStr">
        <is>
          <t>BOM item selection</t>
        </is>
      </c>
      <c r="R194" s="4" t="inlineStr">
        <is>
          <t>2. עץ מוצר (BOM)</t>
        </is>
      </c>
      <c r="S194" s="4" t="inlineStr">
        <is>
          <t>A47</t>
        </is>
      </c>
      <c r="T194" s="7">
        <f>HYPERLINK("#'"&amp;R194&amp;"'!"&amp;S194,"➜ פתח")</f>
        <v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inlineStr">
        <is>
          <t>שדה</t>
        </is>
      </c>
      <c r="O195" s="6" t="inlineStr">
        <is>
          <t>STLTY</t>
        </is>
      </c>
      <c r="P195" s="4" t="inlineStr">
        <is>
          <t>קטגוריית עץ מוצר</t>
        </is>
      </c>
      <c r="Q195" s="4" t="inlineStr">
        <is>
          <t>BOM category</t>
        </is>
      </c>
      <c r="R195" s="4" t="inlineStr">
        <is>
          <t>2. עץ מוצר (BOM)</t>
        </is>
      </c>
      <c r="S195" s="4" t="inlineStr">
        <is>
          <t>C48</t>
        </is>
      </c>
      <c r="T195" s="7">
        <f>HYPERLINK("#'"&amp;R195&amp;"'!"&amp;S195,"➜ פתח")</f>
        <v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inlineStr">
        <is>
          <t>שדה</t>
        </is>
      </c>
      <c r="O196" s="6" t="inlineStr">
        <is>
          <t>STLNR</t>
        </is>
      </c>
      <c r="P196" s="4" t="inlineStr">
        <is>
          <t>מספר עץ מוצר</t>
        </is>
      </c>
      <c r="Q196" s="4" t="inlineStr">
        <is>
          <t>Bill of material number</t>
        </is>
      </c>
      <c r="R196" s="4" t="inlineStr">
        <is>
          <t>2. עץ מוצר (BOM)</t>
        </is>
      </c>
      <c r="S196" s="4" t="inlineStr">
        <is>
          <t>C49</t>
        </is>
      </c>
      <c r="T196" s="7">
        <f>HYPERLINK("#'"&amp;R196&amp;"'!"&amp;S196,"➜ פתח")</f>
        <v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inlineStr">
        <is>
          <t>שדה</t>
        </is>
      </c>
      <c r="O197" s="6" t="inlineStr">
        <is>
          <t>STLAL</t>
        </is>
      </c>
      <c r="P197" s="4" t="inlineStr">
        <is>
          <t>חלופה</t>
        </is>
      </c>
      <c r="Q197" s="4" t="inlineStr">
        <is>
          <t>Alternative BOM</t>
        </is>
      </c>
      <c r="R197" s="4" t="inlineStr">
        <is>
          <t>2. עץ מוצר (BOM)</t>
        </is>
      </c>
      <c r="S197" s="4" t="inlineStr">
        <is>
          <t>C50</t>
        </is>
      </c>
      <c r="T197" s="7">
        <f>HYPERLINK("#'"&amp;R197&amp;"'!"&amp;S197,"➜ פתח")</f>
        <v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inlineStr">
        <is>
          <t>שדה</t>
        </is>
      </c>
      <c r="O198" s="6" t="inlineStr">
        <is>
          <t>STLKN</t>
        </is>
      </c>
      <c r="P198" s="4" t="inlineStr">
        <is>
          <t>מספר צומת</t>
        </is>
      </c>
      <c r="Q198" s="4" t="inlineStr">
        <is>
          <t>Item node number</t>
        </is>
      </c>
      <c r="R198" s="4" t="inlineStr">
        <is>
          <t>2. עץ מוצר (BOM)</t>
        </is>
      </c>
      <c r="S198" s="4" t="inlineStr">
        <is>
          <t>C51</t>
        </is>
      </c>
      <c r="T198" s="7">
        <f>HYPERLINK("#'"&amp;R198&amp;"'!"&amp;S198,"➜ פתח")</f>
        <v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inlineStr">
        <is>
          <t>שדה</t>
        </is>
      </c>
      <c r="O199" s="6" t="inlineStr">
        <is>
          <t>STASZ</t>
        </is>
      </c>
      <c r="P199" s="4" t="inlineStr">
        <is>
          <t>מונה פנימי</t>
        </is>
      </c>
      <c r="Q199" s="4" t="inlineStr">
        <is>
          <t>Internal counter</t>
        </is>
      </c>
      <c r="R199" s="4" t="inlineStr">
        <is>
          <t>2. עץ מוצר (BOM)</t>
        </is>
      </c>
      <c r="S199" s="4" t="inlineStr">
        <is>
          <t>C52</t>
        </is>
      </c>
      <c r="T199" s="7">
        <f>HYPERLINK("#'"&amp;R199&amp;"'!"&amp;S199,"➜ פתח")</f>
        <v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inlineStr">
        <is>
          <t>טרנזקציה</t>
        </is>
      </c>
      <c r="O200" s="6" t="inlineStr">
        <is>
          <t>CS02 (CC)</t>
        </is>
      </c>
      <c r="P200" s="4" t="inlineStr">
        <is>
          <t>בחירת פריטי עץ מוצר</t>
        </is>
      </c>
      <c r="Q200" s="4" t="inlineStr">
        <is>
          <t>BOM item selection</t>
        </is>
      </c>
      <c r="R200" s="4" t="inlineStr">
        <is>
          <t>2. עץ מוצר (BOM)</t>
        </is>
      </c>
      <c r="S200" s="4" t="inlineStr">
        <is>
          <t>A48</t>
        </is>
      </c>
      <c r="T200" s="7">
        <f>HYPERLINK("#'"&amp;R200&amp;"'!"&amp;S200,"➜ פתח")</f>
        <v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inlineStr">
        <is>
          <t>טבלה</t>
        </is>
      </c>
      <c r="O201" s="6" t="inlineStr">
        <is>
          <t>STZU</t>
        </is>
      </c>
      <c r="P201" s="4" t="inlineStr">
        <is>
          <t>טבלת היסטוריה/קישור לעץ מוצר</t>
        </is>
      </c>
      <c r="Q201" s="4" t="inlineStr">
        <is>
          <t>BOM history / link table</t>
        </is>
      </c>
      <c r="R201" s="4" t="inlineStr">
        <is>
          <t>2. עץ מוצר (BOM)</t>
        </is>
      </c>
      <c r="S201" s="4" t="inlineStr">
        <is>
          <t>A54</t>
        </is>
      </c>
      <c r="T201" s="7">
        <f>HYPERLINK("#'"&amp;R201&amp;"'!"&amp;S201,"➜ פתח")</f>
        <v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inlineStr">
        <is>
          <t>שדה</t>
        </is>
      </c>
      <c r="O202" s="6" t="inlineStr">
        <is>
          <t>STLTY</t>
        </is>
      </c>
      <c r="P202" s="4" t="inlineStr">
        <is>
          <t>קטגוריית עץ מוצר</t>
        </is>
      </c>
      <c r="Q202" s="4" t="inlineStr">
        <is>
          <t>BOM category</t>
        </is>
      </c>
      <c r="R202" s="4" t="inlineStr">
        <is>
          <t>2. עץ מוצר (BOM)</t>
        </is>
      </c>
      <c r="S202" s="4" t="inlineStr">
        <is>
          <t>C55</t>
        </is>
      </c>
      <c r="T202" s="7">
        <f>HYPERLINK("#'"&amp;R202&amp;"'!"&amp;S202,"➜ פתח")</f>
        <v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inlineStr">
        <is>
          <t>שדה</t>
        </is>
      </c>
      <c r="O203" s="6" t="inlineStr">
        <is>
          <t>STLNR</t>
        </is>
      </c>
      <c r="P203" s="4" t="inlineStr">
        <is>
          <t>מספר עץ מוצר</t>
        </is>
      </c>
      <c r="Q203" s="4" t="inlineStr">
        <is>
          <t>Bill of material number</t>
        </is>
      </c>
      <c r="R203" s="4" t="inlineStr">
        <is>
          <t>2. עץ מוצר (BOM)</t>
        </is>
      </c>
      <c r="S203" s="4" t="inlineStr">
        <is>
          <t>C56</t>
        </is>
      </c>
      <c r="T203" s="7">
        <f>HYPERLINK("#'"&amp;R203&amp;"'!"&amp;S203,"➜ פתח")</f>
        <v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inlineStr">
        <is>
          <t>שדה</t>
        </is>
      </c>
      <c r="O204" s="6" t="inlineStr">
        <is>
          <t>STLAN</t>
        </is>
      </c>
      <c r="P204" s="4" t="inlineStr">
        <is>
          <t>שימוש</t>
        </is>
      </c>
      <c r="Q204" s="4" t="inlineStr">
        <is>
          <t>BOM usage</t>
        </is>
      </c>
      <c r="R204" s="4" t="inlineStr">
        <is>
          <t>2. עץ מוצר (BOM)</t>
        </is>
      </c>
      <c r="S204" s="4" t="inlineStr">
        <is>
          <t>C57</t>
        </is>
      </c>
      <c r="T204" s="7">
        <f>HYPERLINK("#'"&amp;R204&amp;"'!"&amp;S204,"➜ פתח")</f>
        <v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inlineStr">
        <is>
          <t>שדה</t>
        </is>
      </c>
      <c r="O205" s="6" t="inlineStr">
        <is>
          <t>AENNR</t>
        </is>
      </c>
      <c r="P205" s="4" t="inlineStr">
        <is>
          <t>מספר שינוי הנדסי</t>
        </is>
      </c>
      <c r="Q205" s="4" t="inlineStr">
        <is>
          <t>Change number (ECM)</t>
        </is>
      </c>
      <c r="R205" s="4" t="inlineStr">
        <is>
          <t>2. עץ מוצר (BOM)</t>
        </is>
      </c>
      <c r="S205" s="4" t="inlineStr">
        <is>
          <t>C58</t>
        </is>
      </c>
      <c r="T205" s="7">
        <f>HYPERLINK("#'"&amp;R205&amp;"'!"&amp;S205,"➜ פתח")</f>
        <v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inlineStr">
        <is>
          <t>טרנזקציה</t>
        </is>
      </c>
      <c r="O206" s="6" t="inlineStr">
        <is>
          <t>CS80 (CC overview)</t>
        </is>
      </c>
      <c r="P206" s="4" t="inlineStr">
        <is>
          <t>טבלת היסטוריה/קישור לעץ מוצר</t>
        </is>
      </c>
      <c r="Q206" s="4" t="inlineStr">
        <is>
          <t>BOM history / link table</t>
        </is>
      </c>
      <c r="R206" s="4" t="inlineStr">
        <is>
          <t>2. עץ מוצר (BOM)</t>
        </is>
      </c>
      <c r="S206" s="4" t="inlineStr">
        <is>
          <t>A55</t>
        </is>
      </c>
      <c r="T206" s="7">
        <f>HYPERLINK("#'"&amp;R206&amp;"'!"&amp;S206,"➜ פתח")</f>
        <v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inlineStr">
        <is>
          <t>טבלה</t>
        </is>
      </c>
      <c r="O207" s="6" t="inlineStr">
        <is>
          <t>STPU</t>
        </is>
      </c>
      <c r="P207" s="4" t="inlineStr">
        <is>
          <t>טקסטים ארוכים לפריט עץ מוצר</t>
        </is>
      </c>
      <c r="Q207" s="4" t="inlineStr">
        <is>
          <t>BOM sub-items / texts</t>
        </is>
      </c>
      <c r="R207" s="4" t="inlineStr">
        <is>
          <t>2. עץ מוצר (BOM)</t>
        </is>
      </c>
      <c r="S207" s="4" t="inlineStr">
        <is>
          <t>A60</t>
        </is>
      </c>
      <c r="T207" s="7">
        <f>HYPERLINK("#'"&amp;R207&amp;"'!"&amp;S207,"➜ פתח")</f>
        <v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inlineStr">
        <is>
          <t>שדה</t>
        </is>
      </c>
      <c r="O208" s="6" t="inlineStr">
        <is>
          <t>STLKN</t>
        </is>
      </c>
      <c r="P208" s="4" t="inlineStr">
        <is>
          <t>מספר צומת פריט</t>
        </is>
      </c>
      <c r="Q208" s="4" t="inlineStr">
        <is>
          <t>Item node number</t>
        </is>
      </c>
      <c r="R208" s="4" t="inlineStr">
        <is>
          <t>2. עץ מוצר (BOM)</t>
        </is>
      </c>
      <c r="S208" s="4" t="inlineStr">
        <is>
          <t>C61</t>
        </is>
      </c>
      <c r="T208" s="7">
        <f>HYPERLINK("#'"&amp;R208&amp;"'!"&amp;S208,"➜ פתח")</f>
        <v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inlineStr">
        <is>
          <t>שדה</t>
        </is>
      </c>
      <c r="O209" s="6" t="inlineStr">
        <is>
          <t>SUMNR</t>
        </is>
      </c>
      <c r="P209" s="4" t="inlineStr">
        <is>
          <t>מספר תת-פריט</t>
        </is>
      </c>
      <c r="Q209" s="4" t="inlineStr">
        <is>
          <t>Sub-item number</t>
        </is>
      </c>
      <c r="R209" s="4" t="inlineStr">
        <is>
          <t>2. עץ מוצר (BOM)</t>
        </is>
      </c>
      <c r="S209" s="4" t="inlineStr">
        <is>
          <t>C62</t>
        </is>
      </c>
      <c r="T209" s="7">
        <f>HYPERLINK("#'"&amp;R209&amp;"'!"&amp;S209,"➜ פתח")</f>
        <v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inlineStr">
        <is>
          <t>שדה</t>
        </is>
      </c>
      <c r="O210" s="6" t="inlineStr">
        <is>
          <t>MENGE</t>
        </is>
      </c>
      <c r="P210" s="4" t="inlineStr">
        <is>
          <t>כמות תת-פריט</t>
        </is>
      </c>
      <c r="Q210" s="4" t="inlineStr">
        <is>
          <t>Sub-item quantity</t>
        </is>
      </c>
      <c r="R210" s="4" t="inlineStr">
        <is>
          <t>2. עץ מוצר (BOM)</t>
        </is>
      </c>
      <c r="S210" s="4" t="inlineStr">
        <is>
          <t>C63</t>
        </is>
      </c>
      <c r="T210" s="7">
        <f>HYPERLINK("#'"&amp;R210&amp;"'!"&amp;S210,"➜ פתח")</f>
        <v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inlineStr">
        <is>
          <t>טרנזקציה</t>
        </is>
      </c>
      <c r="O211" s="6" t="inlineStr">
        <is>
          <t>CS02</t>
        </is>
      </c>
      <c r="P211" s="4" t="inlineStr">
        <is>
          <t>טקסטים ארוכים לפריט עץ מוצר</t>
        </is>
      </c>
      <c r="Q211" s="4" t="inlineStr">
        <is>
          <t>BOM sub-items / texts</t>
        </is>
      </c>
      <c r="R211" s="4" t="inlineStr">
        <is>
          <t>2. עץ מוצר (BOM)</t>
        </is>
      </c>
      <c r="S211" s="4" t="inlineStr">
        <is>
          <t>A61</t>
        </is>
      </c>
      <c r="T211" s="7">
        <f>HYPERLINK("#'"&amp;R211&amp;"'!"&amp;S211,"➜ פתח")</f>
        <v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inlineStr">
        <is>
          <t>טבלה</t>
        </is>
      </c>
      <c r="O212" s="6" t="inlineStr">
        <is>
          <t>KDST</t>
        </is>
      </c>
      <c r="P212" s="4" t="inlineStr">
        <is>
          <t>שימוש עץ מוצר בהזמנת לקוח</t>
        </is>
      </c>
      <c r="Q212" s="4" t="inlineStr">
        <is>
          <t>BOM explosion (sales order)</t>
        </is>
      </c>
      <c r="R212" s="4" t="inlineStr">
        <is>
          <t>2. עץ מוצר (BOM)</t>
        </is>
      </c>
      <c r="S212" s="4" t="inlineStr">
        <is>
          <t>A65</t>
        </is>
      </c>
      <c r="T212" s="7">
        <f>HYPERLINK("#'"&amp;R212&amp;"'!"&amp;S212,"➜ פתח")</f>
        <v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inlineStr">
        <is>
          <t>שדה</t>
        </is>
      </c>
      <c r="O213" s="6" t="inlineStr">
        <is>
          <t>VBELN</t>
        </is>
      </c>
      <c r="P213" s="4" t="inlineStr">
        <is>
          <t>מסמך מכירה</t>
        </is>
      </c>
      <c r="Q213" s="4" t="inlineStr">
        <is>
          <t>Sales document</t>
        </is>
      </c>
      <c r="R213" s="4" t="inlineStr">
        <is>
          <t>2. עץ מוצר (BOM)</t>
        </is>
      </c>
      <c r="S213" s="4" t="inlineStr">
        <is>
          <t>C66</t>
        </is>
      </c>
      <c r="T213" s="7">
        <f>HYPERLINK("#'"&amp;R213&amp;"'!"&amp;S213,"➜ פתח")</f>
        <v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inlineStr">
        <is>
          <t>שדה</t>
        </is>
      </c>
      <c r="O214" s="6" t="inlineStr">
        <is>
          <t>POSNR</t>
        </is>
      </c>
      <c r="P214" s="4" t="inlineStr">
        <is>
          <t>פריט מסמך מכירה</t>
        </is>
      </c>
      <c r="Q214" s="4" t="inlineStr">
        <is>
          <t>Sales document item</t>
        </is>
      </c>
      <c r="R214" s="4" t="inlineStr">
        <is>
          <t>2. עץ מוצר (BOM)</t>
        </is>
      </c>
      <c r="S214" s="4" t="inlineStr">
        <is>
          <t>C67</t>
        </is>
      </c>
      <c r="T214" s="7">
        <f>HYPERLINK("#'"&amp;R214&amp;"'!"&amp;S214,"➜ פתח")</f>
        <v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inlineStr">
        <is>
          <t>שדה</t>
        </is>
      </c>
      <c r="O215" s="6" t="inlineStr">
        <is>
          <t>MATNR</t>
        </is>
      </c>
      <c r="P215" s="4" t="inlineStr">
        <is>
          <t>מספר חומר</t>
        </is>
      </c>
      <c r="Q215" s="4" t="inlineStr">
        <is>
          <t>Material number</t>
        </is>
      </c>
      <c r="R215" s="4" t="inlineStr">
        <is>
          <t>2. עץ מוצר (BOM)</t>
        </is>
      </c>
      <c r="S215" s="4" t="inlineStr">
        <is>
          <t>C68</t>
        </is>
      </c>
      <c r="T215" s="7">
        <f>HYPERLINK("#'"&amp;R215&amp;"'!"&amp;S215,"➜ פתח")</f>
        <v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inlineStr">
        <is>
          <t>שדה</t>
        </is>
      </c>
      <c r="O216" s="6" t="inlineStr">
        <is>
          <t>STLNR</t>
        </is>
      </c>
      <c r="P216" s="4" t="inlineStr">
        <is>
          <t>מספר עץ מוצר</t>
        </is>
      </c>
      <c r="Q216" s="4" t="inlineStr">
        <is>
          <t>BOM number</t>
        </is>
      </c>
      <c r="R216" s="4" t="inlineStr">
        <is>
          <t>2. עץ מוצר (BOM)</t>
        </is>
      </c>
      <c r="S216" s="4" t="inlineStr">
        <is>
          <t>C69</t>
        </is>
      </c>
      <c r="T216" s="7">
        <f>HYPERLINK("#'"&amp;R216&amp;"'!"&amp;S216,"➜ פתח")</f>
        <v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inlineStr">
        <is>
          <t>טרנזקציה</t>
        </is>
      </c>
      <c r="O217" s="6" t="inlineStr">
        <is>
          <t>CS61</t>
        </is>
      </c>
      <c r="P217" s="4" t="inlineStr">
        <is>
          <t>שימוש עץ מוצר בהזמנת לקוח</t>
        </is>
      </c>
      <c r="Q217" s="4" t="inlineStr">
        <is>
          <t>BOM explosion (sales order)</t>
        </is>
      </c>
      <c r="R217" s="4" t="inlineStr">
        <is>
          <t>2. עץ מוצר (BOM)</t>
        </is>
      </c>
      <c r="S217" s="4" t="inlineStr">
        <is>
          <t>A66</t>
        </is>
      </c>
      <c r="T217" s="7">
        <f>HYPERLINK("#'"&amp;R217&amp;"'!"&amp;S217,"➜ פתח")</f>
        <v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inlineStr">
        <is>
          <t>טרנזקציה</t>
        </is>
      </c>
      <c r="O218" s="6" t="inlineStr">
        <is>
          <t>C201</t>
        </is>
      </c>
      <c r="P218" s="4" t="inlineStr">
        <is>
          <t>Manage Master Recipes</t>
        </is>
      </c>
      <c r="Q218" s="4" t="inlineStr">
        <is>
          <t>-</t>
        </is>
      </c>
      <c r="R218" s="4" t="inlineStr">
        <is>
          <t xml:space="preserve">3. מתכון ייצור ופעולות (Master </t>
        </is>
      </c>
      <c r="S218" s="4" t="inlineStr">
        <is>
          <t>A6</t>
        </is>
      </c>
      <c r="T218" s="7">
        <f>HYPERLINK("#'"&amp;R218&amp;"'!"&amp;S218,"➜ פתח")</f>
        <v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inlineStr">
        <is>
          <t>טרנזקציה</t>
        </is>
      </c>
      <c r="O219" s="6" t="inlineStr">
        <is>
          <t>C251</t>
        </is>
      </c>
      <c r="P219" s="4" t="inlineStr">
        <is>
          <t>Master Recipe Print</t>
        </is>
      </c>
      <c r="Q219" s="4" t="inlineStr">
        <is>
          <t>-</t>
        </is>
      </c>
      <c r="R219" s="4" t="inlineStr">
        <is>
          <t xml:space="preserve">3. מתכון ייצור ופעולות (Master </t>
        </is>
      </c>
      <c r="S219" s="4" t="inlineStr">
        <is>
          <t>A7</t>
        </is>
      </c>
      <c r="T219" s="7">
        <f>HYPERLINK("#'"&amp;R219&amp;"'!"&amp;S219,"➜ פתח")</f>
        <v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inlineStr">
        <is>
          <t>טרנזקציה</t>
        </is>
      </c>
      <c r="O220" s="6" t="inlineStr">
        <is>
          <t>COIO</t>
        </is>
      </c>
      <c r="P220" s="4" t="inlineStr">
        <is>
          <t>Process Order Information System</t>
        </is>
      </c>
      <c r="Q220" s="4" t="inlineStr">
        <is>
          <t>-</t>
        </is>
      </c>
      <c r="R220" s="4" t="inlineStr">
        <is>
          <t xml:space="preserve">3. מתכון ייצור ופעולות (Master </t>
        </is>
      </c>
      <c r="S220" s="4" t="inlineStr">
        <is>
          <t>A8</t>
        </is>
      </c>
      <c r="T220" s="7">
        <f>HYPERLINK("#'"&amp;R220&amp;"'!"&amp;S220,"➜ פתח")</f>
        <v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inlineStr">
        <is>
          <t>RFC</t>
        </is>
      </c>
      <c r="O221" s="6" t="inlineStr">
        <is>
          <t>CP_RECIPE_READ</t>
        </is>
      </c>
      <c r="P221" s="4" t="inlineStr">
        <is>
          <t>קריאת מתכון ייצור</t>
        </is>
      </c>
      <c r="Q221" s="4" t="inlineStr"/>
      <c r="R221" s="4" t="inlineStr">
        <is>
          <t xml:space="preserve">3. מתכון ייצור ופעולות (Master </t>
        </is>
      </c>
      <c r="S221" s="4" t="inlineStr">
        <is>
          <t>A11</t>
        </is>
      </c>
      <c r="T221" s="7">
        <f>HYPERLINK("#'"&amp;R221&amp;"'!"&amp;S221,"➜ פתח")</f>
        <v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inlineStr">
        <is>
          <t>BAPI</t>
        </is>
      </c>
      <c r="O222" s="6" t="inlineStr">
        <is>
          <t>BAPI_CENTRAL_CHARACT_CREATE</t>
        </is>
      </c>
      <c r="P222" s="4" t="inlineStr">
        <is>
          <t>יצירת מאפיין בדיקה ראשי (QM)</t>
        </is>
      </c>
      <c r="Q222" s="4" t="inlineStr"/>
      <c r="R222" s="4" t="inlineStr">
        <is>
          <t xml:space="preserve">3. מתכון ייצור ופעולות (Master </t>
        </is>
      </c>
      <c r="S222" s="4" t="inlineStr">
        <is>
          <t>A12</t>
        </is>
      </c>
      <c r="T222" s="7">
        <f>HYPERLINK("#'"&amp;R222&amp;"'!"&amp;S222,"➜ פתח")</f>
        <v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inlineStr">
        <is>
          <t>IDoc</t>
        </is>
      </c>
      <c r="O223" s="6" t="inlineStr">
        <is>
          <t>LOIPRO</t>
        </is>
      </c>
      <c r="P223" s="4" t="inlineStr">
        <is>
          <t>הוראות ייצור - מהמתכון לפק"ע ולקו</t>
        </is>
      </c>
      <c r="Q223" s="4" t="inlineStr"/>
      <c r="R223" s="4" t="inlineStr">
        <is>
          <t xml:space="preserve">3. מתכון ייצור ופעולות (Master </t>
        </is>
      </c>
      <c r="S223" s="4" t="inlineStr">
        <is>
          <t>A13</t>
        </is>
      </c>
      <c r="T223" s="7">
        <f>HYPERLINK("#'"&amp;R223&amp;"'!"&amp;S223,"➜ פתח")</f>
        <v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inlineStr">
        <is>
          <t>PI</t>
        </is>
      </c>
      <c r="O224" s="6" t="inlineStr">
        <is>
          <t>Control Recipe / PI Sheet (PI Messages)</t>
        </is>
      </c>
      <c r="P224" s="4" t="inlineStr">
        <is>
          <t>שליחת הוראות תהליך לבקר/MES (Zetes/Daymax)</t>
        </is>
      </c>
      <c r="Q224" s="4" t="inlineStr"/>
      <c r="R224" s="4" t="inlineStr">
        <is>
          <t xml:space="preserve">3. מתכון ייצור ופעולות (Master </t>
        </is>
      </c>
      <c r="S224" s="4" t="inlineStr">
        <is>
          <t>A14</t>
        </is>
      </c>
      <c r="T224" s="7">
        <f>HYPERLINK("#'"&amp;R224&amp;"'!"&amp;S224,"➜ פתח")</f>
        <v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inlineStr">
        <is>
          <t>תוכנית</t>
        </is>
      </c>
      <c r="O225" s="6" t="inlineStr">
        <is>
          <t>RCEXMASS</t>
        </is>
      </c>
      <c r="P225" s="4" t="inlineStr">
        <is>
          <t>עיבוד המוני מתכונים</t>
        </is>
      </c>
      <c r="Q225" s="4" t="inlineStr"/>
      <c r="R225" s="4" t="inlineStr">
        <is>
          <t xml:space="preserve">3. מתכון ייצור ופעולות (Master </t>
        </is>
      </c>
      <c r="S225" s="4" t="inlineStr">
        <is>
          <t>A17</t>
        </is>
      </c>
      <c r="T225" s="7">
        <f>HYPERLINK("#'"&amp;R225&amp;"'!"&amp;S225,"➜ פתח")</f>
        <v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inlineStr">
        <is>
          <t>תוכנית</t>
        </is>
      </c>
      <c r="O226" s="6" t="inlineStr">
        <is>
          <t>RCPRECIPE</t>
        </is>
      </c>
      <c r="P226" s="4" t="inlineStr">
        <is>
          <t>דוח/הערכת מתכונים</t>
        </is>
      </c>
      <c r="Q226" s="4" t="inlineStr"/>
      <c r="R226" s="4" t="inlineStr">
        <is>
          <t xml:space="preserve">3. מתכון ייצור ופעולות (Master </t>
        </is>
      </c>
      <c r="S226" s="4" t="inlineStr">
        <is>
          <t>A18</t>
        </is>
      </c>
      <c r="T226" s="7">
        <f>HYPERLINK("#'"&amp;R226&amp;"'!"&amp;S226,"➜ פתח")</f>
        <v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inlineStr">
        <is>
          <t>תוכנית</t>
        </is>
      </c>
      <c r="O227" s="6" t="inlineStr">
        <is>
          <t>RCO_CONTROL_RECIPE</t>
        </is>
      </c>
      <c r="P227" s="4" t="inlineStr">
        <is>
          <t>יצירת/שליחת Control Recipe</t>
        </is>
      </c>
      <c r="Q227" s="4" t="inlineStr"/>
      <c r="R227" s="4" t="inlineStr">
        <is>
          <t xml:space="preserve">3. מתכון ייצור ופעולות (Master </t>
        </is>
      </c>
      <c r="S227" s="4" t="inlineStr">
        <is>
          <t>A19</t>
        </is>
      </c>
      <c r="T227" s="7">
        <f>HYPERLINK("#'"&amp;R227&amp;"'!"&amp;S227,"➜ פתח")</f>
        <v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inlineStr">
        <is>
          <t>טבלה</t>
        </is>
      </c>
      <c r="O228" s="6" t="inlineStr">
        <is>
          <t>PLKO</t>
        </is>
      </c>
      <c r="P228" s="4" t="inlineStr">
        <is>
          <t>כותרת מתכון ייצור / רשימת פעולות</t>
        </is>
      </c>
      <c r="Q228" s="4" t="inlineStr">
        <is>
          <t>Task list / recipe header</t>
        </is>
      </c>
      <c r="R228" s="4" t="inlineStr">
        <is>
          <t xml:space="preserve">3. מתכון ייצור ופעולות (Master </t>
        </is>
      </c>
      <c r="S228" s="4" t="inlineStr">
        <is>
          <t>A21</t>
        </is>
      </c>
      <c r="T228" s="7">
        <f>HYPERLINK("#'"&amp;R228&amp;"'!"&amp;S228,"➜ פתח")</f>
        <v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inlineStr">
        <is>
          <t>שדה</t>
        </is>
      </c>
      <c r="O229" s="6" t="inlineStr">
        <is>
          <t>PLNTY</t>
        </is>
      </c>
      <c r="P229" s="4" t="inlineStr">
        <is>
          <t>סוג רשימה</t>
        </is>
      </c>
      <c r="Q229" s="4" t="inlineStr">
        <is>
          <t>Task list type (2=recipe)</t>
        </is>
      </c>
      <c r="R229" s="4" t="inlineStr">
        <is>
          <t xml:space="preserve">3. מתכון ייצור ופעולות (Master </t>
        </is>
      </c>
      <c r="S229" s="4" t="inlineStr">
        <is>
          <t>C22</t>
        </is>
      </c>
      <c r="T229" s="7">
        <f>HYPERLINK("#'"&amp;R229&amp;"'!"&amp;S229,"➜ פתח")</f>
        <v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inlineStr">
        <is>
          <t>שדה</t>
        </is>
      </c>
      <c r="O230" s="6" t="inlineStr">
        <is>
          <t>PLNNR</t>
        </is>
      </c>
      <c r="P230" s="4" t="inlineStr">
        <is>
          <t>קבוצת רשימת פעולות</t>
        </is>
      </c>
      <c r="Q230" s="4" t="inlineStr">
        <is>
          <t>Key for task list group</t>
        </is>
      </c>
      <c r="R230" s="4" t="inlineStr">
        <is>
          <t xml:space="preserve">3. מתכון ייצור ופעולות (Master </t>
        </is>
      </c>
      <c r="S230" s="4" t="inlineStr">
        <is>
          <t>C23</t>
        </is>
      </c>
      <c r="T230" s="7">
        <f>HYPERLINK("#'"&amp;R230&amp;"'!"&amp;S230,"➜ פתח")</f>
        <v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inlineStr">
        <is>
          <t>שדה</t>
        </is>
      </c>
      <c r="O231" s="6" t="inlineStr">
        <is>
          <t>PLNAL</t>
        </is>
      </c>
      <c r="P231" s="4" t="inlineStr">
        <is>
          <t>מונה קבוצה / חלופה</t>
        </is>
      </c>
      <c r="Q231" s="4" t="inlineStr">
        <is>
          <t>Group counter</t>
        </is>
      </c>
      <c r="R231" s="4" t="inlineStr">
        <is>
          <t xml:space="preserve">3. מתכון ייצור ופעולות (Master </t>
        </is>
      </c>
      <c r="S231" s="4" t="inlineStr">
        <is>
          <t>C24</t>
        </is>
      </c>
      <c r="T231" s="7">
        <f>HYPERLINK("#'"&amp;R231&amp;"'!"&amp;S231,"➜ פתח")</f>
        <v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inlineStr">
        <is>
          <t>שדה</t>
        </is>
      </c>
      <c r="O232" s="6" t="inlineStr">
        <is>
          <t>VERWE</t>
        </is>
      </c>
      <c r="P232" s="4" t="inlineStr">
        <is>
          <t>שימוש</t>
        </is>
      </c>
      <c r="Q232" s="4" t="inlineStr">
        <is>
          <t>Task list usage</t>
        </is>
      </c>
      <c r="R232" s="4" t="inlineStr">
        <is>
          <t xml:space="preserve">3. מתכון ייצור ופעולות (Master </t>
        </is>
      </c>
      <c r="S232" s="4" t="inlineStr">
        <is>
          <t>C25</t>
        </is>
      </c>
      <c r="T232" s="7">
        <f>HYPERLINK("#'"&amp;R232&amp;"'!"&amp;S232,"➜ פתח")</f>
        <v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inlineStr">
        <is>
          <t>שדה</t>
        </is>
      </c>
      <c r="O233" s="6" t="inlineStr">
        <is>
          <t>STATU</t>
        </is>
      </c>
      <c r="P233" s="4" t="inlineStr">
        <is>
          <t>סטטוס</t>
        </is>
      </c>
      <c r="Q233" s="4" t="inlineStr">
        <is>
          <t>Task list status</t>
        </is>
      </c>
      <c r="R233" s="4" t="inlineStr">
        <is>
          <t xml:space="preserve">3. מתכון ייצור ופעולות (Master </t>
        </is>
      </c>
      <c r="S233" s="4" t="inlineStr">
        <is>
          <t>C26</t>
        </is>
      </c>
      <c r="T233" s="7">
        <f>HYPERLINK("#'"&amp;R233&amp;"'!"&amp;S233,"➜ פתח")</f>
        <v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inlineStr">
        <is>
          <t>שדה</t>
        </is>
      </c>
      <c r="O234" s="6" t="inlineStr">
        <is>
          <t>LOSVN</t>
        </is>
      </c>
      <c r="P234" s="4" t="inlineStr">
        <is>
          <t>גודל אצווה מ</t>
        </is>
      </c>
      <c r="Q234" s="4" t="inlineStr">
        <is>
          <t>Lot size from</t>
        </is>
      </c>
      <c r="R234" s="4" t="inlineStr">
        <is>
          <t xml:space="preserve">3. מתכון ייצור ופעולות (Master </t>
        </is>
      </c>
      <c r="S234" s="4" t="inlineStr">
        <is>
          <t>C27</t>
        </is>
      </c>
      <c r="T234" s="7">
        <f>HYPERLINK("#'"&amp;R234&amp;"'!"&amp;S234,"➜ פתח")</f>
        <v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inlineStr">
        <is>
          <t>שדה</t>
        </is>
      </c>
      <c r="O235" s="6" t="inlineStr">
        <is>
          <t>LOSBS</t>
        </is>
      </c>
      <c r="P235" s="4" t="inlineStr">
        <is>
          <t>גודל אצווה עד</t>
        </is>
      </c>
      <c r="Q235" s="4" t="inlineStr">
        <is>
          <t>Lot size to</t>
        </is>
      </c>
      <c r="R235" s="4" t="inlineStr">
        <is>
          <t xml:space="preserve">3. מתכון ייצור ופעולות (Master </t>
        </is>
      </c>
      <c r="S235" s="4" t="inlineStr">
        <is>
          <t>C28</t>
        </is>
      </c>
      <c r="T235" s="7">
        <f>HYPERLINK("#'"&amp;R235&amp;"'!"&amp;S235,"➜ פתח")</f>
        <v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inlineStr">
        <is>
          <t>טרנזקציה</t>
        </is>
      </c>
      <c r="O236" s="6" t="inlineStr">
        <is>
          <t>C201</t>
        </is>
      </c>
      <c r="P236" s="4" t="inlineStr">
        <is>
          <t>כותרת מתכון ייצור / רשימת פעולות</t>
        </is>
      </c>
      <c r="Q236" s="4" t="inlineStr">
        <is>
          <t>Task list / recipe header</t>
        </is>
      </c>
      <c r="R236" s="4" t="inlineStr">
        <is>
          <t xml:space="preserve">3. מתכון ייצור ופעולות (Master </t>
        </is>
      </c>
      <c r="S236" s="4" t="inlineStr">
        <is>
          <t>A22</t>
        </is>
      </c>
      <c r="T236" s="7">
        <f>HYPERLINK("#'"&amp;R236&amp;"'!"&amp;S236,"➜ פתח")</f>
        <v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inlineStr">
        <is>
          <t>טרנזקציה</t>
        </is>
      </c>
      <c r="O237" s="6" t="inlineStr">
        <is>
          <t>C202</t>
        </is>
      </c>
      <c r="P237" s="4" t="inlineStr">
        <is>
          <t>כותרת מתכון ייצור / רשימת פעולות</t>
        </is>
      </c>
      <c r="Q237" s="4" t="inlineStr">
        <is>
          <t>Task list / recipe header</t>
        </is>
      </c>
      <c r="R237" s="4" t="inlineStr">
        <is>
          <t xml:space="preserve">3. מתכון ייצור ופעולות (Master </t>
        </is>
      </c>
      <c r="S237" s="4" t="inlineStr">
        <is>
          <t>A22</t>
        </is>
      </c>
      <c r="T237" s="7">
        <f>HYPERLINK("#'"&amp;R237&amp;"'!"&amp;S237,"➜ פתח")</f>
        <v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inlineStr">
        <is>
          <t>טרנזקציה</t>
        </is>
      </c>
      <c r="O238" s="6" t="inlineStr">
        <is>
          <t>C203</t>
        </is>
      </c>
      <c r="P238" s="4" t="inlineStr">
        <is>
          <t>כותרת מתכון ייצור / רשימת פעולות</t>
        </is>
      </c>
      <c r="Q238" s="4" t="inlineStr">
        <is>
          <t>Task list / recipe header</t>
        </is>
      </c>
      <c r="R238" s="4" t="inlineStr">
        <is>
          <t xml:space="preserve">3. מתכון ייצור ופעולות (Master </t>
        </is>
      </c>
      <c r="S238" s="4" t="inlineStr">
        <is>
          <t>A22</t>
        </is>
      </c>
      <c r="T238" s="7">
        <f>HYPERLINK("#'"&amp;R238&amp;"'!"&amp;S238,"➜ פתח")</f>
        <v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inlineStr">
        <is>
          <t>טבלה</t>
        </is>
      </c>
      <c r="O239" s="6" t="inlineStr">
        <is>
          <t>PLPO</t>
        </is>
      </c>
      <c r="P239" s="4" t="inlineStr">
        <is>
          <t>פעולות/פאזות במתכון</t>
        </is>
      </c>
      <c r="Q239" s="4" t="inlineStr">
        <is>
          <t>Task list - operation / activity</t>
        </is>
      </c>
      <c r="R239" s="4" t="inlineStr">
        <is>
          <t xml:space="preserve">3. מתכון ייצור ופעולות (Master </t>
        </is>
      </c>
      <c r="S239" s="4" t="inlineStr">
        <is>
          <t>A30</t>
        </is>
      </c>
      <c r="T239" s="7">
        <f>HYPERLINK("#'"&amp;R239&amp;"'!"&amp;S239,"➜ פתח")</f>
        <v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inlineStr">
        <is>
          <t>שדה</t>
        </is>
      </c>
      <c r="O240" s="6" t="inlineStr">
        <is>
          <t>PLNTY</t>
        </is>
      </c>
      <c r="P240" s="4" t="inlineStr">
        <is>
          <t>סוג רשימה</t>
        </is>
      </c>
      <c r="Q240" s="4" t="inlineStr">
        <is>
          <t>Task list type</t>
        </is>
      </c>
      <c r="R240" s="4" t="inlineStr">
        <is>
          <t xml:space="preserve">3. מתכון ייצור ופעולות (Master </t>
        </is>
      </c>
      <c r="S240" s="4" t="inlineStr">
        <is>
          <t>C31</t>
        </is>
      </c>
      <c r="T240" s="7">
        <f>HYPERLINK("#'"&amp;R240&amp;"'!"&amp;S240,"➜ פתח")</f>
        <v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inlineStr">
        <is>
          <t>שדה</t>
        </is>
      </c>
      <c r="O241" s="6" t="inlineStr">
        <is>
          <t>PLNNR</t>
        </is>
      </c>
      <c r="P241" s="4" t="inlineStr">
        <is>
          <t>קבוצת רשימה</t>
        </is>
      </c>
      <c r="Q241" s="4" t="inlineStr">
        <is>
          <t>Task list group</t>
        </is>
      </c>
      <c r="R241" s="4" t="inlineStr">
        <is>
          <t xml:space="preserve">3. מתכון ייצור ופעולות (Master </t>
        </is>
      </c>
      <c r="S241" s="4" t="inlineStr">
        <is>
          <t>C32</t>
        </is>
      </c>
      <c r="T241" s="7">
        <f>HYPERLINK("#'"&amp;R241&amp;"'!"&amp;S241,"➜ פתח")</f>
        <v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inlineStr">
        <is>
          <t>שדה</t>
        </is>
      </c>
      <c r="O242" s="6" t="inlineStr">
        <is>
          <t>PLNKN</t>
        </is>
      </c>
      <c r="P242" s="4" t="inlineStr">
        <is>
          <t>מספר צומת פעולה</t>
        </is>
      </c>
      <c r="Q242" s="4" t="inlineStr">
        <is>
          <t>Node number (operation)</t>
        </is>
      </c>
      <c r="R242" s="4" t="inlineStr">
        <is>
          <t xml:space="preserve">3. מתכון ייצור ופעולות (Master </t>
        </is>
      </c>
      <c r="S242" s="4" t="inlineStr">
        <is>
          <t>C33</t>
        </is>
      </c>
      <c r="T242" s="7">
        <f>HYPERLINK("#'"&amp;R242&amp;"'!"&amp;S242,"➜ פתח")</f>
        <v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inlineStr">
        <is>
          <t>שדה</t>
        </is>
      </c>
      <c r="O243" s="6" t="inlineStr">
        <is>
          <t>VORNR</t>
        </is>
      </c>
      <c r="P243" s="4" t="inlineStr">
        <is>
          <t>מספר פעולה</t>
        </is>
      </c>
      <c r="Q243" s="4" t="inlineStr">
        <is>
          <t>Operation number</t>
        </is>
      </c>
      <c r="R243" s="4" t="inlineStr">
        <is>
          <t xml:space="preserve">3. מתכון ייצור ופעולות (Master </t>
        </is>
      </c>
      <c r="S243" s="4" t="inlineStr">
        <is>
          <t>C34</t>
        </is>
      </c>
      <c r="T243" s="7">
        <f>HYPERLINK("#'"&amp;R243&amp;"'!"&amp;S243,"➜ פתח")</f>
        <v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inlineStr">
        <is>
          <t>שדה</t>
        </is>
      </c>
      <c r="O244" s="6" t="inlineStr">
        <is>
          <t>ARBID</t>
        </is>
      </c>
      <c r="P244" s="4" t="inlineStr">
        <is>
          <t>משאב (מזהה אובייקט)</t>
        </is>
      </c>
      <c r="Q244" s="4" t="inlineStr">
        <is>
          <t>Work center / resource (object id)</t>
        </is>
      </c>
      <c r="R244" s="4" t="inlineStr">
        <is>
          <t xml:space="preserve">3. מתכון ייצור ופעולות (Master </t>
        </is>
      </c>
      <c r="S244" s="4" t="inlineStr">
        <is>
          <t>C35</t>
        </is>
      </c>
      <c r="T244" s="7">
        <f>HYPERLINK("#'"&amp;R244&amp;"'!"&amp;S244,"➜ פתח")</f>
        <v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inlineStr">
        <is>
          <t>שדה</t>
        </is>
      </c>
      <c r="O245" s="6" t="inlineStr">
        <is>
          <t>STEUS</t>
        </is>
      </c>
      <c r="P245" s="4" t="inlineStr">
        <is>
          <t>מפתח בקרה</t>
        </is>
      </c>
      <c r="Q245" s="4" t="inlineStr">
        <is>
          <t>Control key</t>
        </is>
      </c>
      <c r="R245" s="4" t="inlineStr">
        <is>
          <t xml:space="preserve">3. מתכון ייצור ופעולות (Master </t>
        </is>
      </c>
      <c r="S245" s="4" t="inlineStr">
        <is>
          <t>C36</t>
        </is>
      </c>
      <c r="T245" s="7">
        <f>HYPERLINK("#'"&amp;R245&amp;"'!"&amp;S245,"➜ פתח")</f>
        <v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inlineStr">
        <is>
          <t>שדה</t>
        </is>
      </c>
      <c r="O246" s="6" t="inlineStr">
        <is>
          <t>LTXA1</t>
        </is>
      </c>
      <c r="P246" s="4" t="inlineStr">
        <is>
          <t>תיאור פעולה</t>
        </is>
      </c>
      <c r="Q246" s="4" t="inlineStr">
        <is>
          <t>Operation short text</t>
        </is>
      </c>
      <c r="R246" s="4" t="inlineStr">
        <is>
          <t xml:space="preserve">3. מתכון ייצור ופעולות (Master </t>
        </is>
      </c>
      <c r="S246" s="4" t="inlineStr">
        <is>
          <t>C37</t>
        </is>
      </c>
      <c r="T246" s="7">
        <f>HYPERLINK("#'"&amp;R246&amp;"'!"&amp;S246,"➜ פתח")</f>
        <v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inlineStr">
        <is>
          <t>שדה</t>
        </is>
      </c>
      <c r="O247" s="6" t="inlineStr">
        <is>
          <t>VGW01</t>
        </is>
      </c>
      <c r="P247" s="4" t="inlineStr">
        <is>
          <t>ערך תקן 1 (הקמה)</t>
        </is>
      </c>
      <c r="Q247" s="4" t="inlineStr">
        <is>
          <t>Standard value 1 (setup)</t>
        </is>
      </c>
      <c r="R247" s="4" t="inlineStr">
        <is>
          <t xml:space="preserve">3. מתכון ייצור ופעולות (Master </t>
        </is>
      </c>
      <c r="S247" s="4" t="inlineStr">
        <is>
          <t>C38</t>
        </is>
      </c>
      <c r="T247" s="7">
        <f>HYPERLINK("#'"&amp;R247&amp;"'!"&amp;S247,"➜ פתח")</f>
        <v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inlineStr">
        <is>
          <t>שדה</t>
        </is>
      </c>
      <c r="O248" s="6" t="inlineStr">
        <is>
          <t>VGW02</t>
        </is>
      </c>
      <c r="P248" s="4" t="inlineStr">
        <is>
          <t>ערך תקן 2 (מכונה)</t>
        </is>
      </c>
      <c r="Q248" s="4" t="inlineStr">
        <is>
          <t>Standard value 2 (machine)</t>
        </is>
      </c>
      <c r="R248" s="4" t="inlineStr">
        <is>
          <t xml:space="preserve">3. מתכון ייצור ופעולות (Master </t>
        </is>
      </c>
      <c r="S248" s="4" t="inlineStr">
        <is>
          <t>C39</t>
        </is>
      </c>
      <c r="T248" s="7">
        <f>HYPERLINK("#'"&amp;R248&amp;"'!"&amp;S248,"➜ פתח")</f>
        <v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inlineStr">
        <is>
          <t>טרנזקציה</t>
        </is>
      </c>
      <c r="O249" s="6" t="inlineStr">
        <is>
          <t>C202</t>
        </is>
      </c>
      <c r="P249" s="4" t="inlineStr">
        <is>
          <t>פעולות/פאזות במתכון</t>
        </is>
      </c>
      <c r="Q249" s="4" t="inlineStr">
        <is>
          <t>Task list - operation / activity</t>
        </is>
      </c>
      <c r="R249" s="4" t="inlineStr">
        <is>
          <t xml:space="preserve">3. מתכון ייצור ופעולות (Master </t>
        </is>
      </c>
      <c r="S249" s="4" t="inlineStr">
        <is>
          <t>A31</t>
        </is>
      </c>
      <c r="T249" s="7">
        <f>HYPERLINK("#'"&amp;R249&amp;"'!"&amp;S249,"➜ פתח")</f>
        <v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inlineStr">
        <is>
          <t>טבלה</t>
        </is>
      </c>
      <c r="O250" s="6" t="inlineStr">
        <is>
          <t>PLAS</t>
        </is>
      </c>
      <c r="P250" s="4" t="inlineStr">
        <is>
          <t>שיוך/בחירת פעולות לרשימה</t>
        </is>
      </c>
      <c r="Q250" s="4" t="inlineStr">
        <is>
          <t>Task list - operation selection</t>
        </is>
      </c>
      <c r="R250" s="4" t="inlineStr">
        <is>
          <t xml:space="preserve">3. מתכון ייצור ופעולות (Master </t>
        </is>
      </c>
      <c r="S250" s="4" t="inlineStr">
        <is>
          <t>A41</t>
        </is>
      </c>
      <c r="T250" s="7">
        <f>HYPERLINK("#'"&amp;R250&amp;"'!"&amp;S250,"➜ פתח")</f>
        <v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inlineStr">
        <is>
          <t>שדה</t>
        </is>
      </c>
      <c r="O251" s="6" t="inlineStr">
        <is>
          <t>PLNTY</t>
        </is>
      </c>
      <c r="P251" s="4" t="inlineStr">
        <is>
          <t>סוג רשימה</t>
        </is>
      </c>
      <c r="Q251" s="4" t="inlineStr">
        <is>
          <t>Task list type</t>
        </is>
      </c>
      <c r="R251" s="4" t="inlineStr">
        <is>
          <t xml:space="preserve">3. מתכון ייצור ופעולות (Master </t>
        </is>
      </c>
      <c r="S251" s="4" t="inlineStr">
        <is>
          <t>C42</t>
        </is>
      </c>
      <c r="T251" s="7">
        <f>HYPERLINK("#'"&amp;R251&amp;"'!"&amp;S251,"➜ פתח")</f>
        <v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inlineStr">
        <is>
          <t>שדה</t>
        </is>
      </c>
      <c r="O252" s="6" t="inlineStr">
        <is>
          <t>PLNNR</t>
        </is>
      </c>
      <c r="P252" s="4" t="inlineStr">
        <is>
          <t>קבוצת רשימה</t>
        </is>
      </c>
      <c r="Q252" s="4" t="inlineStr">
        <is>
          <t>Task list group</t>
        </is>
      </c>
      <c r="R252" s="4" t="inlineStr">
        <is>
          <t xml:space="preserve">3. מתכון ייצור ופעולות (Master </t>
        </is>
      </c>
      <c r="S252" s="4" t="inlineStr">
        <is>
          <t>C43</t>
        </is>
      </c>
      <c r="T252" s="7">
        <f>HYPERLINK("#'"&amp;R252&amp;"'!"&amp;S252,"➜ פתח")</f>
        <v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inlineStr">
        <is>
          <t>שדה</t>
        </is>
      </c>
      <c r="O253" s="6" t="inlineStr">
        <is>
          <t>PLNAL</t>
        </is>
      </c>
      <c r="P253" s="4" t="inlineStr">
        <is>
          <t>מונה קבוצה</t>
        </is>
      </c>
      <c r="Q253" s="4" t="inlineStr">
        <is>
          <t>Group counter</t>
        </is>
      </c>
      <c r="R253" s="4" t="inlineStr">
        <is>
          <t xml:space="preserve">3. מתכון ייצור ופעולות (Master </t>
        </is>
      </c>
      <c r="S253" s="4" t="inlineStr">
        <is>
          <t>C44</t>
        </is>
      </c>
      <c r="T253" s="7">
        <f>HYPERLINK("#'"&amp;R253&amp;"'!"&amp;S253,"➜ פתח")</f>
        <v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inlineStr">
        <is>
          <t>שדה</t>
        </is>
      </c>
      <c r="O254" s="6" t="inlineStr">
        <is>
          <t>PLNKN</t>
        </is>
      </c>
      <c r="P254" s="4" t="inlineStr">
        <is>
          <t>מספר צומת</t>
        </is>
      </c>
      <c r="Q254" s="4" t="inlineStr">
        <is>
          <t>Node number</t>
        </is>
      </c>
      <c r="R254" s="4" t="inlineStr">
        <is>
          <t xml:space="preserve">3. מתכון ייצור ופעולות (Master </t>
        </is>
      </c>
      <c r="S254" s="4" t="inlineStr">
        <is>
          <t>C45</t>
        </is>
      </c>
      <c r="T254" s="7">
        <f>HYPERLINK("#'"&amp;R254&amp;"'!"&amp;S254,"➜ פתח")</f>
        <v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inlineStr">
        <is>
          <t>שדה</t>
        </is>
      </c>
      <c r="O255" s="6" t="inlineStr">
        <is>
          <t>ZAEHL</t>
        </is>
      </c>
      <c r="P255" s="4" t="inlineStr">
        <is>
          <t>מונה פנימי</t>
        </is>
      </c>
      <c r="Q255" s="4" t="inlineStr">
        <is>
          <t>Internal counter</t>
        </is>
      </c>
      <c r="R255" s="4" t="inlineStr">
        <is>
          <t xml:space="preserve">3. מתכון ייצור ופעולות (Master </t>
        </is>
      </c>
      <c r="S255" s="4" t="inlineStr">
        <is>
          <t>C46</t>
        </is>
      </c>
      <c r="T255" s="7">
        <f>HYPERLINK("#'"&amp;R255&amp;"'!"&amp;S255,"➜ פתח")</f>
        <v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inlineStr">
        <is>
          <t>שדה</t>
        </is>
      </c>
      <c r="O256" s="6" t="inlineStr">
        <is>
          <t>LOEKZ</t>
        </is>
      </c>
      <c r="P256" s="4" t="inlineStr">
        <is>
          <t>מחוון מחיקה</t>
        </is>
      </c>
      <c r="Q256" s="4" t="inlineStr">
        <is>
          <t>Deletion indicator</t>
        </is>
      </c>
      <c r="R256" s="4" t="inlineStr">
        <is>
          <t xml:space="preserve">3. מתכון ייצור ופעולות (Master </t>
        </is>
      </c>
      <c r="S256" s="4" t="inlineStr">
        <is>
          <t>C47</t>
        </is>
      </c>
      <c r="T256" s="7">
        <f>HYPERLINK("#'"&amp;R256&amp;"'!"&amp;S256,"➜ פתח")</f>
        <v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inlineStr">
        <is>
          <t>טרנזקציה</t>
        </is>
      </c>
      <c r="O257" s="6" t="inlineStr">
        <is>
          <t>C202</t>
        </is>
      </c>
      <c r="P257" s="4" t="inlineStr">
        <is>
          <t>שיוך/בחירת פעולות לרשימה</t>
        </is>
      </c>
      <c r="Q257" s="4" t="inlineStr">
        <is>
          <t>Task list - operation selection</t>
        </is>
      </c>
      <c r="R257" s="4" t="inlineStr">
        <is>
          <t xml:space="preserve">3. מתכון ייצור ופעולות (Master </t>
        </is>
      </c>
      <c r="S257" s="4" t="inlineStr">
        <is>
          <t>A42</t>
        </is>
      </c>
      <c r="T257" s="7">
        <f>HYPERLINK("#'"&amp;R257&amp;"'!"&amp;S257,"➜ פתח")</f>
        <v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inlineStr">
        <is>
          <t>טבלה</t>
        </is>
      </c>
      <c r="O258" s="6" t="inlineStr">
        <is>
          <t>PLFL</t>
        </is>
      </c>
      <c r="P258" s="4" t="inlineStr">
        <is>
          <t>רצפים במתכון</t>
        </is>
      </c>
      <c r="Q258" s="4" t="inlineStr">
        <is>
          <t>Task list - sequences</t>
        </is>
      </c>
      <c r="R258" s="4" t="inlineStr">
        <is>
          <t xml:space="preserve">3. מתכון ייצור ופעולות (Master </t>
        </is>
      </c>
      <c r="S258" s="4" t="inlineStr">
        <is>
          <t>A49</t>
        </is>
      </c>
      <c r="T258" s="7">
        <f>HYPERLINK("#'"&amp;R258&amp;"'!"&amp;S258,"➜ פתח")</f>
        <v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inlineStr">
        <is>
          <t>שדה</t>
        </is>
      </c>
      <c r="O259" s="6" t="inlineStr">
        <is>
          <t>PLNTY</t>
        </is>
      </c>
      <c r="P259" s="4" t="inlineStr">
        <is>
          <t>סוג רשימה</t>
        </is>
      </c>
      <c r="Q259" s="4" t="inlineStr">
        <is>
          <t>Task list type</t>
        </is>
      </c>
      <c r="R259" s="4" t="inlineStr">
        <is>
          <t xml:space="preserve">3. מתכון ייצור ופעולות (Master </t>
        </is>
      </c>
      <c r="S259" s="4" t="inlineStr">
        <is>
          <t>C50</t>
        </is>
      </c>
      <c r="T259" s="7">
        <f>HYPERLINK("#'"&amp;R259&amp;"'!"&amp;S259,"➜ פתח")</f>
        <v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inlineStr">
        <is>
          <t>שדה</t>
        </is>
      </c>
      <c r="O260" s="6" t="inlineStr">
        <is>
          <t>PLNNR</t>
        </is>
      </c>
      <c r="P260" s="4" t="inlineStr">
        <is>
          <t>קבוצת רשימה</t>
        </is>
      </c>
      <c r="Q260" s="4" t="inlineStr">
        <is>
          <t>Task list group</t>
        </is>
      </c>
      <c r="R260" s="4" t="inlineStr">
        <is>
          <t xml:space="preserve">3. מתכון ייצור ופעולות (Master </t>
        </is>
      </c>
      <c r="S260" s="4" t="inlineStr">
        <is>
          <t>C51</t>
        </is>
      </c>
      <c r="T260" s="7">
        <f>HYPERLINK("#'"&amp;R260&amp;"'!"&amp;S260,"➜ פתח")</f>
        <v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inlineStr">
        <is>
          <t>שדה</t>
        </is>
      </c>
      <c r="O261" s="6" t="inlineStr">
        <is>
          <t>PLNFL</t>
        </is>
      </c>
      <c r="P261" s="4" t="inlineStr">
        <is>
          <t>מספר רצף</t>
        </is>
      </c>
      <c r="Q261" s="4" t="inlineStr">
        <is>
          <t>Sequence number</t>
        </is>
      </c>
      <c r="R261" s="4" t="inlineStr">
        <is>
          <t xml:space="preserve">3. מתכון ייצור ופעולות (Master </t>
        </is>
      </c>
      <c r="S261" s="4" t="inlineStr">
        <is>
          <t>C52</t>
        </is>
      </c>
      <c r="T261" s="7">
        <f>HYPERLINK("#'"&amp;R261&amp;"'!"&amp;S261,"➜ פתח")</f>
        <v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inlineStr">
        <is>
          <t>שדה</t>
        </is>
      </c>
      <c r="O262" s="6" t="inlineStr">
        <is>
          <t>FLGAT</t>
        </is>
      </c>
      <c r="P262" s="4" t="inlineStr">
        <is>
          <t>קטגוריית רצף</t>
        </is>
      </c>
      <c r="Q262" s="4" t="inlineStr">
        <is>
          <t>Sequence category</t>
        </is>
      </c>
      <c r="R262" s="4" t="inlineStr">
        <is>
          <t xml:space="preserve">3. מתכון ייצור ופעולות (Master </t>
        </is>
      </c>
      <c r="S262" s="4" t="inlineStr">
        <is>
          <t>C53</t>
        </is>
      </c>
      <c r="T262" s="7">
        <f>HYPERLINK("#'"&amp;R262&amp;"'!"&amp;S262,"➜ פתח")</f>
        <v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inlineStr">
        <is>
          <t>טרנזקציה</t>
        </is>
      </c>
      <c r="O263" s="6" t="inlineStr">
        <is>
          <t>C202</t>
        </is>
      </c>
      <c r="P263" s="4" t="inlineStr">
        <is>
          <t>רצפים במתכון</t>
        </is>
      </c>
      <c r="Q263" s="4" t="inlineStr">
        <is>
          <t>Task list - sequences</t>
        </is>
      </c>
      <c r="R263" s="4" t="inlineStr">
        <is>
          <t xml:space="preserve">3. מתכון ייצור ופעולות (Master </t>
        </is>
      </c>
      <c r="S263" s="4" t="inlineStr">
        <is>
          <t>A50</t>
        </is>
      </c>
      <c r="T263" s="7">
        <f>HYPERLINK("#'"&amp;R263&amp;"'!"&amp;S263,"➜ פתח")</f>
        <v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inlineStr">
        <is>
          <t>טבלה</t>
        </is>
      </c>
      <c r="O264" s="6" t="inlineStr">
        <is>
          <t>PLMZ</t>
        </is>
      </c>
      <c r="P264" s="4" t="inlineStr">
        <is>
          <t>שיוך רכיבים לפעולות</t>
        </is>
      </c>
      <c r="Q264" s="4" t="inlineStr">
        <is>
          <t>Component allocation (BOM to operation)</t>
        </is>
      </c>
      <c r="R264" s="4" t="inlineStr">
        <is>
          <t xml:space="preserve">3. מתכון ייצור ופעולות (Master </t>
        </is>
      </c>
      <c r="S264" s="4" t="inlineStr">
        <is>
          <t>A55</t>
        </is>
      </c>
      <c r="T264" s="7">
        <f>HYPERLINK("#'"&amp;R264&amp;"'!"&amp;S264,"➜ פתח")</f>
        <v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inlineStr">
        <is>
          <t>שדה</t>
        </is>
      </c>
      <c r="O265" s="6" t="inlineStr">
        <is>
          <t>PLNTY</t>
        </is>
      </c>
      <c r="P265" s="4" t="inlineStr">
        <is>
          <t>סוג רשימה</t>
        </is>
      </c>
      <c r="Q265" s="4" t="inlineStr">
        <is>
          <t>Task list type</t>
        </is>
      </c>
      <c r="R265" s="4" t="inlineStr">
        <is>
          <t xml:space="preserve">3. מתכון ייצור ופעולות (Master </t>
        </is>
      </c>
      <c r="S265" s="4" t="inlineStr">
        <is>
          <t>C56</t>
        </is>
      </c>
      <c r="T265" s="7">
        <f>HYPERLINK("#'"&amp;R265&amp;"'!"&amp;S265,"➜ פתח")</f>
        <v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inlineStr">
        <is>
          <t>שדה</t>
        </is>
      </c>
      <c r="O266" s="6" t="inlineStr">
        <is>
          <t>PLNNR</t>
        </is>
      </c>
      <c r="P266" s="4" t="inlineStr">
        <is>
          <t>קבוצת רשימה</t>
        </is>
      </c>
      <c r="Q266" s="4" t="inlineStr">
        <is>
          <t>Task list group</t>
        </is>
      </c>
      <c r="R266" s="4" t="inlineStr">
        <is>
          <t xml:space="preserve">3. מתכון ייצור ופעולות (Master </t>
        </is>
      </c>
      <c r="S266" s="4" t="inlineStr">
        <is>
          <t>C57</t>
        </is>
      </c>
      <c r="T266" s="7">
        <f>HYPERLINK("#'"&amp;R266&amp;"'!"&amp;S266,"➜ פתח")</f>
        <v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inlineStr">
        <is>
          <t>שדה</t>
        </is>
      </c>
      <c r="O267" s="6" t="inlineStr">
        <is>
          <t>ZUONR</t>
        </is>
      </c>
      <c r="P267" s="4" t="inlineStr">
        <is>
          <t>צומת שיוך</t>
        </is>
      </c>
      <c r="Q267" s="4" t="inlineStr">
        <is>
          <t>Allocation node</t>
        </is>
      </c>
      <c r="R267" s="4" t="inlineStr">
        <is>
          <t xml:space="preserve">3. מתכון ייצור ופעולות (Master </t>
        </is>
      </c>
      <c r="S267" s="4" t="inlineStr">
        <is>
          <t>C58</t>
        </is>
      </c>
      <c r="T267" s="7">
        <f>HYPERLINK("#'"&amp;R267&amp;"'!"&amp;S267,"➜ פתח")</f>
        <v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inlineStr">
        <is>
          <t>שדה</t>
        </is>
      </c>
      <c r="O268" s="6" t="inlineStr">
        <is>
          <t>PLNKN</t>
        </is>
      </c>
      <c r="P268" s="4" t="inlineStr">
        <is>
          <t>צומת פעולה</t>
        </is>
      </c>
      <c r="Q268" s="4" t="inlineStr">
        <is>
          <t>Operation node</t>
        </is>
      </c>
      <c r="R268" s="4" t="inlineStr">
        <is>
          <t xml:space="preserve">3. מתכון ייצור ופעולות (Master </t>
        </is>
      </c>
      <c r="S268" s="4" t="inlineStr">
        <is>
          <t>C59</t>
        </is>
      </c>
      <c r="T268" s="7">
        <f>HYPERLINK("#'"&amp;R268&amp;"'!"&amp;S268,"➜ פתח")</f>
        <v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inlineStr">
        <is>
          <t>שדה</t>
        </is>
      </c>
      <c r="O269" s="6" t="inlineStr">
        <is>
          <t>STLKN</t>
        </is>
      </c>
      <c r="P269" s="4" t="inlineStr">
        <is>
          <t>צומת פריט עץ מוצר</t>
        </is>
      </c>
      <c r="Q269" s="4" t="inlineStr">
        <is>
          <t>BOM item node</t>
        </is>
      </c>
      <c r="R269" s="4" t="inlineStr">
        <is>
          <t xml:space="preserve">3. מתכון ייצור ופעולות (Master </t>
        </is>
      </c>
      <c r="S269" s="4" t="inlineStr">
        <is>
          <t>C60</t>
        </is>
      </c>
      <c r="T269" s="7">
        <f>HYPERLINK("#'"&amp;R269&amp;"'!"&amp;S269,"➜ פתח")</f>
        <v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inlineStr">
        <is>
          <t>טרנזקציה</t>
        </is>
      </c>
      <c r="O270" s="6" t="inlineStr">
        <is>
          <t>C202 (Comp. Alloc.)</t>
        </is>
      </c>
      <c r="P270" s="4" t="inlineStr">
        <is>
          <t>שיוך רכיבים לפעולות</t>
        </is>
      </c>
      <c r="Q270" s="4" t="inlineStr">
        <is>
          <t>Component allocation (BOM to operation)</t>
        </is>
      </c>
      <c r="R270" s="4" t="inlineStr">
        <is>
          <t xml:space="preserve">3. מתכון ייצור ופעולות (Master </t>
        </is>
      </c>
      <c r="S270" s="4" t="inlineStr">
        <is>
          <t>A56</t>
        </is>
      </c>
      <c r="T270" s="7">
        <f>HYPERLINK("#'"&amp;R270&amp;"'!"&amp;S270,"➜ פתח")</f>
        <v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inlineStr">
        <is>
          <t>טבלה</t>
        </is>
      </c>
      <c r="O271" s="6" t="inlineStr">
        <is>
          <t>PLMK</t>
        </is>
      </c>
      <c r="P271" s="4" t="inlineStr">
        <is>
          <t>מאפייני בדיקה במתכון</t>
        </is>
      </c>
      <c r="Q271" s="4" t="inlineStr">
        <is>
          <t>Inspection characteristics</t>
        </is>
      </c>
      <c r="R271" s="4" t="inlineStr">
        <is>
          <t xml:space="preserve">3. מתכון ייצור ופעולות (Master </t>
        </is>
      </c>
      <c r="S271" s="4" t="inlineStr">
        <is>
          <t>A62</t>
        </is>
      </c>
      <c r="T271" s="7">
        <f>HYPERLINK("#'"&amp;R271&amp;"'!"&amp;S271,"➜ פתח")</f>
        <v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inlineStr">
        <is>
          <t>שדה</t>
        </is>
      </c>
      <c r="O272" s="6" t="inlineStr">
        <is>
          <t>PLNTY</t>
        </is>
      </c>
      <c r="P272" s="4" t="inlineStr">
        <is>
          <t>סוג רשימה</t>
        </is>
      </c>
      <c r="Q272" s="4" t="inlineStr">
        <is>
          <t>Task list type</t>
        </is>
      </c>
      <c r="R272" s="4" t="inlineStr">
        <is>
          <t xml:space="preserve">3. מתכון ייצור ופעולות (Master </t>
        </is>
      </c>
      <c r="S272" s="4" t="inlineStr">
        <is>
          <t>C63</t>
        </is>
      </c>
      <c r="T272" s="7">
        <f>HYPERLINK("#'"&amp;R272&amp;"'!"&amp;S272,"➜ פתח")</f>
        <v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inlineStr">
        <is>
          <t>שדה</t>
        </is>
      </c>
      <c r="O273" s="6" t="inlineStr">
        <is>
          <t>PLNNR</t>
        </is>
      </c>
      <c r="P273" s="4" t="inlineStr">
        <is>
          <t>קבוצת רשימה</t>
        </is>
      </c>
      <c r="Q273" s="4" t="inlineStr">
        <is>
          <t>Task list group</t>
        </is>
      </c>
      <c r="R273" s="4" t="inlineStr">
        <is>
          <t xml:space="preserve">3. מתכון ייצור ופעולות (Master </t>
        </is>
      </c>
      <c r="S273" s="4" t="inlineStr">
        <is>
          <t>C64</t>
        </is>
      </c>
      <c r="T273" s="7">
        <f>HYPERLINK("#'"&amp;R273&amp;"'!"&amp;S273,"➜ פתח")</f>
        <v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inlineStr">
        <is>
          <t>שדה</t>
        </is>
      </c>
      <c r="O274" s="6" t="inlineStr">
        <is>
          <t>MERKNR</t>
        </is>
      </c>
      <c r="P274" s="4" t="inlineStr">
        <is>
          <t>מספר מאפיין בדיקה</t>
        </is>
      </c>
      <c r="Q274" s="4" t="inlineStr">
        <is>
          <t>Inspection characteristic number</t>
        </is>
      </c>
      <c r="R274" s="4" t="inlineStr">
        <is>
          <t xml:space="preserve">3. מתכון ייצור ופעולות (Master </t>
        </is>
      </c>
      <c r="S274" s="4" t="inlineStr">
        <is>
          <t>C65</t>
        </is>
      </c>
      <c r="T274" s="7">
        <f>HYPERLINK("#'"&amp;R274&amp;"'!"&amp;S274,"➜ פתח")</f>
        <v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inlineStr">
        <is>
          <t>שדה</t>
        </is>
      </c>
      <c r="O275" s="6" t="inlineStr">
        <is>
          <t>PLNKN</t>
        </is>
      </c>
      <c r="P275" s="4" t="inlineStr">
        <is>
          <t>צומת פעולה</t>
        </is>
      </c>
      <c r="Q275" s="4" t="inlineStr">
        <is>
          <t>Operation node</t>
        </is>
      </c>
      <c r="R275" s="4" t="inlineStr">
        <is>
          <t xml:space="preserve">3. מתכון ייצור ופעולות (Master </t>
        </is>
      </c>
      <c r="S275" s="4" t="inlineStr">
        <is>
          <t>C66</t>
        </is>
      </c>
      <c r="T275" s="7">
        <f>HYPERLINK("#'"&amp;R275&amp;"'!"&amp;S275,"➜ פתח")</f>
        <v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inlineStr">
        <is>
          <t>שדה</t>
        </is>
      </c>
      <c r="O276" s="6" t="inlineStr">
        <is>
          <t>VERWMERKM</t>
        </is>
      </c>
      <c r="P276" s="4" t="inlineStr">
        <is>
          <t>מאפיין בדיקה ראשי</t>
        </is>
      </c>
      <c r="Q276" s="4" t="inlineStr">
        <is>
          <t>Master inspection characteristic</t>
        </is>
      </c>
      <c r="R276" s="4" t="inlineStr">
        <is>
          <t xml:space="preserve">3. מתכון ייצור ופעולות (Master </t>
        </is>
      </c>
      <c r="S276" s="4" t="inlineStr">
        <is>
          <t>C67</t>
        </is>
      </c>
      <c r="T276" s="7">
        <f>HYPERLINK("#'"&amp;R276&amp;"'!"&amp;S276,"➜ פתח")</f>
        <v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inlineStr">
        <is>
          <t>שדה</t>
        </is>
      </c>
      <c r="O277" s="6" t="inlineStr">
        <is>
          <t>SOLLWERT</t>
        </is>
      </c>
      <c r="P277" s="4" t="inlineStr">
        <is>
          <t>ערך יעד</t>
        </is>
      </c>
      <c r="Q277" s="4" t="inlineStr">
        <is>
          <t>Target value</t>
        </is>
      </c>
      <c r="R277" s="4" t="inlineStr">
        <is>
          <t xml:space="preserve">3. מתכון ייצור ופעולות (Master </t>
        </is>
      </c>
      <c r="S277" s="4" t="inlineStr">
        <is>
          <t>C68</t>
        </is>
      </c>
      <c r="T277" s="7">
        <f>HYPERLINK("#'"&amp;R277&amp;"'!"&amp;S277,"➜ פתח")</f>
        <v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inlineStr">
        <is>
          <t>טרנזקציה</t>
        </is>
      </c>
      <c r="O278" s="6" t="inlineStr">
        <is>
          <t>C202</t>
        </is>
      </c>
      <c r="P278" s="4" t="inlineStr">
        <is>
          <t>מאפייני בדיקה במתכון</t>
        </is>
      </c>
      <c r="Q278" s="4" t="inlineStr">
        <is>
          <t>Inspection characteristics</t>
        </is>
      </c>
      <c r="R278" s="4" t="inlineStr">
        <is>
          <t xml:space="preserve">3. מתכון ייצור ופעולות (Master </t>
        </is>
      </c>
      <c r="S278" s="4" t="inlineStr">
        <is>
          <t>A63</t>
        </is>
      </c>
      <c r="T278" s="7">
        <f>HYPERLINK("#'"&amp;R278&amp;"'!"&amp;S278,"➜ פתח")</f>
        <v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inlineStr">
        <is>
          <t>טרנזקציה</t>
        </is>
      </c>
      <c r="O279" s="6" t="inlineStr">
        <is>
          <t>QP01</t>
        </is>
      </c>
      <c r="P279" s="4" t="inlineStr">
        <is>
          <t>מאפייני בדיקה במתכון</t>
        </is>
      </c>
      <c r="Q279" s="4" t="inlineStr">
        <is>
          <t>Inspection characteristics</t>
        </is>
      </c>
      <c r="R279" s="4" t="inlineStr">
        <is>
          <t xml:space="preserve">3. מתכון ייצור ופעולות (Master </t>
        </is>
      </c>
      <c r="S279" s="4" t="inlineStr">
        <is>
          <t>A63</t>
        </is>
      </c>
      <c r="T279" s="7">
        <f>HYPERLINK("#'"&amp;R279&amp;"'!"&amp;S279,"➜ פתח")</f>
        <v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inlineStr">
        <is>
          <t>טבלה</t>
        </is>
      </c>
      <c r="O280" s="6" t="inlineStr">
        <is>
          <t>MAPL</t>
        </is>
      </c>
      <c r="P280" s="4" t="inlineStr">
        <is>
          <t>שיוך חומר למתכון/רשימת פעולות</t>
        </is>
      </c>
      <c r="Q280" s="4" t="inlineStr">
        <is>
          <t>Material to task list assignment</t>
        </is>
      </c>
      <c r="R280" s="4" t="inlineStr">
        <is>
          <t xml:space="preserve">3. מתכון ייצור ופעולות (Master </t>
        </is>
      </c>
      <c r="S280" s="4" t="inlineStr">
        <is>
          <t>A70</t>
        </is>
      </c>
      <c r="T280" s="7">
        <f>HYPERLINK("#'"&amp;R280&amp;"'!"&amp;S280,"➜ פתח")</f>
        <v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inlineStr">
        <is>
          <t>שדה</t>
        </is>
      </c>
      <c r="O281" s="6" t="inlineStr">
        <is>
          <t>MATNR</t>
        </is>
      </c>
      <c r="P281" s="4" t="inlineStr">
        <is>
          <t>מספר חומר</t>
        </is>
      </c>
      <c r="Q281" s="4" t="inlineStr">
        <is>
          <t>Material number</t>
        </is>
      </c>
      <c r="R281" s="4" t="inlineStr">
        <is>
          <t xml:space="preserve">3. מתכון ייצור ופעולות (Master </t>
        </is>
      </c>
      <c r="S281" s="4" t="inlineStr">
        <is>
          <t>C71</t>
        </is>
      </c>
      <c r="T281" s="7">
        <f>HYPERLINK("#'"&amp;R281&amp;"'!"&amp;S281,"➜ פתח")</f>
        <v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inlineStr">
        <is>
          <t>שדה</t>
        </is>
      </c>
      <c r="O282" s="6" t="inlineStr">
        <is>
          <t>WERKS</t>
        </is>
      </c>
      <c r="P282" s="4" t="inlineStr">
        <is>
          <t>מפעל</t>
        </is>
      </c>
      <c r="Q282" s="4" t="inlineStr">
        <is>
          <t>Plant</t>
        </is>
      </c>
      <c r="R282" s="4" t="inlineStr">
        <is>
          <t xml:space="preserve">3. מתכון ייצור ופעולות (Master </t>
        </is>
      </c>
      <c r="S282" s="4" t="inlineStr">
        <is>
          <t>C72</t>
        </is>
      </c>
      <c r="T282" s="7">
        <f>HYPERLINK("#'"&amp;R282&amp;"'!"&amp;S282,"➜ פתח")</f>
        <v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inlineStr">
        <is>
          <t>שדה</t>
        </is>
      </c>
      <c r="O283" s="6" t="inlineStr">
        <is>
          <t>PLNTY</t>
        </is>
      </c>
      <c r="P283" s="4" t="inlineStr">
        <is>
          <t>סוג רשימה</t>
        </is>
      </c>
      <c r="Q283" s="4" t="inlineStr">
        <is>
          <t>Task list type</t>
        </is>
      </c>
      <c r="R283" s="4" t="inlineStr">
        <is>
          <t xml:space="preserve">3. מתכון ייצור ופעולות (Master </t>
        </is>
      </c>
      <c r="S283" s="4" t="inlineStr">
        <is>
          <t>C73</t>
        </is>
      </c>
      <c r="T283" s="7">
        <f>HYPERLINK("#'"&amp;R283&amp;"'!"&amp;S283,"➜ פתח")</f>
        <v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inlineStr">
        <is>
          <t>שדה</t>
        </is>
      </c>
      <c r="O284" s="6" t="inlineStr">
        <is>
          <t>PLNNR</t>
        </is>
      </c>
      <c r="P284" s="4" t="inlineStr">
        <is>
          <t>קבוצת רשימה</t>
        </is>
      </c>
      <c r="Q284" s="4" t="inlineStr">
        <is>
          <t>Task list group</t>
        </is>
      </c>
      <c r="R284" s="4" t="inlineStr">
        <is>
          <t xml:space="preserve">3. מתכון ייצור ופעולות (Master </t>
        </is>
      </c>
      <c r="S284" s="4" t="inlineStr">
        <is>
          <t>C74</t>
        </is>
      </c>
      <c r="T284" s="7">
        <f>HYPERLINK("#'"&amp;R284&amp;"'!"&amp;S284,"➜ פתח")</f>
        <v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inlineStr">
        <is>
          <t>שדה</t>
        </is>
      </c>
      <c r="O285" s="6" t="inlineStr">
        <is>
          <t>PLNAL</t>
        </is>
      </c>
      <c r="P285" s="4" t="inlineStr">
        <is>
          <t>מונה קבוצה</t>
        </is>
      </c>
      <c r="Q285" s="4" t="inlineStr">
        <is>
          <t>Group counter</t>
        </is>
      </c>
      <c r="R285" s="4" t="inlineStr">
        <is>
          <t xml:space="preserve">3. מתכון ייצור ופעולות (Master </t>
        </is>
      </c>
      <c r="S285" s="4" t="inlineStr">
        <is>
          <t>C75</t>
        </is>
      </c>
      <c r="T285" s="7">
        <f>HYPERLINK("#'"&amp;R285&amp;"'!"&amp;S285,"➜ פתח")</f>
        <v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inlineStr">
        <is>
          <t>טרנזקציה</t>
        </is>
      </c>
      <c r="O286" s="6" t="inlineStr">
        <is>
          <t>C201</t>
        </is>
      </c>
      <c r="P286" s="4" t="inlineStr">
        <is>
          <t>שיוך חומר למתכון/רשימת פעולות</t>
        </is>
      </c>
      <c r="Q286" s="4" t="inlineStr">
        <is>
          <t>Material to task list assignment</t>
        </is>
      </c>
      <c r="R286" s="4" t="inlineStr">
        <is>
          <t xml:space="preserve">3. מתכון ייצור ופעולות (Master </t>
        </is>
      </c>
      <c r="S286" s="4" t="inlineStr">
        <is>
          <t>A71</t>
        </is>
      </c>
      <c r="T286" s="7">
        <f>HYPERLINK("#'"&amp;R286&amp;"'!"&amp;S286,"➜ פתח")</f>
        <v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inlineStr">
        <is>
          <t>טרנזקציה</t>
        </is>
      </c>
      <c r="O287" s="6" t="inlineStr">
        <is>
          <t>C202</t>
        </is>
      </c>
      <c r="P287" s="4" t="inlineStr">
        <is>
          <t>שיוך חומר למתכון/רשימת פעולות</t>
        </is>
      </c>
      <c r="Q287" s="4" t="inlineStr">
        <is>
          <t>Material to task list assignment</t>
        </is>
      </c>
      <c r="R287" s="4" t="inlineStr">
        <is>
          <t xml:space="preserve">3. מתכון ייצור ופעולות (Master </t>
        </is>
      </c>
      <c r="S287" s="4" t="inlineStr">
        <is>
          <t>A71</t>
        </is>
      </c>
      <c r="T287" s="7">
        <f>HYPERLINK("#'"&amp;R287&amp;"'!"&amp;S287,"➜ פתח")</f>
        <v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inlineStr">
        <is>
          <t>טבלה</t>
        </is>
      </c>
      <c r="O288" s="6" t="inlineStr">
        <is>
          <t>FHMI</t>
        </is>
      </c>
      <c r="P288" s="4" t="inlineStr">
        <is>
          <t>שיוך כלי עזר ייצור (PRT) לפעולה</t>
        </is>
      </c>
      <c r="Q288" s="4" t="inlineStr">
        <is>
          <t>Production resources/tools allocation</t>
        </is>
      </c>
      <c r="R288" s="4" t="inlineStr">
        <is>
          <t xml:space="preserve">3. מתכון ייצור ופעולות (Master </t>
        </is>
      </c>
      <c r="S288" s="4" t="inlineStr">
        <is>
          <t>A77</t>
        </is>
      </c>
      <c r="T288" s="7">
        <f>HYPERLINK("#'"&amp;R288&amp;"'!"&amp;S288,"➜ פתח")</f>
        <v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inlineStr">
        <is>
          <t>שדה</t>
        </is>
      </c>
      <c r="O289" s="6" t="inlineStr">
        <is>
          <t>PLNTY</t>
        </is>
      </c>
      <c r="P289" s="4" t="inlineStr">
        <is>
          <t>סוג רשימה</t>
        </is>
      </c>
      <c r="Q289" s="4" t="inlineStr">
        <is>
          <t>Task list type</t>
        </is>
      </c>
      <c r="R289" s="4" t="inlineStr">
        <is>
          <t xml:space="preserve">3. מתכון ייצור ופעולות (Master </t>
        </is>
      </c>
      <c r="S289" s="4" t="inlineStr">
        <is>
          <t>C78</t>
        </is>
      </c>
      <c r="T289" s="7">
        <f>HYPERLINK("#'"&amp;R289&amp;"'!"&amp;S289,"➜ פתח")</f>
        <v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inlineStr">
        <is>
          <t>שדה</t>
        </is>
      </c>
      <c r="O290" s="6" t="inlineStr">
        <is>
          <t>PLNNR</t>
        </is>
      </c>
      <c r="P290" s="4" t="inlineStr">
        <is>
          <t>קבוצת רשימה</t>
        </is>
      </c>
      <c r="Q290" s="4" t="inlineStr">
        <is>
          <t>Task list group</t>
        </is>
      </c>
      <c r="R290" s="4" t="inlineStr">
        <is>
          <t xml:space="preserve">3. מתכון ייצור ופעולות (Master </t>
        </is>
      </c>
      <c r="S290" s="4" t="inlineStr">
        <is>
          <t>C79</t>
        </is>
      </c>
      <c r="T290" s="7">
        <f>HYPERLINK("#'"&amp;R290&amp;"'!"&amp;S290,"➜ פתח")</f>
        <v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inlineStr">
        <is>
          <t>שדה</t>
        </is>
      </c>
      <c r="O291" s="6" t="inlineStr">
        <is>
          <t>PLNKN</t>
        </is>
      </c>
      <c r="P291" s="4" t="inlineStr">
        <is>
          <t>צומת פעולה</t>
        </is>
      </c>
      <c r="Q291" s="4" t="inlineStr">
        <is>
          <t>Operation node</t>
        </is>
      </c>
      <c r="R291" s="4" t="inlineStr">
        <is>
          <t xml:space="preserve">3. מתכון ייצור ופעולות (Master </t>
        </is>
      </c>
      <c r="S291" s="4" t="inlineStr">
        <is>
          <t>C80</t>
        </is>
      </c>
      <c r="T291" s="7">
        <f>HYPERLINK("#'"&amp;R291&amp;"'!"&amp;S291,"➜ פתח")</f>
        <v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inlineStr">
        <is>
          <t>שדה</t>
        </is>
      </c>
      <c r="O292" s="6" t="inlineStr">
        <is>
          <t>FHMNR</t>
        </is>
      </c>
      <c r="P292" s="4" t="inlineStr">
        <is>
          <t>כלי עזר ייצור</t>
        </is>
      </c>
      <c r="Q292" s="4" t="inlineStr">
        <is>
          <t>PRT (resource/tool)</t>
        </is>
      </c>
      <c r="R292" s="4" t="inlineStr">
        <is>
          <t xml:space="preserve">3. מתכון ייצור ופעולות (Master </t>
        </is>
      </c>
      <c r="S292" s="4" t="inlineStr">
        <is>
          <t>C81</t>
        </is>
      </c>
      <c r="T292" s="7">
        <f>HYPERLINK("#'"&amp;R292&amp;"'!"&amp;S292,"➜ פתח")</f>
        <v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inlineStr">
        <is>
          <t>טרנזקציה</t>
        </is>
      </c>
      <c r="O293" s="6" t="inlineStr">
        <is>
          <t>C202 (PRT)</t>
        </is>
      </c>
      <c r="P293" s="4" t="inlineStr">
        <is>
          <t>שיוך כלי עזר ייצור (PRT) לפעולה</t>
        </is>
      </c>
      <c r="Q293" s="4" t="inlineStr">
        <is>
          <t>Production resources/tools allocation</t>
        </is>
      </c>
      <c r="R293" s="4" t="inlineStr">
        <is>
          <t xml:space="preserve">3. מתכון ייצור ופעולות (Master </t>
        </is>
      </c>
      <c r="S293" s="4" t="inlineStr">
        <is>
          <t>A78</t>
        </is>
      </c>
      <c r="T293" s="7">
        <f>HYPERLINK("#'"&amp;R293&amp;"'!"&amp;S293,"➜ פתח")</f>
        <v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inlineStr">
        <is>
          <t>טבלה</t>
        </is>
      </c>
      <c r="O294" s="6" t="inlineStr">
        <is>
          <t>PLZU</t>
        </is>
      </c>
      <c r="P294" s="4" t="inlineStr">
        <is>
          <t>קישור היסטוריית רשימת פעולות</t>
        </is>
      </c>
      <c r="Q294" s="4" t="inlineStr">
        <is>
          <t>Task list link / history</t>
        </is>
      </c>
      <c r="R294" s="4" t="inlineStr">
        <is>
          <t xml:space="preserve">3. מתכון ייצור ופעולות (Master </t>
        </is>
      </c>
      <c r="S294" s="4" t="inlineStr">
        <is>
          <t>A83</t>
        </is>
      </c>
      <c r="T294" s="7">
        <f>HYPERLINK("#'"&amp;R294&amp;"'!"&amp;S294,"➜ פתח")</f>
        <v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inlineStr">
        <is>
          <t>שדה</t>
        </is>
      </c>
      <c r="O295" s="6" t="inlineStr">
        <is>
          <t>PLNTY</t>
        </is>
      </c>
      <c r="P295" s="4" t="inlineStr">
        <is>
          <t>סוג רשימה</t>
        </is>
      </c>
      <c r="Q295" s="4" t="inlineStr">
        <is>
          <t>Task list type</t>
        </is>
      </c>
      <c r="R295" s="4" t="inlineStr">
        <is>
          <t xml:space="preserve">3. מתכון ייצור ופעולות (Master </t>
        </is>
      </c>
      <c r="S295" s="4" t="inlineStr">
        <is>
          <t>C84</t>
        </is>
      </c>
      <c r="T295" s="7">
        <f>HYPERLINK("#'"&amp;R295&amp;"'!"&amp;S295,"➜ פתח")</f>
        <v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inlineStr">
        <is>
          <t>שדה</t>
        </is>
      </c>
      <c r="O296" s="6" t="inlineStr">
        <is>
          <t>PLNNR</t>
        </is>
      </c>
      <c r="P296" s="4" t="inlineStr">
        <is>
          <t>קבוצת רשימה</t>
        </is>
      </c>
      <c r="Q296" s="4" t="inlineStr">
        <is>
          <t>Task list group</t>
        </is>
      </c>
      <c r="R296" s="4" t="inlineStr">
        <is>
          <t xml:space="preserve">3. מתכון ייצור ופעולות (Master </t>
        </is>
      </c>
      <c r="S296" s="4" t="inlineStr">
        <is>
          <t>C85</t>
        </is>
      </c>
      <c r="T296" s="7">
        <f>HYPERLINK("#'"&amp;R296&amp;"'!"&amp;S296,"➜ פתח")</f>
        <v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inlineStr">
        <is>
          <t>שדה</t>
        </is>
      </c>
      <c r="O297" s="6" t="inlineStr">
        <is>
          <t>AENNR</t>
        </is>
      </c>
      <c r="P297" s="4" t="inlineStr">
        <is>
          <t>מספר שינוי</t>
        </is>
      </c>
      <c r="Q297" s="4" t="inlineStr">
        <is>
          <t>Change number</t>
        </is>
      </c>
      <c r="R297" s="4" t="inlineStr">
        <is>
          <t xml:space="preserve">3. מתכון ייצור ופעולות (Master </t>
        </is>
      </c>
      <c r="S297" s="4" t="inlineStr">
        <is>
          <t>C86</t>
        </is>
      </c>
      <c r="T297" s="7">
        <f>HYPERLINK("#'"&amp;R297&amp;"'!"&amp;S297,"➜ פתח")</f>
        <v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inlineStr">
        <is>
          <t>טרנזקציה</t>
        </is>
      </c>
      <c r="O298" s="6" t="inlineStr">
        <is>
          <t>C202</t>
        </is>
      </c>
      <c r="P298" s="4" t="inlineStr">
        <is>
          <t>קישור היסטוריית רשימת פעולות</t>
        </is>
      </c>
      <c r="Q298" s="4" t="inlineStr">
        <is>
          <t>Task list link / history</t>
        </is>
      </c>
      <c r="R298" s="4" t="inlineStr">
        <is>
          <t xml:space="preserve">3. מתכון ייצור ופעולות (Master </t>
        </is>
      </c>
      <c r="S298" s="4" t="inlineStr">
        <is>
          <t>A84</t>
        </is>
      </c>
      <c r="T298" s="7">
        <f>HYPERLINK("#'"&amp;R298&amp;"'!"&amp;S298,"➜ פתח")</f>
        <v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inlineStr">
        <is>
          <t>טבלה</t>
        </is>
      </c>
      <c r="O299" s="6" t="inlineStr">
        <is>
          <t>TC60</t>
        </is>
      </c>
      <c r="P299" s="4" t="inlineStr">
        <is>
          <t>מאפייני הוראות תהליך (PI)</t>
        </is>
      </c>
      <c r="Q299" s="4" t="inlineStr">
        <is>
          <t>Process instruction characteristics</t>
        </is>
      </c>
      <c r="R299" s="4" t="inlineStr">
        <is>
          <t xml:space="preserve">3. מתכון ייצור ופעולות (Master </t>
        </is>
      </c>
      <c r="S299" s="4" t="inlineStr">
        <is>
          <t>A88</t>
        </is>
      </c>
      <c r="T299" s="7">
        <f>HYPERLINK("#'"&amp;R299&amp;"'!"&amp;S299,"➜ פתח")</f>
        <v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inlineStr">
        <is>
          <t>שדה</t>
        </is>
      </c>
      <c r="O300" s="6" t="inlineStr">
        <is>
          <t>STEUS</t>
        </is>
      </c>
      <c r="P300" s="4" t="inlineStr">
        <is>
          <t>מפתח בקרה</t>
        </is>
      </c>
      <c r="Q300" s="4" t="inlineStr">
        <is>
          <t>Control key</t>
        </is>
      </c>
      <c r="R300" s="4" t="inlineStr">
        <is>
          <t xml:space="preserve">3. מתכון ייצור ופעולות (Master </t>
        </is>
      </c>
      <c r="S300" s="4" t="inlineStr">
        <is>
          <t>C89</t>
        </is>
      </c>
      <c r="T300" s="7">
        <f>HYPERLINK("#'"&amp;R300&amp;"'!"&amp;S300,"➜ פתח")</f>
        <v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inlineStr">
        <is>
          <t>שדה</t>
        </is>
      </c>
      <c r="O301" s="6" t="inlineStr">
        <is>
          <t>PVZNR</t>
        </is>
      </c>
      <c r="P301" s="4" t="inlineStr">
        <is>
          <t>מספר מאפיין PI</t>
        </is>
      </c>
      <c r="Q301" s="4" t="inlineStr">
        <is>
          <t>PI characteristic number</t>
        </is>
      </c>
      <c r="R301" s="4" t="inlineStr">
        <is>
          <t xml:space="preserve">3. מתכון ייצור ופעולות (Master </t>
        </is>
      </c>
      <c r="S301" s="4" t="inlineStr">
        <is>
          <t>C90</t>
        </is>
      </c>
      <c r="T301" s="7">
        <f>HYPERLINK("#'"&amp;R301&amp;"'!"&amp;S301,"➜ פתח")</f>
        <v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inlineStr">
        <is>
          <t>שדה</t>
        </is>
      </c>
      <c r="O302" s="6" t="inlineStr">
        <is>
          <t>ATNAM</t>
        </is>
      </c>
      <c r="P302" s="4" t="inlineStr">
        <is>
          <t>שם מאפיין</t>
        </is>
      </c>
      <c r="Q302" s="4" t="inlineStr">
        <is>
          <t>Characteristic name</t>
        </is>
      </c>
      <c r="R302" s="4" t="inlineStr">
        <is>
          <t xml:space="preserve">3. מתכון ייצור ופעולות (Master </t>
        </is>
      </c>
      <c r="S302" s="4" t="inlineStr">
        <is>
          <t>C91</t>
        </is>
      </c>
      <c r="T302" s="7">
        <f>HYPERLINK("#'"&amp;R302&amp;"'!"&amp;S302,"➜ פתח")</f>
        <v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inlineStr">
        <is>
          <t>טרנזקציה</t>
        </is>
      </c>
      <c r="O303" s="6" t="inlineStr">
        <is>
          <t>O09C</t>
        </is>
      </c>
      <c r="P303" s="4" t="inlineStr">
        <is>
          <t>מאפייני הוראות תהליך (PI)</t>
        </is>
      </c>
      <c r="Q303" s="4" t="inlineStr">
        <is>
          <t>Process instruction characteristics</t>
        </is>
      </c>
      <c r="R303" s="4" t="inlineStr">
        <is>
          <t xml:space="preserve">3. מתכון ייצור ופעולות (Master </t>
        </is>
      </c>
      <c r="S303" s="4" t="inlineStr">
        <is>
          <t>A89</t>
        </is>
      </c>
      <c r="T303" s="7">
        <f>HYPERLINK("#'"&amp;R303&amp;"'!"&amp;S303,"➜ פתח")</f>
        <v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inlineStr">
        <is>
          <t>טרנזקציה</t>
        </is>
      </c>
      <c r="O304" s="6" t="inlineStr">
        <is>
          <t>SPRO</t>
        </is>
      </c>
      <c r="P304" s="4" t="inlineStr">
        <is>
          <t>מאפייני הוראות תהליך (PI)</t>
        </is>
      </c>
      <c r="Q304" s="4" t="inlineStr">
        <is>
          <t>Process instruction characteristics</t>
        </is>
      </c>
      <c r="R304" s="4" t="inlineStr">
        <is>
          <t xml:space="preserve">3. מתכון ייצור ופעולות (Master </t>
        </is>
      </c>
      <c r="S304" s="4" t="inlineStr">
        <is>
          <t>A89</t>
        </is>
      </c>
      <c r="T304" s="7">
        <f>HYPERLINK("#'"&amp;R304&amp;"'!"&amp;S304,"➜ פתח")</f>
        <v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inlineStr">
        <is>
          <t>טבלה</t>
        </is>
      </c>
      <c r="O305" s="6" t="inlineStr">
        <is>
          <t>TCA01</t>
        </is>
      </c>
      <c r="P305" s="4" t="inlineStr">
        <is>
          <t>פרופיל רשימת פעולות (Customizing)</t>
        </is>
      </c>
      <c r="Q305" s="4" t="inlineStr">
        <is>
          <t>Task list profile</t>
        </is>
      </c>
      <c r="R305" s="4" t="inlineStr">
        <is>
          <t xml:space="preserve">3. מתכון ייצור ופעולות (Master </t>
        </is>
      </c>
      <c r="S305" s="4" t="inlineStr">
        <is>
          <t>A93</t>
        </is>
      </c>
      <c r="T305" s="7">
        <f>HYPERLINK("#'"&amp;R305&amp;"'!"&amp;S305,"➜ פתח")</f>
        <v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inlineStr">
        <is>
          <t>שדה</t>
        </is>
      </c>
      <c r="O306" s="6" t="inlineStr">
        <is>
          <t>PROFIDNETZ</t>
        </is>
      </c>
      <c r="P306" s="4" t="inlineStr">
        <is>
          <t>מזהה פרופיל</t>
        </is>
      </c>
      <c r="Q306" s="4" t="inlineStr">
        <is>
          <t>Profile ID</t>
        </is>
      </c>
      <c r="R306" s="4" t="inlineStr">
        <is>
          <t xml:space="preserve">3. מתכון ייצור ופעולות (Master </t>
        </is>
      </c>
      <c r="S306" s="4" t="inlineStr">
        <is>
          <t>C94</t>
        </is>
      </c>
      <c r="T306" s="7">
        <f>HYPERLINK("#'"&amp;R306&amp;"'!"&amp;S306,"➜ פתח")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inlineStr">
        <is>
          <t>שדה</t>
        </is>
      </c>
      <c r="O307" s="6" t="inlineStr">
        <is>
          <t>PLNTY</t>
        </is>
      </c>
      <c r="P307" s="4" t="inlineStr">
        <is>
          <t>סוג רשימה</t>
        </is>
      </c>
      <c r="Q307" s="4" t="inlineStr">
        <is>
          <t>Task list type</t>
        </is>
      </c>
      <c r="R307" s="4" t="inlineStr">
        <is>
          <t xml:space="preserve">3. מתכון ייצור ופעולות (Master </t>
        </is>
      </c>
      <c r="S307" s="4" t="inlineStr">
        <is>
          <t>C95</t>
        </is>
      </c>
      <c r="T307" s="7">
        <f>HYPERLINK("#'"&amp;R307&amp;"'!"&amp;S307,"➜ פתח")</f>
        <v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inlineStr">
        <is>
          <t>שדה</t>
        </is>
      </c>
      <c r="O308" s="6" t="inlineStr">
        <is>
          <t>STEUS</t>
        </is>
      </c>
      <c r="P308" s="4" t="inlineStr">
        <is>
          <t>מפתח בקרה ברירת מחדל</t>
        </is>
      </c>
      <c r="Q308" s="4" t="inlineStr">
        <is>
          <t>Default control key</t>
        </is>
      </c>
      <c r="R308" s="4" t="inlineStr">
        <is>
          <t xml:space="preserve">3. מתכון ייצור ופעולות (Master </t>
        </is>
      </c>
      <c r="S308" s="4" t="inlineStr">
        <is>
          <t>C96</t>
        </is>
      </c>
      <c r="T308" s="7">
        <f>HYPERLINK("#'"&amp;R308&amp;"'!"&amp;S308,"➜ פתח")</f>
        <v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inlineStr">
        <is>
          <t>טרנזקציה</t>
        </is>
      </c>
      <c r="O309" s="6" t="inlineStr">
        <is>
          <t>SPRO</t>
        </is>
      </c>
      <c r="P309" s="4" t="inlineStr">
        <is>
          <t>פרופיל רשימת פעולות (Customizing)</t>
        </is>
      </c>
      <c r="Q309" s="4" t="inlineStr">
        <is>
          <t>Task list profile</t>
        </is>
      </c>
      <c r="R309" s="4" t="inlineStr">
        <is>
          <t xml:space="preserve">3. מתכון ייצור ופעולות (Master </t>
        </is>
      </c>
      <c r="S309" s="4" t="inlineStr">
        <is>
          <t>A94</t>
        </is>
      </c>
      <c r="T309" s="7">
        <f>HYPERLINK("#'"&amp;R309&amp;"'!"&amp;S309,"➜ פתח")</f>
        <v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inlineStr">
        <is>
          <t>טרנזקציה</t>
        </is>
      </c>
      <c r="O310" s="6" t="inlineStr">
        <is>
          <t>C223</t>
        </is>
      </c>
      <c r="P310" s="4" t="inlineStr">
        <is>
          <t>Manage Production Versions</t>
        </is>
      </c>
      <c r="Q310" s="4" t="inlineStr">
        <is>
          <t>F2703</t>
        </is>
      </c>
      <c r="R310" s="4" t="inlineStr">
        <is>
          <t>4. גרסאות ייצור (Production Ver</t>
        </is>
      </c>
      <c r="S310" s="4" t="inlineStr">
        <is>
          <t>A6</t>
        </is>
      </c>
      <c r="T310" s="7">
        <f>HYPERLINK("#'"&amp;R310&amp;"'!"&amp;S310,"➜ פתח")</f>
        <v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inlineStr">
        <is>
          <t>Fiori</t>
        </is>
      </c>
      <c r="O311" s="6" t="inlineStr">
        <is>
          <t>F2703</t>
        </is>
      </c>
      <c r="P311" s="4" t="inlineStr">
        <is>
          <t>Manage Production Versions</t>
        </is>
      </c>
      <c r="Q311" s="4" t="inlineStr"/>
      <c r="R311" s="4" t="inlineStr">
        <is>
          <t>4. גרסאות ייצור (Production Ver</t>
        </is>
      </c>
      <c r="S311" s="4" t="inlineStr">
        <is>
          <t>A6</t>
        </is>
      </c>
      <c r="T311" s="7">
        <f>HYPERLINK("#'"&amp;R311&amp;"'!"&amp;S311,"➜ פתח")</f>
        <v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inlineStr">
        <is>
          <t>טרנזקציה</t>
        </is>
      </c>
      <c r="O312" s="6" t="inlineStr">
        <is>
          <t>MM02</t>
        </is>
      </c>
      <c r="P312" s="4" t="inlineStr">
        <is>
          <t>Manage Product Master Data</t>
        </is>
      </c>
      <c r="Q312" s="4" t="inlineStr">
        <is>
          <t>F1602A</t>
        </is>
      </c>
      <c r="R312" s="4" t="inlineStr">
        <is>
          <t>4. גרסאות ייצור (Production Ver</t>
        </is>
      </c>
      <c r="S312" s="4" t="inlineStr">
        <is>
          <t>A7</t>
        </is>
      </c>
      <c r="T312" s="7">
        <f>HYPERLINK("#'"&amp;R312&amp;"'!"&amp;S312,"➜ פתח")</f>
        <v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inlineStr">
        <is>
          <t>Fiori</t>
        </is>
      </c>
      <c r="O313" s="6" t="inlineStr">
        <is>
          <t>F1602A</t>
        </is>
      </c>
      <c r="P313" s="4" t="inlineStr">
        <is>
          <t>Manage Product Master Data</t>
        </is>
      </c>
      <c r="Q313" s="4" t="inlineStr"/>
      <c r="R313" s="4" t="inlineStr">
        <is>
          <t>4. גרסאות ייצור (Production Ver</t>
        </is>
      </c>
      <c r="S313" s="4" t="inlineStr">
        <is>
          <t>A7</t>
        </is>
      </c>
      <c r="T313" s="7">
        <f>HYPERLINK("#'"&amp;R313&amp;"'!"&amp;S313,"➜ פתח")</f>
        <v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inlineStr">
        <is>
          <t>טרנזקציה</t>
        </is>
      </c>
      <c r="O314" s="6" t="inlineStr">
        <is>
          <t>CC01/CC02</t>
        </is>
      </c>
      <c r="P314" s="4" t="inlineStr">
        <is>
          <t>Manage Change Records</t>
        </is>
      </c>
      <c r="Q314" s="4" t="inlineStr">
        <is>
          <t>-</t>
        </is>
      </c>
      <c r="R314" s="4" t="inlineStr">
        <is>
          <t>4. גרסאות ייצור (Production Ver</t>
        </is>
      </c>
      <c r="S314" s="4" t="inlineStr">
        <is>
          <t>A8</t>
        </is>
      </c>
      <c r="T314" s="7">
        <f>HYPERLINK("#'"&amp;R314&amp;"'!"&amp;S314,"➜ פתח")</f>
        <v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inlineStr">
        <is>
          <t>BAPI</t>
        </is>
      </c>
      <c r="O315" s="6" t="inlineStr">
        <is>
          <t>BAPI_MATERIAL_SAVEDATA (PVERSIONS)</t>
        </is>
      </c>
      <c r="P315" s="4" t="inlineStr">
        <is>
          <t>יצירה/עדכון גרסת ייצור</t>
        </is>
      </c>
      <c r="Q315" s="4" t="inlineStr"/>
      <c r="R315" s="4" t="inlineStr">
        <is>
          <t>4. גרסאות ייצור (Production Ver</t>
        </is>
      </c>
      <c r="S315" s="4" t="inlineStr">
        <is>
          <t>A11</t>
        </is>
      </c>
      <c r="T315" s="7">
        <f>HYPERLINK("#'"&amp;R315&amp;"'!"&amp;S315,"➜ פתח")</f>
        <v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inlineStr">
        <is>
          <t>BAPI</t>
        </is>
      </c>
      <c r="O316" s="6" t="inlineStr">
        <is>
          <t>BAPI_PRODVERS_CREATE_REPLACE</t>
        </is>
      </c>
      <c r="P316" s="4" t="inlineStr">
        <is>
          <t>יצירה/החלפת גרסת ייצור (אמת)</t>
        </is>
      </c>
      <c r="Q316" s="4" t="inlineStr"/>
      <c r="R316" s="4" t="inlineStr">
        <is>
          <t>4. גרסאות ייצור (Production Ver</t>
        </is>
      </c>
      <c r="S316" s="4" t="inlineStr">
        <is>
          <t>A12</t>
        </is>
      </c>
      <c r="T316" s="7">
        <f>HYPERLINK("#'"&amp;R316&amp;"'!"&amp;S316,"➜ פתח")</f>
        <v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inlineStr">
        <is>
          <t>FM</t>
        </is>
      </c>
      <c r="O317" s="6" t="inlineStr">
        <is>
          <t>CM_FV_PROD_VERS_READ</t>
        </is>
      </c>
      <c r="P317" s="4" t="inlineStr">
        <is>
          <t>קריאת גרסאות ייצור לחומר/מפעל</t>
        </is>
      </c>
      <c r="Q317" s="4" t="inlineStr"/>
      <c r="R317" s="4" t="inlineStr">
        <is>
          <t>4. גרסאות ייצור (Production Ver</t>
        </is>
      </c>
      <c r="S317" s="4" t="inlineStr">
        <is>
          <t>A13</t>
        </is>
      </c>
      <c r="T317" s="7">
        <f>HYPERLINK("#'"&amp;R317&amp;"'!"&amp;S317,"➜ פתח")</f>
        <v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inlineStr">
        <is>
          <t>תוכנית</t>
        </is>
      </c>
      <c r="O318" s="6" t="inlineStr">
        <is>
          <t>RCC22300 / RSC22300</t>
        </is>
      </c>
      <c r="P318" s="4" t="inlineStr">
        <is>
          <t>בדיקת עקביות המונית של גרסאות ייצור (Pre-check ל-S/4)</t>
        </is>
      </c>
      <c r="Q318" s="4" t="inlineStr"/>
      <c r="R318" s="4" t="inlineStr">
        <is>
          <t>4. גרסאות ייצור (Production Ver</t>
        </is>
      </c>
      <c r="S318" s="4" t="inlineStr">
        <is>
          <t>A16</t>
        </is>
      </c>
      <c r="T318" s="7">
        <f>HYPERLINK("#'"&amp;R318&amp;"'!"&amp;S318,"➜ פתח")</f>
        <v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inlineStr">
        <is>
          <t>תוכנית</t>
        </is>
      </c>
      <c r="O319" s="6" t="inlineStr">
        <is>
          <t>CS_BD_DIRECT_LINK</t>
        </is>
      </c>
      <c r="P319" s="4" t="inlineStr">
        <is>
          <t>יצירת קישור ישיר BOM&lt;-&gt;Recipe לגרסה</t>
        </is>
      </c>
      <c r="Q319" s="4" t="inlineStr"/>
      <c r="R319" s="4" t="inlineStr">
        <is>
          <t>4. גרסאות ייצור (Production Ver</t>
        </is>
      </c>
      <c r="S319" s="4" t="inlineStr">
        <is>
          <t>A17</t>
        </is>
      </c>
      <c r="T319" s="7">
        <f>HYPERLINK("#'"&amp;R319&amp;"'!"&amp;S319,"➜ פתח")</f>
        <v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inlineStr">
        <is>
          <t>טבלה</t>
        </is>
      </c>
      <c r="O320" s="6" t="inlineStr">
        <is>
          <t>MKAL</t>
        </is>
      </c>
      <c r="P320" s="4" t="inlineStr">
        <is>
          <t>גרסאות ייצור לחומר</t>
        </is>
      </c>
      <c r="Q320" s="4" t="inlineStr">
        <is>
          <t>Production versions for materials</t>
        </is>
      </c>
      <c r="R320" s="4" t="inlineStr">
        <is>
          <t>4. גרסאות ייצור (Production Ver</t>
        </is>
      </c>
      <c r="S320" s="4" t="inlineStr">
        <is>
          <t>A19</t>
        </is>
      </c>
      <c r="T320" s="7">
        <f>HYPERLINK("#'"&amp;R320&amp;"'!"&amp;S320,"➜ פתח")</f>
        <v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inlineStr">
        <is>
          <t>שדה</t>
        </is>
      </c>
      <c r="O321" s="6" t="inlineStr">
        <is>
          <t>MATNR</t>
        </is>
      </c>
      <c r="P321" s="4" t="inlineStr">
        <is>
          <t>מספר חומר</t>
        </is>
      </c>
      <c r="Q321" s="4" t="inlineStr">
        <is>
          <t>Material number</t>
        </is>
      </c>
      <c r="R321" s="4" t="inlineStr">
        <is>
          <t>4. גרסאות ייצור (Production Ver</t>
        </is>
      </c>
      <c r="S321" s="4" t="inlineStr">
        <is>
          <t>C20</t>
        </is>
      </c>
      <c r="T321" s="7">
        <f>HYPERLINK("#'"&amp;R321&amp;"'!"&amp;S321,"➜ פתח")</f>
        <v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inlineStr">
        <is>
          <t>שדה</t>
        </is>
      </c>
      <c r="O322" s="6" t="inlineStr">
        <is>
          <t>WERKS</t>
        </is>
      </c>
      <c r="P322" s="4" t="inlineStr">
        <is>
          <t>מפעל</t>
        </is>
      </c>
      <c r="Q322" s="4" t="inlineStr">
        <is>
          <t>Plant</t>
        </is>
      </c>
      <c r="R322" s="4" t="inlineStr">
        <is>
          <t>4. גרסאות ייצור (Production Ver</t>
        </is>
      </c>
      <c r="S322" s="4" t="inlineStr">
        <is>
          <t>C21</t>
        </is>
      </c>
      <c r="T322" s="7">
        <f>HYPERLINK("#'"&amp;R322&amp;"'!"&amp;S322,"➜ פתח")</f>
        <v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inlineStr">
        <is>
          <t>שדה</t>
        </is>
      </c>
      <c r="O323" s="6" t="inlineStr">
        <is>
          <t>VERID</t>
        </is>
      </c>
      <c r="P323" s="4" t="inlineStr">
        <is>
          <t>מזהה גרסת ייצור</t>
        </is>
      </c>
      <c r="Q323" s="4" t="inlineStr">
        <is>
          <t>Production version</t>
        </is>
      </c>
      <c r="R323" s="4" t="inlineStr">
        <is>
          <t>4. גרסאות ייצור (Production Ver</t>
        </is>
      </c>
      <c r="S323" s="4" t="inlineStr">
        <is>
          <t>C22</t>
        </is>
      </c>
      <c r="T323" s="7">
        <f>HYPERLINK("#'"&amp;R323&amp;"'!"&amp;S323,"➜ פתח")</f>
        <v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inlineStr">
        <is>
          <t>שדה</t>
        </is>
      </c>
      <c r="O324" s="6" t="inlineStr">
        <is>
          <t>TEXT1</t>
        </is>
      </c>
      <c r="P324" s="4" t="inlineStr">
        <is>
          <t>תיאור גרסת ייצור</t>
        </is>
      </c>
      <c r="Q324" s="4" t="inlineStr">
        <is>
          <t>Production version text</t>
        </is>
      </c>
      <c r="R324" s="4" t="inlineStr">
        <is>
          <t>4. גרסאות ייצור (Production Ver</t>
        </is>
      </c>
      <c r="S324" s="4" t="inlineStr">
        <is>
          <t>C23</t>
        </is>
      </c>
      <c r="T324" s="7">
        <f>HYPERLINK("#'"&amp;R324&amp;"'!"&amp;S324,"➜ פתח")</f>
        <v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inlineStr">
        <is>
          <t>שדה</t>
        </is>
      </c>
      <c r="O325" s="6" t="inlineStr">
        <is>
          <t>ADATU</t>
        </is>
      </c>
      <c r="P325" s="4" t="inlineStr">
        <is>
          <t>תקף מ</t>
        </is>
      </c>
      <c r="Q325" s="4" t="inlineStr">
        <is>
          <t>Valid-from date</t>
        </is>
      </c>
      <c r="R325" s="4" t="inlineStr">
        <is>
          <t>4. גרסאות ייצור (Production Ver</t>
        </is>
      </c>
      <c r="S325" s="4" t="inlineStr">
        <is>
          <t>C24</t>
        </is>
      </c>
      <c r="T325" s="7">
        <f>HYPERLINK("#'"&amp;R325&amp;"'!"&amp;S325,"➜ פתח")</f>
        <v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inlineStr">
        <is>
          <t>שדה</t>
        </is>
      </c>
      <c r="O326" s="6" t="inlineStr">
        <is>
          <t>BDATU</t>
        </is>
      </c>
      <c r="P326" s="4" t="inlineStr">
        <is>
          <t>תקף עד</t>
        </is>
      </c>
      <c r="Q326" s="4" t="inlineStr">
        <is>
          <t>Valid-to date</t>
        </is>
      </c>
      <c r="R326" s="4" t="inlineStr">
        <is>
          <t>4. גרסאות ייצור (Production Ver</t>
        </is>
      </c>
      <c r="S326" s="4" t="inlineStr">
        <is>
          <t>C25</t>
        </is>
      </c>
      <c r="T326" s="7">
        <f>HYPERLINK("#'"&amp;R326&amp;"'!"&amp;S326,"➜ פתח")</f>
        <v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inlineStr">
        <is>
          <t>שדה</t>
        </is>
      </c>
      <c r="O327" s="6" t="inlineStr">
        <is>
          <t>BSTMI</t>
        </is>
      </c>
      <c r="P327" s="4" t="inlineStr">
        <is>
          <t>גודל אצווה מ</t>
        </is>
      </c>
      <c r="Q327" s="4" t="inlineStr">
        <is>
          <t>Lot size from</t>
        </is>
      </c>
      <c r="R327" s="4" t="inlineStr">
        <is>
          <t>4. גרסאות ייצור (Production Ver</t>
        </is>
      </c>
      <c r="S327" s="4" t="inlineStr">
        <is>
          <t>C26</t>
        </is>
      </c>
      <c r="T327" s="7">
        <f>HYPERLINK("#'"&amp;R327&amp;"'!"&amp;S327,"➜ פתח")</f>
        <v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inlineStr">
        <is>
          <t>שדה</t>
        </is>
      </c>
      <c r="O328" s="6" t="inlineStr">
        <is>
          <t>BSTMA</t>
        </is>
      </c>
      <c r="P328" s="4" t="inlineStr">
        <is>
          <t>גודל אצווה עד</t>
        </is>
      </c>
      <c r="Q328" s="4" t="inlineStr">
        <is>
          <t>Lot size to</t>
        </is>
      </c>
      <c r="R328" s="4" t="inlineStr">
        <is>
          <t>4. גרסאות ייצור (Production Ver</t>
        </is>
      </c>
      <c r="S328" s="4" t="inlineStr">
        <is>
          <t>C27</t>
        </is>
      </c>
      <c r="T328" s="7">
        <f>HYPERLINK("#'"&amp;R328&amp;"'!"&amp;S328,"➜ פתח")</f>
        <v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inlineStr">
        <is>
          <t>שדה</t>
        </is>
      </c>
      <c r="O329" s="6" t="inlineStr">
        <is>
          <t>STLAL</t>
        </is>
      </c>
      <c r="P329" s="4" t="inlineStr">
        <is>
          <t>חלופת עץ מוצר</t>
        </is>
      </c>
      <c r="Q329" s="4" t="inlineStr">
        <is>
          <t>Alternative BOM</t>
        </is>
      </c>
      <c r="R329" s="4" t="inlineStr">
        <is>
          <t>4. גרסאות ייצור (Production Ver</t>
        </is>
      </c>
      <c r="S329" s="4" t="inlineStr">
        <is>
          <t>C28</t>
        </is>
      </c>
      <c r="T329" s="7">
        <f>HYPERLINK("#'"&amp;R329&amp;"'!"&amp;S329,"➜ פתח")</f>
        <v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inlineStr">
        <is>
          <t>שדה</t>
        </is>
      </c>
      <c r="O330" s="6" t="inlineStr">
        <is>
          <t>STLAN</t>
        </is>
      </c>
      <c r="P330" s="4" t="inlineStr">
        <is>
          <t>שימוש עץ מוצר</t>
        </is>
      </c>
      <c r="Q330" s="4" t="inlineStr">
        <is>
          <t>BOM usage</t>
        </is>
      </c>
      <c r="R330" s="4" t="inlineStr">
        <is>
          <t>4. גרסאות ייצור (Production Ver</t>
        </is>
      </c>
      <c r="S330" s="4" t="inlineStr">
        <is>
          <t>C29</t>
        </is>
      </c>
      <c r="T330" s="7">
        <f>HYPERLINK("#'"&amp;R330&amp;"'!"&amp;S330,"➜ פתח")</f>
        <v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inlineStr">
        <is>
          <t>שדה</t>
        </is>
      </c>
      <c r="O331" s="6" t="inlineStr">
        <is>
          <t>PLNTY</t>
        </is>
      </c>
      <c r="P331" s="4" t="inlineStr">
        <is>
          <t>סוג רשימה</t>
        </is>
      </c>
      <c r="Q331" s="4" t="inlineStr">
        <is>
          <t>Task list type (recipe)</t>
        </is>
      </c>
      <c r="R331" s="4" t="inlineStr">
        <is>
          <t>4. גרסאות ייצור (Production Ver</t>
        </is>
      </c>
      <c r="S331" s="4" t="inlineStr">
        <is>
          <t>C30</t>
        </is>
      </c>
      <c r="T331" s="7">
        <f>HYPERLINK("#'"&amp;R331&amp;"'!"&amp;S331,"➜ פתח")</f>
        <v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inlineStr">
        <is>
          <t>שדה</t>
        </is>
      </c>
      <c r="O332" s="6" t="inlineStr">
        <is>
          <t>PLNNR</t>
        </is>
      </c>
      <c r="P332" s="4" t="inlineStr">
        <is>
          <t>קבוצת מתכון</t>
        </is>
      </c>
      <c r="Q332" s="4" t="inlineStr">
        <is>
          <t>Task list group (recipe)</t>
        </is>
      </c>
      <c r="R332" s="4" t="inlineStr">
        <is>
          <t>4. גרסאות ייצור (Production Ver</t>
        </is>
      </c>
      <c r="S332" s="4" t="inlineStr">
        <is>
          <t>C31</t>
        </is>
      </c>
      <c r="T332" s="7">
        <f>HYPERLINK("#'"&amp;R332&amp;"'!"&amp;S332,"➜ פתח")</f>
        <v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inlineStr">
        <is>
          <t>שדה</t>
        </is>
      </c>
      <c r="O333" s="6" t="inlineStr">
        <is>
          <t>ALNAL</t>
        </is>
      </c>
      <c r="P333" s="4" t="inlineStr">
        <is>
          <t>מונה רשימה</t>
        </is>
      </c>
      <c r="Q333" s="4" t="inlineStr">
        <is>
          <t>Task list group counter</t>
        </is>
      </c>
      <c r="R333" s="4" t="inlineStr">
        <is>
          <t>4. גרסאות ייצור (Production Ver</t>
        </is>
      </c>
      <c r="S333" s="4" t="inlineStr">
        <is>
          <t>C32</t>
        </is>
      </c>
      <c r="T333" s="7">
        <f>HYPERLINK("#'"&amp;R333&amp;"'!"&amp;S333,"➜ פתח")</f>
        <v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inlineStr">
        <is>
          <t>שדה</t>
        </is>
      </c>
      <c r="O334" s="6" t="inlineStr">
        <is>
          <t>MDV01</t>
        </is>
      </c>
      <c r="P334" s="4" t="inlineStr">
        <is>
          <t>קו ייצור / משאב</t>
        </is>
      </c>
      <c r="Q334" s="4" t="inlineStr">
        <is>
          <t>Production line / resource</t>
        </is>
      </c>
      <c r="R334" s="4" t="inlineStr">
        <is>
          <t>4. גרסאות ייצור (Production Ver</t>
        </is>
      </c>
      <c r="S334" s="4" t="inlineStr">
        <is>
          <t>C33</t>
        </is>
      </c>
      <c r="T334" s="7">
        <f>HYPERLINK("#'"&amp;R334&amp;"'!"&amp;S334,"➜ פתח")</f>
        <v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inlineStr">
        <is>
          <t>שדה</t>
        </is>
      </c>
      <c r="O335" s="6" t="inlineStr">
        <is>
          <t>PRFG_NEW</t>
        </is>
      </c>
      <c r="P335" s="4" t="inlineStr">
        <is>
          <t>סטטוס בדיקת תקינות</t>
        </is>
      </c>
      <c r="Q335" s="4" t="inlineStr">
        <is>
          <t>Detailed PV check status</t>
        </is>
      </c>
      <c r="R335" s="4" t="inlineStr">
        <is>
          <t>4. גרסאות ייצור (Production Ver</t>
        </is>
      </c>
      <c r="S335" s="4" t="inlineStr">
        <is>
          <t>C34</t>
        </is>
      </c>
      <c r="T335" s="7">
        <f>HYPERLINK("#'"&amp;R335&amp;"'!"&amp;S335,"➜ פתח")</f>
        <v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inlineStr">
        <is>
          <t>טרנזקציה</t>
        </is>
      </c>
      <c r="O336" s="6" t="inlineStr">
        <is>
          <t>C223</t>
        </is>
      </c>
      <c r="P336" s="4" t="inlineStr">
        <is>
          <t>גרסאות ייצור לחומר</t>
        </is>
      </c>
      <c r="Q336" s="4" t="inlineStr">
        <is>
          <t>Production versions for materials</t>
        </is>
      </c>
      <c r="R336" s="4" t="inlineStr">
        <is>
          <t>4. גרסאות ייצור (Production Ver</t>
        </is>
      </c>
      <c r="S336" s="4" t="inlineStr">
        <is>
          <t>A20</t>
        </is>
      </c>
      <c r="T336" s="7">
        <f>HYPERLINK("#'"&amp;R336&amp;"'!"&amp;S336,"➜ פתח")</f>
        <v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inlineStr">
        <is>
          <t>טרנזקציה</t>
        </is>
      </c>
      <c r="O337" s="6" t="inlineStr">
        <is>
          <t>MM02 (PV)</t>
        </is>
      </c>
      <c r="P337" s="4" t="inlineStr">
        <is>
          <t>גרסאות ייצור לחומר</t>
        </is>
      </c>
      <c r="Q337" s="4" t="inlineStr">
        <is>
          <t>Production versions for materials</t>
        </is>
      </c>
      <c r="R337" s="4" t="inlineStr">
        <is>
          <t>4. גרסאות ייצור (Production Ver</t>
        </is>
      </c>
      <c r="S337" s="4" t="inlineStr">
        <is>
          <t>A20</t>
        </is>
      </c>
      <c r="T337" s="7">
        <f>HYPERLINK("#'"&amp;R337&amp;"'!"&amp;S337,"➜ פתח")</f>
        <v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inlineStr">
        <is>
          <t>טרנזקציה</t>
        </is>
      </c>
      <c r="O338" s="6" t="inlineStr">
        <is>
          <t>CRC1</t>
        </is>
      </c>
      <c r="P338" s="4" t="inlineStr">
        <is>
          <t>Manage Work Centers / Resources</t>
        </is>
      </c>
      <c r="Q338" s="4" t="inlineStr">
        <is>
          <t>F3794</t>
        </is>
      </c>
      <c r="R338" s="4" t="inlineStr">
        <is>
          <t>5. משאבים  מרכזי עבודה (Resourc</t>
        </is>
      </c>
      <c r="S338" s="4" t="inlineStr">
        <is>
          <t>A6</t>
        </is>
      </c>
      <c r="T338" s="7">
        <f>HYPERLINK("#'"&amp;R338&amp;"'!"&amp;S338,"➜ פתח")</f>
        <v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inlineStr">
        <is>
          <t>Fiori</t>
        </is>
      </c>
      <c r="O339" s="6" t="inlineStr">
        <is>
          <t>F3794</t>
        </is>
      </c>
      <c r="P339" s="4" t="inlineStr">
        <is>
          <t>Manage Work Centers / Resources</t>
        </is>
      </c>
      <c r="Q339" s="4" t="inlineStr"/>
      <c r="R339" s="4" t="inlineStr">
        <is>
          <t>5. משאבים  מרכזי עבודה (Resourc</t>
        </is>
      </c>
      <c r="S339" s="4" t="inlineStr">
        <is>
          <t>A6</t>
        </is>
      </c>
      <c r="T339" s="7">
        <f>HYPERLINK("#'"&amp;R339&amp;"'!"&amp;S339,"➜ פתח")</f>
        <v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inlineStr">
        <is>
          <t>טרנזקציה</t>
        </is>
      </c>
      <c r="O340" s="6" t="inlineStr">
        <is>
          <t>CR11</t>
        </is>
      </c>
      <c r="P340" s="4" t="inlineStr">
        <is>
          <t>Manage Capacity</t>
        </is>
      </c>
      <c r="Q340" s="4" t="inlineStr">
        <is>
          <t>-</t>
        </is>
      </c>
      <c r="R340" s="4" t="inlineStr">
        <is>
          <t>5. משאבים  מרכזי עבודה (Resourc</t>
        </is>
      </c>
      <c r="S340" s="4" t="inlineStr">
        <is>
          <t>A7</t>
        </is>
      </c>
      <c r="T340" s="7">
        <f>HYPERLINK("#'"&amp;R340&amp;"'!"&amp;S340,"➜ פתח")</f>
        <v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inlineStr">
        <is>
          <t>טרנזקציה</t>
        </is>
      </c>
      <c r="O341" s="6" t="inlineStr">
        <is>
          <t>KP26</t>
        </is>
      </c>
      <c r="P341" s="4" t="inlineStr">
        <is>
          <t>Manage Cost Rates</t>
        </is>
      </c>
      <c r="Q341" s="4" t="inlineStr">
        <is>
          <t>-</t>
        </is>
      </c>
      <c r="R341" s="4" t="inlineStr">
        <is>
          <t>5. משאבים  מרכזי עבודה (Resourc</t>
        </is>
      </c>
      <c r="S341" s="4" t="inlineStr">
        <is>
          <t>A8</t>
        </is>
      </c>
      <c r="T341" s="7">
        <f>HYPERLINK("#'"&amp;R341&amp;"'!"&amp;S341,"➜ פתח")</f>
        <v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inlineStr">
        <is>
          <t>RFC</t>
        </is>
      </c>
      <c r="O342" s="6" t="inlineStr">
        <is>
          <t>CR_WORK_CENTER_READ</t>
        </is>
      </c>
      <c r="P342" s="4" t="inlineStr">
        <is>
          <t>קריאת נתוני מרכז עבודה/משאב</t>
        </is>
      </c>
      <c r="Q342" s="4" t="inlineStr"/>
      <c r="R342" s="4" t="inlineStr">
        <is>
          <t>5. משאבים  מרכזי עבודה (Resourc</t>
        </is>
      </c>
      <c r="S342" s="4" t="inlineStr">
        <is>
          <t>A11</t>
        </is>
      </c>
      <c r="T342" s="7">
        <f>HYPERLINK("#'"&amp;R342&amp;"'!"&amp;S342,"➜ פתח")</f>
        <v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inlineStr">
        <is>
          <t>FM</t>
        </is>
      </c>
      <c r="O343" s="6" t="inlineStr">
        <is>
          <t>CRAP_WORKCENTER_GET_DETAIL</t>
        </is>
      </c>
      <c r="P343" s="4" t="inlineStr">
        <is>
          <t>שליפת פרטי משאב</t>
        </is>
      </c>
      <c r="Q343" s="4" t="inlineStr"/>
      <c r="R343" s="4" t="inlineStr">
        <is>
          <t>5. משאבים  מרכזי עבודה (Resourc</t>
        </is>
      </c>
      <c r="S343" s="4" t="inlineStr">
        <is>
          <t>A12</t>
        </is>
      </c>
      <c r="T343" s="7">
        <f>HYPERLINK("#'"&amp;R343&amp;"'!"&amp;S343,"➜ פתח")</f>
        <v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inlineStr">
        <is>
          <t>FM</t>
        </is>
      </c>
      <c r="O344" s="6" t="inlineStr">
        <is>
          <t>CY_CAPACITY_LOAD</t>
        </is>
      </c>
      <c r="P344" s="4" t="inlineStr">
        <is>
          <t>חישוב עומס קיבולת</t>
        </is>
      </c>
      <c r="Q344" s="4" t="inlineStr"/>
      <c r="R344" s="4" t="inlineStr">
        <is>
          <t>5. משאבים  מרכזי עבודה (Resourc</t>
        </is>
      </c>
      <c r="S344" s="4" t="inlineStr">
        <is>
          <t>A13</t>
        </is>
      </c>
      <c r="T344" s="7">
        <f>HYPERLINK("#'"&amp;R344&amp;"'!"&amp;S344,"➜ פתח")</f>
        <v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inlineStr">
        <is>
          <t>תוכנית</t>
        </is>
      </c>
      <c r="O345" s="6" t="inlineStr">
        <is>
          <t>RCCRSE00 / CR05</t>
        </is>
      </c>
      <c r="P345" s="4" t="inlineStr">
        <is>
          <t>דוח מרכזי עבודה/משאבים</t>
        </is>
      </c>
      <c r="Q345" s="4" t="inlineStr"/>
      <c r="R345" s="4" t="inlineStr">
        <is>
          <t>5. משאבים  מרכזי עבודה (Resourc</t>
        </is>
      </c>
      <c r="S345" s="4" t="inlineStr">
        <is>
          <t>A16</t>
        </is>
      </c>
      <c r="T345" s="7">
        <f>HYPERLINK("#'"&amp;R345&amp;"'!"&amp;S345,"➜ פתח")</f>
        <v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inlineStr">
        <is>
          <t>תוכנית</t>
        </is>
      </c>
      <c r="O346" s="6" t="inlineStr">
        <is>
          <t>RIABC000</t>
        </is>
      </c>
      <c r="P346" s="4" t="inlineStr">
        <is>
          <t>ניתוח קיבולת / ABC (אמת)</t>
        </is>
      </c>
      <c r="Q346" s="4" t="inlineStr"/>
      <c r="R346" s="4" t="inlineStr">
        <is>
          <t>5. משאבים  מרכזי עבודה (Resourc</t>
        </is>
      </c>
      <c r="S346" s="4" t="inlineStr">
        <is>
          <t>A17</t>
        </is>
      </c>
      <c r="T346" s="7">
        <f>HYPERLINK("#'"&amp;R346&amp;"'!"&amp;S346,"➜ פתח")</f>
        <v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inlineStr">
        <is>
          <t>תוכנית</t>
        </is>
      </c>
      <c r="O347" s="6" t="inlineStr">
        <is>
          <t>RCCYPL00 / CM01</t>
        </is>
      </c>
      <c r="P347" s="4" t="inlineStr">
        <is>
          <t>הערכת עומסי קיבולת</t>
        </is>
      </c>
      <c r="Q347" s="4" t="inlineStr"/>
      <c r="R347" s="4" t="inlineStr">
        <is>
          <t>5. משאבים  מרכזי עבודה (Resourc</t>
        </is>
      </c>
      <c r="S347" s="4" t="inlineStr">
        <is>
          <t>A18</t>
        </is>
      </c>
      <c r="T347" s="7">
        <f>HYPERLINK("#'"&amp;R347&amp;"'!"&amp;S347,"➜ פתח")</f>
        <v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inlineStr">
        <is>
          <t>טבלה</t>
        </is>
      </c>
      <c r="O348" s="6" t="inlineStr">
        <is>
          <t>CRHD</t>
        </is>
      </c>
      <c r="P348" s="4" t="inlineStr">
        <is>
          <t>כותרת משאב / מרכז עבודה</t>
        </is>
      </c>
      <c r="Q348" s="4" t="inlineStr">
        <is>
          <t>Work center / resource header</t>
        </is>
      </c>
      <c r="R348" s="4" t="inlineStr">
        <is>
          <t>5. משאבים  מרכזי עבודה (Resourc</t>
        </is>
      </c>
      <c r="S348" s="4" t="inlineStr">
        <is>
          <t>A20</t>
        </is>
      </c>
      <c r="T348" s="7">
        <f>HYPERLINK("#'"&amp;R348&amp;"'!"&amp;S348,"➜ פתח")</f>
        <v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inlineStr">
        <is>
          <t>שדה</t>
        </is>
      </c>
      <c r="O349" s="6" t="inlineStr">
        <is>
          <t>OBJTY</t>
        </is>
      </c>
      <c r="P349" s="4" t="inlineStr">
        <is>
          <t>סוג אובייקט</t>
        </is>
      </c>
      <c r="Q349" s="4" t="inlineStr">
        <is>
          <t>Object type (A=work center)</t>
        </is>
      </c>
      <c r="R349" s="4" t="inlineStr">
        <is>
          <t>5. משאבים  מרכזי עבודה (Resourc</t>
        </is>
      </c>
      <c r="S349" s="4" t="inlineStr">
        <is>
          <t>C21</t>
        </is>
      </c>
      <c r="T349" s="7">
        <f>HYPERLINK("#'"&amp;R349&amp;"'!"&amp;S349,"➜ פתח")</f>
        <v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inlineStr">
        <is>
          <t>שדה</t>
        </is>
      </c>
      <c r="O350" s="6" t="inlineStr">
        <is>
          <t>OBJID</t>
        </is>
      </c>
      <c r="P350" s="4" t="inlineStr">
        <is>
          <t>מזהה אובייקט</t>
        </is>
      </c>
      <c r="Q350" s="4" t="inlineStr">
        <is>
          <t>Object ID</t>
        </is>
      </c>
      <c r="R350" s="4" t="inlineStr">
        <is>
          <t>5. משאבים  מרכזי עבודה (Resourc</t>
        </is>
      </c>
      <c r="S350" s="4" t="inlineStr">
        <is>
          <t>C22</t>
        </is>
      </c>
      <c r="T350" s="7">
        <f>HYPERLINK("#'"&amp;R350&amp;"'!"&amp;S350,"➜ פתח")</f>
        <v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inlineStr">
        <is>
          <t>שדה</t>
        </is>
      </c>
      <c r="O351" s="6" t="inlineStr">
        <is>
          <t>ARBPL</t>
        </is>
      </c>
      <c r="P351" s="4" t="inlineStr">
        <is>
          <t>קוד משאב</t>
        </is>
      </c>
      <c r="Q351" s="4" t="inlineStr">
        <is>
          <t>Work center / resource code</t>
        </is>
      </c>
      <c r="R351" s="4" t="inlineStr">
        <is>
          <t>5. משאבים  מרכזי עבודה (Resourc</t>
        </is>
      </c>
      <c r="S351" s="4" t="inlineStr">
        <is>
          <t>C23</t>
        </is>
      </c>
      <c r="T351" s="7">
        <f>HYPERLINK("#'"&amp;R351&amp;"'!"&amp;S351,"➜ פתח")</f>
        <v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inlineStr">
        <is>
          <t>שדה</t>
        </is>
      </c>
      <c r="O352" s="6" t="inlineStr">
        <is>
          <t>WERKS</t>
        </is>
      </c>
      <c r="P352" s="4" t="inlineStr">
        <is>
          <t>מפעל</t>
        </is>
      </c>
      <c r="Q352" s="4" t="inlineStr">
        <is>
          <t>Plant</t>
        </is>
      </c>
      <c r="R352" s="4" t="inlineStr">
        <is>
          <t>5. משאבים  מרכזי עבודה (Resourc</t>
        </is>
      </c>
      <c r="S352" s="4" t="inlineStr">
        <is>
          <t>C24</t>
        </is>
      </c>
      <c r="T352" s="7">
        <f>HYPERLINK("#'"&amp;R352&amp;"'!"&amp;S352,"➜ פתח")</f>
        <v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inlineStr">
        <is>
          <t>שדה</t>
        </is>
      </c>
      <c r="O353" s="6" t="inlineStr">
        <is>
          <t>VERWE</t>
        </is>
      </c>
      <c r="P353" s="4" t="inlineStr">
        <is>
          <t>שימוש</t>
        </is>
      </c>
      <c r="Q353" s="4" t="inlineStr">
        <is>
          <t>Usage</t>
        </is>
      </c>
      <c r="R353" s="4" t="inlineStr">
        <is>
          <t>5. משאבים  מרכזי עבודה (Resourc</t>
        </is>
      </c>
      <c r="S353" s="4" t="inlineStr">
        <is>
          <t>C25</t>
        </is>
      </c>
      <c r="T353" s="7">
        <f>HYPERLINK("#'"&amp;R353&amp;"'!"&amp;S353,"➜ פתח")</f>
        <v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inlineStr">
        <is>
          <t>שדה</t>
        </is>
      </c>
      <c r="O354" s="6" t="inlineStr">
        <is>
          <t>VERAN</t>
        </is>
      </c>
      <c r="P354" s="4" t="inlineStr">
        <is>
          <t>אחראי</t>
        </is>
      </c>
      <c r="Q354" s="4" t="inlineStr">
        <is>
          <t>Person responsible</t>
        </is>
      </c>
      <c r="R354" s="4" t="inlineStr">
        <is>
          <t>5. משאבים  מרכזי עבודה (Resourc</t>
        </is>
      </c>
      <c r="S354" s="4" t="inlineStr">
        <is>
          <t>C26</t>
        </is>
      </c>
      <c r="T354" s="7">
        <f>HYPERLINK("#'"&amp;R354&amp;"'!"&amp;S354,"➜ פתח")</f>
        <v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inlineStr">
        <is>
          <t>שדה</t>
        </is>
      </c>
      <c r="O355" s="6" t="inlineStr">
        <is>
          <t>PLANV</t>
        </is>
      </c>
      <c r="P355" s="4" t="inlineStr">
        <is>
          <t>קבוצת מתכנן קיבולת</t>
        </is>
      </c>
      <c r="Q355" s="4" t="inlineStr">
        <is>
          <t>Capacity planner group</t>
        </is>
      </c>
      <c r="R355" s="4" t="inlineStr">
        <is>
          <t>5. משאבים  מרכזי עבודה (Resourc</t>
        </is>
      </c>
      <c r="S355" s="4" t="inlineStr">
        <is>
          <t>C27</t>
        </is>
      </c>
      <c r="T355" s="7">
        <f>HYPERLINK("#'"&amp;R355&amp;"'!"&amp;S355,"➜ פתח")</f>
        <v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inlineStr">
        <is>
          <t>טרנזקציה</t>
        </is>
      </c>
      <c r="O356" s="6" t="inlineStr">
        <is>
          <t>CRC1</t>
        </is>
      </c>
      <c r="P356" s="4" t="inlineStr">
        <is>
          <t>כותרת משאב / מרכז עבודה</t>
        </is>
      </c>
      <c r="Q356" s="4" t="inlineStr">
        <is>
          <t>Work center / resource header</t>
        </is>
      </c>
      <c r="R356" s="4" t="inlineStr">
        <is>
          <t>5. משאבים  מרכזי עבודה (Resourc</t>
        </is>
      </c>
      <c r="S356" s="4" t="inlineStr">
        <is>
          <t>A21</t>
        </is>
      </c>
      <c r="T356" s="7">
        <f>HYPERLINK("#'"&amp;R356&amp;"'!"&amp;S356,"➜ פתח")</f>
        <v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inlineStr">
        <is>
          <t>טרנזקציה</t>
        </is>
      </c>
      <c r="O357" s="6" t="inlineStr">
        <is>
          <t>CRC2</t>
        </is>
      </c>
      <c r="P357" s="4" t="inlineStr">
        <is>
          <t>כותרת משאב / מרכז עבודה</t>
        </is>
      </c>
      <c r="Q357" s="4" t="inlineStr">
        <is>
          <t>Work center / resource header</t>
        </is>
      </c>
      <c r="R357" s="4" t="inlineStr">
        <is>
          <t>5. משאבים  מרכזי עבודה (Resourc</t>
        </is>
      </c>
      <c r="S357" s="4" t="inlineStr">
        <is>
          <t>A21</t>
        </is>
      </c>
      <c r="T357" s="7">
        <f>HYPERLINK("#'"&amp;R357&amp;"'!"&amp;S357,"➜ פתח")</f>
        <v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inlineStr">
        <is>
          <t>טרנזקציה</t>
        </is>
      </c>
      <c r="O358" s="6" t="inlineStr">
        <is>
          <t>CRC3</t>
        </is>
      </c>
      <c r="P358" s="4" t="inlineStr">
        <is>
          <t>כותרת משאב / מרכז עבודה</t>
        </is>
      </c>
      <c r="Q358" s="4" t="inlineStr">
        <is>
          <t>Work center / resource header</t>
        </is>
      </c>
      <c r="R358" s="4" t="inlineStr">
        <is>
          <t>5. משאבים  מרכזי עבודה (Resourc</t>
        </is>
      </c>
      <c r="S358" s="4" t="inlineStr">
        <is>
          <t>A21</t>
        </is>
      </c>
      <c r="T358" s="7">
        <f>HYPERLINK("#'"&amp;R358&amp;"'!"&amp;S358,"➜ פתח")</f>
        <v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inlineStr">
        <is>
          <t>טרנזקציה</t>
        </is>
      </c>
      <c r="O359" s="6" t="inlineStr">
        <is>
          <t>CR01</t>
        </is>
      </c>
      <c r="P359" s="4" t="inlineStr">
        <is>
          <t>כותרת משאב / מרכז עבודה</t>
        </is>
      </c>
      <c r="Q359" s="4" t="inlineStr">
        <is>
          <t>Work center / resource header</t>
        </is>
      </c>
      <c r="R359" s="4" t="inlineStr">
        <is>
          <t>5. משאבים  מרכזי עבודה (Resourc</t>
        </is>
      </c>
      <c r="S359" s="4" t="inlineStr">
        <is>
          <t>A21</t>
        </is>
      </c>
      <c r="T359" s="7">
        <f>HYPERLINK("#'"&amp;R359&amp;"'!"&amp;S359,"➜ פתח")</f>
        <v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inlineStr">
        <is>
          <t>טבלה</t>
        </is>
      </c>
      <c r="O360" s="6" t="inlineStr">
        <is>
          <t>CRTX</t>
        </is>
      </c>
      <c r="P360" s="4" t="inlineStr">
        <is>
          <t>טקסטים של משאב</t>
        </is>
      </c>
      <c r="Q360" s="4" t="inlineStr">
        <is>
          <t>Work center / resource texts</t>
        </is>
      </c>
      <c r="R360" s="4" t="inlineStr">
        <is>
          <t>5. משאבים  מרכזי עבודה (Resourc</t>
        </is>
      </c>
      <c r="S360" s="4" t="inlineStr">
        <is>
          <t>A29</t>
        </is>
      </c>
      <c r="T360" s="7">
        <f>HYPERLINK("#'"&amp;R360&amp;"'!"&amp;S360,"➜ פתח")</f>
        <v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inlineStr">
        <is>
          <t>שדה</t>
        </is>
      </c>
      <c r="O361" s="6" t="inlineStr">
        <is>
          <t>OBJTY</t>
        </is>
      </c>
      <c r="P361" s="4" t="inlineStr">
        <is>
          <t>סוג אובייקט</t>
        </is>
      </c>
      <c r="Q361" s="4" t="inlineStr">
        <is>
          <t>Object type</t>
        </is>
      </c>
      <c r="R361" s="4" t="inlineStr">
        <is>
          <t>5. משאבים  מרכזי עבודה (Resourc</t>
        </is>
      </c>
      <c r="S361" s="4" t="inlineStr">
        <is>
          <t>C30</t>
        </is>
      </c>
      <c r="T361" s="7">
        <f>HYPERLINK("#'"&amp;R361&amp;"'!"&amp;S361,"➜ פתח")</f>
        <v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inlineStr">
        <is>
          <t>שדה</t>
        </is>
      </c>
      <c r="O362" s="6" t="inlineStr">
        <is>
          <t>OBJID</t>
        </is>
      </c>
      <c r="P362" s="4" t="inlineStr">
        <is>
          <t>מזהה אובייקט</t>
        </is>
      </c>
      <c r="Q362" s="4" t="inlineStr">
        <is>
          <t>Object ID</t>
        </is>
      </c>
      <c r="R362" s="4" t="inlineStr">
        <is>
          <t>5. משאבים  מרכזי עבודה (Resourc</t>
        </is>
      </c>
      <c r="S362" s="4" t="inlineStr">
        <is>
          <t>C31</t>
        </is>
      </c>
      <c r="T362" s="7">
        <f>HYPERLINK("#'"&amp;R362&amp;"'!"&amp;S362,"➜ פתח")</f>
        <v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inlineStr">
        <is>
          <t>שדה</t>
        </is>
      </c>
      <c r="O363" s="6" t="inlineStr">
        <is>
          <t>SPRAS</t>
        </is>
      </c>
      <c r="P363" s="4" t="inlineStr">
        <is>
          <t>שפה</t>
        </is>
      </c>
      <c r="Q363" s="4" t="inlineStr">
        <is>
          <t>Language key</t>
        </is>
      </c>
      <c r="R363" s="4" t="inlineStr">
        <is>
          <t>5. משאבים  מרכזי עבודה (Resourc</t>
        </is>
      </c>
      <c r="S363" s="4" t="inlineStr">
        <is>
          <t>C32</t>
        </is>
      </c>
      <c r="T363" s="7">
        <f>HYPERLINK("#'"&amp;R363&amp;"'!"&amp;S363,"➜ פתח")</f>
        <v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inlineStr">
        <is>
          <t>שדה</t>
        </is>
      </c>
      <c r="O364" s="6" t="inlineStr">
        <is>
          <t>KTEXT</t>
        </is>
      </c>
      <c r="P364" s="4" t="inlineStr">
        <is>
          <t>תיאור</t>
        </is>
      </c>
      <c r="Q364" s="4" t="inlineStr">
        <is>
          <t>Description</t>
        </is>
      </c>
      <c r="R364" s="4" t="inlineStr">
        <is>
          <t>5. משאבים  מרכזי עבודה (Resourc</t>
        </is>
      </c>
      <c r="S364" s="4" t="inlineStr">
        <is>
          <t>C33</t>
        </is>
      </c>
      <c r="T364" s="7">
        <f>HYPERLINK("#'"&amp;R364&amp;"'!"&amp;S364,"➜ פתח")</f>
        <v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inlineStr">
        <is>
          <t>טרנזקציה</t>
        </is>
      </c>
      <c r="O365" s="6" t="inlineStr">
        <is>
          <t>CRC2</t>
        </is>
      </c>
      <c r="P365" s="4" t="inlineStr">
        <is>
          <t>טקסטים של משאב</t>
        </is>
      </c>
      <c r="Q365" s="4" t="inlineStr">
        <is>
          <t>Work center / resource texts</t>
        </is>
      </c>
      <c r="R365" s="4" t="inlineStr">
        <is>
          <t>5. משאבים  מרכזי עבודה (Resourc</t>
        </is>
      </c>
      <c r="S365" s="4" t="inlineStr">
        <is>
          <t>A30</t>
        </is>
      </c>
      <c r="T365" s="7">
        <f>HYPERLINK("#'"&amp;R365&amp;"'!"&amp;S365,"➜ פתח")</f>
        <v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inlineStr">
        <is>
          <t>טרנזקציה</t>
        </is>
      </c>
      <c r="O366" s="6" t="inlineStr">
        <is>
          <t>CRC3</t>
        </is>
      </c>
      <c r="P366" s="4" t="inlineStr">
        <is>
          <t>טקסטים של משאב</t>
        </is>
      </c>
      <c r="Q366" s="4" t="inlineStr">
        <is>
          <t>Work center / resource texts</t>
        </is>
      </c>
      <c r="R366" s="4" t="inlineStr">
        <is>
          <t>5. משאבים  מרכזי עבודה (Resourc</t>
        </is>
      </c>
      <c r="S366" s="4" t="inlineStr">
        <is>
          <t>A30</t>
        </is>
      </c>
      <c r="T366" s="7">
        <f>HYPERLINK("#'"&amp;R366&amp;"'!"&amp;S366,"➜ פתח")</f>
        <v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inlineStr">
        <is>
          <t>טבלה</t>
        </is>
      </c>
      <c r="O367" s="6" t="inlineStr">
        <is>
          <t>CRCO</t>
        </is>
      </c>
      <c r="P367" s="4" t="inlineStr">
        <is>
          <t>שיוך משאב למרכז עלות</t>
        </is>
      </c>
      <c r="Q367" s="4" t="inlineStr">
        <is>
          <t>Work center to cost center assignment</t>
        </is>
      </c>
      <c r="R367" s="4" t="inlineStr">
        <is>
          <t>5. משאבים  מרכזי עבודה (Resourc</t>
        </is>
      </c>
      <c r="S367" s="4" t="inlineStr">
        <is>
          <t>A35</t>
        </is>
      </c>
      <c r="T367" s="7">
        <f>HYPERLINK("#'"&amp;R367&amp;"'!"&amp;S367,"➜ פתח")</f>
        <v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inlineStr">
        <is>
          <t>שדה</t>
        </is>
      </c>
      <c r="O368" s="6" t="inlineStr">
        <is>
          <t>OBJTY</t>
        </is>
      </c>
      <c r="P368" s="4" t="inlineStr">
        <is>
          <t>סוג אובייקט</t>
        </is>
      </c>
      <c r="Q368" s="4" t="inlineStr">
        <is>
          <t>Object type</t>
        </is>
      </c>
      <c r="R368" s="4" t="inlineStr">
        <is>
          <t>5. משאבים  מרכזי עבודה (Resourc</t>
        </is>
      </c>
      <c r="S368" s="4" t="inlineStr">
        <is>
          <t>C36</t>
        </is>
      </c>
      <c r="T368" s="7">
        <f>HYPERLINK("#'"&amp;R368&amp;"'!"&amp;S368,"➜ פתח")</f>
        <v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inlineStr">
        <is>
          <t>שדה</t>
        </is>
      </c>
      <c r="O369" s="6" t="inlineStr">
        <is>
          <t>OBJID</t>
        </is>
      </c>
      <c r="P369" s="4" t="inlineStr">
        <is>
          <t>מזהה אובייקט</t>
        </is>
      </c>
      <c r="Q369" s="4" t="inlineStr">
        <is>
          <t>Object ID</t>
        </is>
      </c>
      <c r="R369" s="4" t="inlineStr">
        <is>
          <t>5. משאבים  מרכזי עבודה (Resourc</t>
        </is>
      </c>
      <c r="S369" s="4" t="inlineStr">
        <is>
          <t>C37</t>
        </is>
      </c>
      <c r="T369" s="7">
        <f>HYPERLINK("#'"&amp;R369&amp;"'!"&amp;S369,"➜ פתח")</f>
        <v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inlineStr">
        <is>
          <t>שדה</t>
        </is>
      </c>
      <c r="O370" s="6" t="inlineStr">
        <is>
          <t>LANUM</t>
        </is>
      </c>
      <c r="P370" s="4" t="inlineStr">
        <is>
          <t>מספר רצף</t>
        </is>
      </c>
      <c r="Q370" s="4" t="inlineStr">
        <is>
          <t>Sequence number</t>
        </is>
      </c>
      <c r="R370" s="4" t="inlineStr">
        <is>
          <t>5. משאבים  מרכזי עבודה (Resourc</t>
        </is>
      </c>
      <c r="S370" s="4" t="inlineStr">
        <is>
          <t>C38</t>
        </is>
      </c>
      <c r="T370" s="7">
        <f>HYPERLINK("#'"&amp;R370&amp;"'!"&amp;S370,"➜ פתח")</f>
        <v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inlineStr">
        <is>
          <t>שדה</t>
        </is>
      </c>
      <c r="O371" s="6" t="inlineStr">
        <is>
          <t>KOKRS</t>
        </is>
      </c>
      <c r="P371" s="4" t="inlineStr">
        <is>
          <t>אזור בקרה</t>
        </is>
      </c>
      <c r="Q371" s="4" t="inlineStr">
        <is>
          <t>Controlling area</t>
        </is>
      </c>
      <c r="R371" s="4" t="inlineStr">
        <is>
          <t>5. משאבים  מרכזי עבודה (Resourc</t>
        </is>
      </c>
      <c r="S371" s="4" t="inlineStr">
        <is>
          <t>C39</t>
        </is>
      </c>
      <c r="T371" s="7">
        <f>HYPERLINK("#'"&amp;R371&amp;"'!"&amp;S371,"➜ פתח")</f>
        <v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inlineStr">
        <is>
          <t>שדה</t>
        </is>
      </c>
      <c r="O372" s="6" t="inlineStr">
        <is>
          <t>KOSTL</t>
        </is>
      </c>
      <c r="P372" s="4" t="inlineStr">
        <is>
          <t>מרכז עלות</t>
        </is>
      </c>
      <c r="Q372" s="4" t="inlineStr">
        <is>
          <t>Cost center</t>
        </is>
      </c>
      <c r="R372" s="4" t="inlineStr">
        <is>
          <t>5. משאבים  מרכזי עבודה (Resourc</t>
        </is>
      </c>
      <c r="S372" s="4" t="inlineStr">
        <is>
          <t>C40</t>
        </is>
      </c>
      <c r="T372" s="7">
        <f>HYPERLINK("#'"&amp;R372&amp;"'!"&amp;S372,"➜ פתח")</f>
        <v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inlineStr">
        <is>
          <t>שדה</t>
        </is>
      </c>
      <c r="O373" s="6" t="inlineStr">
        <is>
          <t>LSTAR</t>
        </is>
      </c>
      <c r="P373" s="4" t="inlineStr">
        <is>
          <t>סוג פעילות</t>
        </is>
      </c>
      <c r="Q373" s="4" t="inlineStr">
        <is>
          <t>Activity type</t>
        </is>
      </c>
      <c r="R373" s="4" t="inlineStr">
        <is>
          <t>5. משאבים  מרכזי עבודה (Resourc</t>
        </is>
      </c>
      <c r="S373" s="4" t="inlineStr">
        <is>
          <t>C41</t>
        </is>
      </c>
      <c r="T373" s="7">
        <f>HYPERLINK("#'"&amp;R373&amp;"'!"&amp;S373,"➜ פתח")</f>
        <v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inlineStr">
        <is>
          <t>טרנזקציה</t>
        </is>
      </c>
      <c r="O374" s="6" t="inlineStr">
        <is>
          <t>CRC2 (Costing)</t>
        </is>
      </c>
      <c r="P374" s="4" t="inlineStr">
        <is>
          <t>שיוך משאב למרכז עלות</t>
        </is>
      </c>
      <c r="Q374" s="4" t="inlineStr">
        <is>
          <t>Work center to cost center assignment</t>
        </is>
      </c>
      <c r="R374" s="4" t="inlineStr">
        <is>
          <t>5. משאבים  מרכזי עבודה (Resourc</t>
        </is>
      </c>
      <c r="S374" s="4" t="inlineStr">
        <is>
          <t>A36</t>
        </is>
      </c>
      <c r="T374" s="7">
        <f>HYPERLINK("#'"&amp;R374&amp;"'!"&amp;S374,"➜ פתח")</f>
        <v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inlineStr">
        <is>
          <t>טבלה</t>
        </is>
      </c>
      <c r="O375" s="6" t="inlineStr">
        <is>
          <t>CRCA</t>
        </is>
      </c>
      <c r="P375" s="4" t="inlineStr">
        <is>
          <t>הקצאת קיבולת למשאב</t>
        </is>
      </c>
      <c r="Q375" s="4" t="inlineStr">
        <is>
          <t>Work center capacity allocation</t>
        </is>
      </c>
      <c r="R375" s="4" t="inlineStr">
        <is>
          <t>5. משאבים  מרכזי עבודה (Resourc</t>
        </is>
      </c>
      <c r="S375" s="4" t="inlineStr">
        <is>
          <t>A43</t>
        </is>
      </c>
      <c r="T375" s="7">
        <f>HYPERLINK("#'"&amp;R375&amp;"'!"&amp;S375,"➜ פתח")</f>
        <v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inlineStr">
        <is>
          <t>שדה</t>
        </is>
      </c>
      <c r="O376" s="6" t="inlineStr">
        <is>
          <t>OBJTY</t>
        </is>
      </c>
      <c r="P376" s="4" t="inlineStr">
        <is>
          <t>סוג אובייקט</t>
        </is>
      </c>
      <c r="Q376" s="4" t="inlineStr">
        <is>
          <t>Object type</t>
        </is>
      </c>
      <c r="R376" s="4" t="inlineStr">
        <is>
          <t>5. משאבים  מרכזי עבודה (Resourc</t>
        </is>
      </c>
      <c r="S376" s="4" t="inlineStr">
        <is>
          <t>C44</t>
        </is>
      </c>
      <c r="T376" s="7">
        <f>HYPERLINK("#'"&amp;R376&amp;"'!"&amp;S376,"➜ פתח")</f>
        <v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inlineStr">
        <is>
          <t>שדה</t>
        </is>
      </c>
      <c r="O377" s="6" t="inlineStr">
        <is>
          <t>OBJID</t>
        </is>
      </c>
      <c r="P377" s="4" t="inlineStr">
        <is>
          <t>מזהה אובייקט</t>
        </is>
      </c>
      <c r="Q377" s="4" t="inlineStr">
        <is>
          <t>Object ID</t>
        </is>
      </c>
      <c r="R377" s="4" t="inlineStr">
        <is>
          <t>5. משאבים  מרכזי עבודה (Resourc</t>
        </is>
      </c>
      <c r="S377" s="4" t="inlineStr">
        <is>
          <t>C45</t>
        </is>
      </c>
      <c r="T377" s="7">
        <f>HYPERLINK("#'"&amp;R377&amp;"'!"&amp;S377,"➜ פתח")</f>
        <v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inlineStr">
        <is>
          <t>שדה</t>
        </is>
      </c>
      <c r="O378" s="6" t="inlineStr">
        <is>
          <t>CAPID</t>
        </is>
      </c>
      <c r="P378" s="4" t="inlineStr">
        <is>
          <t>קטגוריית קיבולת</t>
        </is>
      </c>
      <c r="Q378" s="4" t="inlineStr">
        <is>
          <t>Capacity category</t>
        </is>
      </c>
      <c r="R378" s="4" t="inlineStr">
        <is>
          <t>5. משאבים  מרכזי עבודה (Resourc</t>
        </is>
      </c>
      <c r="S378" s="4" t="inlineStr">
        <is>
          <t>C46</t>
        </is>
      </c>
      <c r="T378" s="7">
        <f>HYPERLINK("#'"&amp;R378&amp;"'!"&amp;S378,"➜ פתח")</f>
        <v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inlineStr">
        <is>
          <t>שדה</t>
        </is>
      </c>
      <c r="O379" s="6" t="inlineStr">
        <is>
          <t>KAPID</t>
        </is>
      </c>
      <c r="P379" s="4" t="inlineStr">
        <is>
          <t>מזהה קיבולת</t>
        </is>
      </c>
      <c r="Q379" s="4" t="inlineStr">
        <is>
          <t>Capacity ID</t>
        </is>
      </c>
      <c r="R379" s="4" t="inlineStr">
        <is>
          <t>5. משאבים  מרכזי עבודה (Resourc</t>
        </is>
      </c>
      <c r="S379" s="4" t="inlineStr">
        <is>
          <t>C47</t>
        </is>
      </c>
      <c r="T379" s="7">
        <f>HYPERLINK("#'"&amp;R379&amp;"'!"&amp;S379,"➜ פתח")</f>
        <v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inlineStr">
        <is>
          <t>טרנזקציה</t>
        </is>
      </c>
      <c r="O380" s="6" t="inlineStr">
        <is>
          <t>CR11</t>
        </is>
      </c>
      <c r="P380" s="4" t="inlineStr">
        <is>
          <t>הקצאת קיבולת למשאב</t>
        </is>
      </c>
      <c r="Q380" s="4" t="inlineStr">
        <is>
          <t>Work center capacity allocation</t>
        </is>
      </c>
      <c r="R380" s="4" t="inlineStr">
        <is>
          <t>5. משאבים  מרכזי עבודה (Resourc</t>
        </is>
      </c>
      <c r="S380" s="4" t="inlineStr">
        <is>
          <t>A44</t>
        </is>
      </c>
      <c r="T380" s="7">
        <f>HYPERLINK("#'"&amp;R380&amp;"'!"&amp;S380,"➜ פתח")</f>
        <v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inlineStr">
        <is>
          <t>טרנזקציה</t>
        </is>
      </c>
      <c r="O381" s="6" t="inlineStr">
        <is>
          <t>CR12</t>
        </is>
      </c>
      <c r="P381" s="4" t="inlineStr">
        <is>
          <t>הקצאת קיבולת למשאב</t>
        </is>
      </c>
      <c r="Q381" s="4" t="inlineStr">
        <is>
          <t>Work center capacity allocation</t>
        </is>
      </c>
      <c r="R381" s="4" t="inlineStr">
        <is>
          <t>5. משאבים  מרכזי עבודה (Resourc</t>
        </is>
      </c>
      <c r="S381" s="4" t="inlineStr">
        <is>
          <t>A44</t>
        </is>
      </c>
      <c r="T381" s="7">
        <f>HYPERLINK("#'"&amp;R381&amp;"'!"&amp;S381,"➜ פתח")</f>
        <v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inlineStr">
        <is>
          <t>טרנזקציה</t>
        </is>
      </c>
      <c r="O382" s="6" t="inlineStr">
        <is>
          <t>CRC2</t>
        </is>
      </c>
      <c r="P382" s="4" t="inlineStr">
        <is>
          <t>הקצאת קיבולת למשאב</t>
        </is>
      </c>
      <c r="Q382" s="4" t="inlineStr">
        <is>
          <t>Work center capacity allocation</t>
        </is>
      </c>
      <c r="R382" s="4" t="inlineStr">
        <is>
          <t>5. משאבים  מרכזי עבודה (Resourc</t>
        </is>
      </c>
      <c r="S382" s="4" t="inlineStr">
        <is>
          <t>A44</t>
        </is>
      </c>
      <c r="T382" s="7">
        <f>HYPERLINK("#'"&amp;R382&amp;"'!"&amp;S382,"➜ פתח")</f>
        <v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inlineStr">
        <is>
          <t>טבלה</t>
        </is>
      </c>
      <c r="O383" s="6" t="inlineStr">
        <is>
          <t>KAKO</t>
        </is>
      </c>
      <c r="P383" s="4" t="inlineStr">
        <is>
          <t>כותרת קיבולת</t>
        </is>
      </c>
      <c r="Q383" s="4" t="inlineStr">
        <is>
          <t>Capacity header</t>
        </is>
      </c>
      <c r="R383" s="4" t="inlineStr">
        <is>
          <t>5. משאבים  מרכזי עבודה (Resourc</t>
        </is>
      </c>
      <c r="S383" s="4" t="inlineStr">
        <is>
          <t>A49</t>
        </is>
      </c>
      <c r="T383" s="7">
        <f>HYPERLINK("#'"&amp;R383&amp;"'!"&amp;S383,"➜ פתח")</f>
        <v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inlineStr">
        <is>
          <t>שדה</t>
        </is>
      </c>
      <c r="O384" s="6" t="inlineStr">
        <is>
          <t>KAPID</t>
        </is>
      </c>
      <c r="P384" s="4" t="inlineStr">
        <is>
          <t>מזהה קיבולת</t>
        </is>
      </c>
      <c r="Q384" s="4" t="inlineStr">
        <is>
          <t>Capacity ID</t>
        </is>
      </c>
      <c r="R384" s="4" t="inlineStr">
        <is>
          <t>5. משאבים  מרכזי עבודה (Resourc</t>
        </is>
      </c>
      <c r="S384" s="4" t="inlineStr">
        <is>
          <t>C50</t>
        </is>
      </c>
      <c r="T384" s="7">
        <f>HYPERLINK("#'"&amp;R384&amp;"'!"&amp;S384,"➜ פתח")</f>
        <v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inlineStr">
        <is>
          <t>שדה</t>
        </is>
      </c>
      <c r="O385" s="6" t="inlineStr">
        <is>
          <t>KAPAR</t>
        </is>
      </c>
      <c r="P385" s="4" t="inlineStr">
        <is>
          <t>קטגוריית קיבולת</t>
        </is>
      </c>
      <c r="Q385" s="4" t="inlineStr">
        <is>
          <t>Capacity category</t>
        </is>
      </c>
      <c r="R385" s="4" t="inlineStr">
        <is>
          <t>5. משאבים  מרכזי עבודה (Resourc</t>
        </is>
      </c>
      <c r="S385" s="4" t="inlineStr">
        <is>
          <t>C51</t>
        </is>
      </c>
      <c r="T385" s="7">
        <f>HYPERLINK("#'"&amp;R385&amp;"'!"&amp;S385,"➜ פתח")</f>
        <v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inlineStr">
        <is>
          <t>שדה</t>
        </is>
      </c>
      <c r="O386" s="6" t="inlineStr">
        <is>
          <t>AZNOR</t>
        </is>
      </c>
      <c r="P386" s="4" t="inlineStr">
        <is>
          <t>מספר יחידות קיבולת</t>
        </is>
      </c>
      <c r="Q386" s="4" t="inlineStr">
        <is>
          <t>Number of individual capacities</t>
        </is>
      </c>
      <c r="R386" s="4" t="inlineStr">
        <is>
          <t>5. משאבים  מרכזי עבודה (Resourc</t>
        </is>
      </c>
      <c r="S386" s="4" t="inlineStr">
        <is>
          <t>C52</t>
        </is>
      </c>
      <c r="T386" s="7">
        <f>HYPERLINK("#'"&amp;R386&amp;"'!"&amp;S386,"➜ פתח")</f>
        <v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inlineStr">
        <is>
          <t>שדה</t>
        </is>
      </c>
      <c r="O387" s="6" t="inlineStr">
        <is>
          <t>NGRAD</t>
        </is>
      </c>
      <c r="P387" s="4" t="inlineStr">
        <is>
          <t>ניצולת קיבולת</t>
        </is>
      </c>
      <c r="Q387" s="4" t="inlineStr">
        <is>
          <t>Capacity utilization (%)</t>
        </is>
      </c>
      <c r="R387" s="4" t="inlineStr">
        <is>
          <t>5. משאבים  מרכזי עבודה (Resourc</t>
        </is>
      </c>
      <c r="S387" s="4" t="inlineStr">
        <is>
          <t>C53</t>
        </is>
      </c>
      <c r="T387" s="7">
        <f>HYPERLINK("#'"&amp;R387&amp;"'!"&amp;S387,"➜ פתח")</f>
        <v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inlineStr">
        <is>
          <t>טרנזקציה</t>
        </is>
      </c>
      <c r="O388" s="6" t="inlineStr">
        <is>
          <t>CR11</t>
        </is>
      </c>
      <c r="P388" s="4" t="inlineStr">
        <is>
          <t>כותרת קיבולת</t>
        </is>
      </c>
      <c r="Q388" s="4" t="inlineStr">
        <is>
          <t>Capacity header</t>
        </is>
      </c>
      <c r="R388" s="4" t="inlineStr">
        <is>
          <t>5. משאבים  מרכזי עבודה (Resourc</t>
        </is>
      </c>
      <c r="S388" s="4" t="inlineStr">
        <is>
          <t>A50</t>
        </is>
      </c>
      <c r="T388" s="7">
        <f>HYPERLINK("#'"&amp;R388&amp;"'!"&amp;S388,"➜ פתח")</f>
        <v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inlineStr">
        <is>
          <t>טרנזקציה</t>
        </is>
      </c>
      <c r="O389" s="6" t="inlineStr">
        <is>
          <t>CR12</t>
        </is>
      </c>
      <c r="P389" s="4" t="inlineStr">
        <is>
          <t>כותרת קיבולת</t>
        </is>
      </c>
      <c r="Q389" s="4" t="inlineStr">
        <is>
          <t>Capacity header</t>
        </is>
      </c>
      <c r="R389" s="4" t="inlineStr">
        <is>
          <t>5. משאבים  מרכזי עבודה (Resourc</t>
        </is>
      </c>
      <c r="S389" s="4" t="inlineStr">
        <is>
          <t>A50</t>
        </is>
      </c>
      <c r="T389" s="7">
        <f>HYPERLINK("#'"&amp;R389&amp;"'!"&amp;S389,"➜ פתח")</f>
        <v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inlineStr">
        <is>
          <t>טרנזקציה</t>
        </is>
      </c>
      <c r="O390" s="6" t="inlineStr">
        <is>
          <t>CR13</t>
        </is>
      </c>
      <c r="P390" s="4" t="inlineStr">
        <is>
          <t>כותרת קיבולת</t>
        </is>
      </c>
      <c r="Q390" s="4" t="inlineStr">
        <is>
          <t>Capacity header</t>
        </is>
      </c>
      <c r="R390" s="4" t="inlineStr">
        <is>
          <t>5. משאבים  מרכזי עבודה (Resourc</t>
        </is>
      </c>
      <c r="S390" s="4" t="inlineStr">
        <is>
          <t>A50</t>
        </is>
      </c>
      <c r="T390" s="7">
        <f>HYPERLINK("#'"&amp;R390&amp;"'!"&amp;S390,"➜ פתח")</f>
        <v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inlineStr">
        <is>
          <t>טבלה</t>
        </is>
      </c>
      <c r="O391" s="6" t="inlineStr">
        <is>
          <t>CRFH</t>
        </is>
      </c>
      <c r="P391" s="4" t="inlineStr">
        <is>
          <t>אב כלי עזר ייצור (PRT)</t>
        </is>
      </c>
      <c r="Q391" s="4" t="inlineStr">
        <is>
          <t>Production resource/tool master</t>
        </is>
      </c>
      <c r="R391" s="4" t="inlineStr">
        <is>
          <t>5. משאבים  מרכזי עבודה (Resourc</t>
        </is>
      </c>
      <c r="S391" s="4" t="inlineStr">
        <is>
          <t>A55</t>
        </is>
      </c>
      <c r="T391" s="7">
        <f>HYPERLINK("#'"&amp;R391&amp;"'!"&amp;S391,"➜ פתח")</f>
        <v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inlineStr">
        <is>
          <t>שדה</t>
        </is>
      </c>
      <c r="O392" s="6" t="inlineStr">
        <is>
          <t>OBJTY</t>
        </is>
      </c>
      <c r="P392" s="4" t="inlineStr">
        <is>
          <t>סוג אובייקט</t>
        </is>
      </c>
      <c r="Q392" s="4" t="inlineStr">
        <is>
          <t>Object type (F=PRT)</t>
        </is>
      </c>
      <c r="R392" s="4" t="inlineStr">
        <is>
          <t>5. משאבים  מרכזי עבודה (Resourc</t>
        </is>
      </c>
      <c r="S392" s="4" t="inlineStr">
        <is>
          <t>C56</t>
        </is>
      </c>
      <c r="T392" s="7">
        <f>HYPERLINK("#'"&amp;R392&amp;"'!"&amp;S392,"➜ פתח")</f>
        <v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inlineStr">
        <is>
          <t>שדה</t>
        </is>
      </c>
      <c r="O393" s="6" t="inlineStr">
        <is>
          <t>OBJID</t>
        </is>
      </c>
      <c r="P393" s="4" t="inlineStr">
        <is>
          <t>מזהה אובייקט</t>
        </is>
      </c>
      <c r="Q393" s="4" t="inlineStr">
        <is>
          <t>Object ID</t>
        </is>
      </c>
      <c r="R393" s="4" t="inlineStr">
        <is>
          <t>5. משאבים  מרכזי עבודה (Resourc</t>
        </is>
      </c>
      <c r="S393" s="4" t="inlineStr">
        <is>
          <t>C57</t>
        </is>
      </c>
      <c r="T393" s="7">
        <f>HYPERLINK("#'"&amp;R393&amp;"'!"&amp;S393,"➜ פתח")</f>
        <v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inlineStr">
        <is>
          <t>שדה</t>
        </is>
      </c>
      <c r="O394" s="6" t="inlineStr">
        <is>
          <t>FHMNR</t>
        </is>
      </c>
      <c r="P394" s="4" t="inlineStr">
        <is>
          <t>מספר כלי עזר</t>
        </is>
      </c>
      <c r="Q394" s="4" t="inlineStr">
        <is>
          <t>PRT number</t>
        </is>
      </c>
      <c r="R394" s="4" t="inlineStr">
        <is>
          <t>5. משאבים  מרכזי עבודה (Resourc</t>
        </is>
      </c>
      <c r="S394" s="4" t="inlineStr">
        <is>
          <t>C58</t>
        </is>
      </c>
      <c r="T394" s="7">
        <f>HYPERLINK("#'"&amp;R394&amp;"'!"&amp;S394,"➜ פתח")</f>
        <v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inlineStr">
        <is>
          <t>שדה</t>
        </is>
      </c>
      <c r="O395" s="6" t="inlineStr">
        <is>
          <t>FHMART</t>
        </is>
      </c>
      <c r="P395" s="4" t="inlineStr">
        <is>
          <t>קטגוריית כלי עזר</t>
        </is>
      </c>
      <c r="Q395" s="4" t="inlineStr">
        <is>
          <t>PRT category</t>
        </is>
      </c>
      <c r="R395" s="4" t="inlineStr">
        <is>
          <t>5. משאבים  מרכזי עבודה (Resourc</t>
        </is>
      </c>
      <c r="S395" s="4" t="inlineStr">
        <is>
          <t>C59</t>
        </is>
      </c>
      <c r="T395" s="7">
        <f>HYPERLINK("#'"&amp;R395&amp;"'!"&amp;S395,"➜ פתח")</f>
        <v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inlineStr">
        <is>
          <t>טרנזקציה</t>
        </is>
      </c>
      <c r="O396" s="6" t="inlineStr">
        <is>
          <t>CF01</t>
        </is>
      </c>
      <c r="P396" s="4" t="inlineStr">
        <is>
          <t>אב כלי עזר ייצור (PRT)</t>
        </is>
      </c>
      <c r="Q396" s="4" t="inlineStr">
        <is>
          <t>Production resource/tool master</t>
        </is>
      </c>
      <c r="R396" s="4" t="inlineStr">
        <is>
          <t>5. משאבים  מרכזי עבודה (Resourc</t>
        </is>
      </c>
      <c r="S396" s="4" t="inlineStr">
        <is>
          <t>A56</t>
        </is>
      </c>
      <c r="T396" s="7">
        <f>HYPERLINK("#'"&amp;R396&amp;"'!"&amp;S396,"➜ פתח")</f>
        <v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inlineStr">
        <is>
          <t>טרנזקציה</t>
        </is>
      </c>
      <c r="O397" s="6" t="inlineStr">
        <is>
          <t>CF02</t>
        </is>
      </c>
      <c r="P397" s="4" t="inlineStr">
        <is>
          <t>אב כלי עזר ייצור (PRT)</t>
        </is>
      </c>
      <c r="Q397" s="4" t="inlineStr">
        <is>
          <t>Production resource/tool master</t>
        </is>
      </c>
      <c r="R397" s="4" t="inlineStr">
        <is>
          <t>5. משאבים  מרכזי עבודה (Resourc</t>
        </is>
      </c>
      <c r="S397" s="4" t="inlineStr">
        <is>
          <t>A56</t>
        </is>
      </c>
      <c r="T397" s="7">
        <f>HYPERLINK("#'"&amp;R397&amp;"'!"&amp;S397,"➜ פתח")</f>
        <v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inlineStr">
        <is>
          <t>טרנזקציה</t>
        </is>
      </c>
      <c r="O398" s="6" t="inlineStr">
        <is>
          <t>CF03</t>
        </is>
      </c>
      <c r="P398" s="4" t="inlineStr">
        <is>
          <t>אב כלי עזר ייצור (PRT)</t>
        </is>
      </c>
      <c r="Q398" s="4" t="inlineStr">
        <is>
          <t>Production resource/tool master</t>
        </is>
      </c>
      <c r="R398" s="4" t="inlineStr">
        <is>
          <t>5. משאבים  מרכזי עבודה (Resourc</t>
        </is>
      </c>
      <c r="S398" s="4" t="inlineStr">
        <is>
          <t>A56</t>
        </is>
      </c>
      <c r="T398" s="7">
        <f>HYPERLINK("#'"&amp;R398&amp;"'!"&amp;S398,"➜ פתח")</f>
        <v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inlineStr">
        <is>
          <t>טבלה</t>
        </is>
      </c>
      <c r="O399" s="6" t="inlineStr">
        <is>
          <t>CRVD_A</t>
        </is>
      </c>
      <c r="P399" s="4" t="inlineStr">
        <is>
          <t>ברירות מחדל למשאב (PI)</t>
        </is>
      </c>
      <c r="Q399" s="4" t="inlineStr">
        <is>
          <t>Resource default values</t>
        </is>
      </c>
      <c r="R399" s="4" t="inlineStr">
        <is>
          <t>5. משאבים  מרכזי עבודה (Resourc</t>
        </is>
      </c>
      <c r="S399" s="4" t="inlineStr">
        <is>
          <t>A61</t>
        </is>
      </c>
      <c r="T399" s="7">
        <f>HYPERLINK("#'"&amp;R399&amp;"'!"&amp;S399,"➜ פתח")</f>
        <v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inlineStr">
        <is>
          <t>שדה</t>
        </is>
      </c>
      <c r="O400" s="6" t="inlineStr">
        <is>
          <t>OBJTY</t>
        </is>
      </c>
      <c r="P400" s="4" t="inlineStr">
        <is>
          <t>סוג אובייקט</t>
        </is>
      </c>
      <c r="Q400" s="4" t="inlineStr">
        <is>
          <t>Object type</t>
        </is>
      </c>
      <c r="R400" s="4" t="inlineStr">
        <is>
          <t>5. משאבים  מרכזי עבודה (Resourc</t>
        </is>
      </c>
      <c r="S400" s="4" t="inlineStr">
        <is>
          <t>C62</t>
        </is>
      </c>
      <c r="T400" s="7">
        <f>HYPERLINK("#'"&amp;R400&amp;"'!"&amp;S400,"➜ פתח")</f>
        <v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inlineStr">
        <is>
          <t>שדה</t>
        </is>
      </c>
      <c r="O401" s="6" t="inlineStr">
        <is>
          <t>OBJID</t>
        </is>
      </c>
      <c r="P401" s="4" t="inlineStr">
        <is>
          <t>מזהה אובייקט</t>
        </is>
      </c>
      <c r="Q401" s="4" t="inlineStr">
        <is>
          <t>Object ID</t>
        </is>
      </c>
      <c r="R401" s="4" t="inlineStr">
        <is>
          <t>5. משאבים  מרכזי עבודה (Resourc</t>
        </is>
      </c>
      <c r="S401" s="4" t="inlineStr">
        <is>
          <t>C63</t>
        </is>
      </c>
      <c r="T401" s="7">
        <f>HYPERLINK("#'"&amp;R401&amp;"'!"&amp;S401,"➜ פתח")</f>
        <v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inlineStr">
        <is>
          <t>שדה</t>
        </is>
      </c>
      <c r="O402" s="6" t="inlineStr">
        <is>
          <t>STEUS</t>
        </is>
      </c>
      <c r="P402" s="4" t="inlineStr">
        <is>
          <t>מפתח בקרה</t>
        </is>
      </c>
      <c r="Q402" s="4" t="inlineStr">
        <is>
          <t>Default control key</t>
        </is>
      </c>
      <c r="R402" s="4" t="inlineStr">
        <is>
          <t>5. משאבים  מרכזי עבודה (Resourc</t>
        </is>
      </c>
      <c r="S402" s="4" t="inlineStr">
        <is>
          <t>C64</t>
        </is>
      </c>
      <c r="T402" s="7">
        <f>HYPERLINK("#'"&amp;R402&amp;"'!"&amp;S402,"➜ פתח")</f>
        <v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inlineStr">
        <is>
          <t>טרנזקציה</t>
        </is>
      </c>
      <c r="O403" s="6" t="inlineStr">
        <is>
          <t>CRC2</t>
        </is>
      </c>
      <c r="P403" s="4" t="inlineStr">
        <is>
          <t>ברירות מחדל למשאב (PI)</t>
        </is>
      </c>
      <c r="Q403" s="4" t="inlineStr">
        <is>
          <t>Resource default values</t>
        </is>
      </c>
      <c r="R403" s="4" t="inlineStr">
        <is>
          <t>5. משאבים  מרכזי עבודה (Resourc</t>
        </is>
      </c>
      <c r="S403" s="4" t="inlineStr">
        <is>
          <t>A62</t>
        </is>
      </c>
      <c r="T403" s="7">
        <f>HYPERLINK("#'"&amp;R403&amp;"'!"&amp;S403,"➜ פתח")</f>
        <v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inlineStr">
        <is>
          <t>טבלה</t>
        </is>
      </c>
      <c r="O404" s="6" t="inlineStr">
        <is>
          <t>CSLA</t>
        </is>
      </c>
      <c r="P404" s="4" t="inlineStr">
        <is>
          <t>סוגי פעילות למרכז עבודה</t>
        </is>
      </c>
      <c r="Q404" s="4" t="inlineStr">
        <is>
          <t>Activity types for work center</t>
        </is>
      </c>
      <c r="R404" s="4" t="inlineStr">
        <is>
          <t>5. משאבים  מרכזי עבודה (Resourc</t>
        </is>
      </c>
      <c r="S404" s="4" t="inlineStr">
        <is>
          <t>A66</t>
        </is>
      </c>
      <c r="T404" s="7">
        <f>HYPERLINK("#'"&amp;R404&amp;"'!"&amp;S404,"➜ פתח")</f>
        <v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inlineStr">
        <is>
          <t>שדה</t>
        </is>
      </c>
      <c r="O405" s="6" t="inlineStr">
        <is>
          <t>LSTAR</t>
        </is>
      </c>
      <c r="P405" s="4" t="inlineStr">
        <is>
          <t>סוג פעילות</t>
        </is>
      </c>
      <c r="Q405" s="4" t="inlineStr">
        <is>
          <t>Activity type</t>
        </is>
      </c>
      <c r="R405" s="4" t="inlineStr">
        <is>
          <t>5. משאבים  מרכזי עבודה (Resourc</t>
        </is>
      </c>
      <c r="S405" s="4" t="inlineStr">
        <is>
          <t>C67</t>
        </is>
      </c>
      <c r="T405" s="7">
        <f>HYPERLINK("#'"&amp;R405&amp;"'!"&amp;S405,"➜ פתח")</f>
        <v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inlineStr">
        <is>
          <t>שדה</t>
        </is>
      </c>
      <c r="O406" s="6" t="inlineStr">
        <is>
          <t>KOKRS</t>
        </is>
      </c>
      <c r="P406" s="4" t="inlineStr">
        <is>
          <t>אזור בקרה</t>
        </is>
      </c>
      <c r="Q406" s="4" t="inlineStr">
        <is>
          <t>Controlling area</t>
        </is>
      </c>
      <c r="R406" s="4" t="inlineStr">
        <is>
          <t>5. משאבים  מרכזי עבודה (Resourc</t>
        </is>
      </c>
      <c r="S406" s="4" t="inlineStr">
        <is>
          <t>C68</t>
        </is>
      </c>
      <c r="T406" s="7">
        <f>HYPERLINK("#'"&amp;R406&amp;"'!"&amp;S406,"➜ פתח")</f>
        <v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inlineStr">
        <is>
          <t>שדה</t>
        </is>
      </c>
      <c r="O407" s="6" t="inlineStr">
        <is>
          <t>LEINH</t>
        </is>
      </c>
      <c r="P407" s="4" t="inlineStr">
        <is>
          <t>יחידת פעילות</t>
        </is>
      </c>
      <c r="Q407" s="4" t="inlineStr">
        <is>
          <t>Activity unit</t>
        </is>
      </c>
      <c r="R407" s="4" t="inlineStr">
        <is>
          <t>5. משאבים  מרכזי עבודה (Resourc</t>
        </is>
      </c>
      <c r="S407" s="4" t="inlineStr">
        <is>
          <t>C69</t>
        </is>
      </c>
      <c r="T407" s="7">
        <f>HYPERLINK("#'"&amp;R407&amp;"'!"&amp;S407,"➜ פתח")</f>
        <v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inlineStr">
        <is>
          <t>טרנזקציה</t>
        </is>
      </c>
      <c r="O408" s="6" t="inlineStr">
        <is>
          <t>KP26</t>
        </is>
      </c>
      <c r="P408" s="4" t="inlineStr">
        <is>
          <t>סוגי פעילות למרכז עבודה</t>
        </is>
      </c>
      <c r="Q408" s="4" t="inlineStr">
        <is>
          <t>Activity types for work center</t>
        </is>
      </c>
      <c r="R408" s="4" t="inlineStr">
        <is>
          <t>5. משאבים  מרכזי עבודה (Resourc</t>
        </is>
      </c>
      <c r="S408" s="4" t="inlineStr">
        <is>
          <t>A67</t>
        </is>
      </c>
      <c r="T408" s="7">
        <f>HYPERLINK("#'"&amp;R408&amp;"'!"&amp;S408,"➜ פתח")</f>
        <v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inlineStr">
        <is>
          <t>טרנזקציה</t>
        </is>
      </c>
      <c r="O409" s="6" t="inlineStr">
        <is>
          <t>CRC2</t>
        </is>
      </c>
      <c r="P409" s="4" t="inlineStr">
        <is>
          <t>סוגי פעילות למרכז עבודה</t>
        </is>
      </c>
      <c r="Q409" s="4" t="inlineStr">
        <is>
          <t>Activity types for work center</t>
        </is>
      </c>
      <c r="R409" s="4" t="inlineStr">
        <is>
          <t>5. משאבים  מרכזי עבודה (Resourc</t>
        </is>
      </c>
      <c r="S409" s="4" t="inlineStr">
        <is>
          <t>A67</t>
        </is>
      </c>
      <c r="T409" s="7">
        <f>HYPERLINK("#'"&amp;R409&amp;"'!"&amp;S409,"➜ פתח")</f>
        <v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inlineStr">
        <is>
          <t>טבלה</t>
        </is>
      </c>
      <c r="O410" s="6" t="inlineStr">
        <is>
          <t>KAZT</t>
        </is>
      </c>
      <c r="P410" s="4" t="inlineStr">
        <is>
          <t>מרווחי קיבולת זמינה</t>
        </is>
      </c>
      <c r="Q410" s="4" t="inlineStr">
        <is>
          <t>Capacity available intervals</t>
        </is>
      </c>
      <c r="R410" s="4" t="inlineStr">
        <is>
          <t>5. משאבים  מרכזי עבודה (Resourc</t>
        </is>
      </c>
      <c r="S410" s="4" t="inlineStr">
        <is>
          <t>A71</t>
        </is>
      </c>
      <c r="T410" s="7">
        <f>HYPERLINK("#'"&amp;R410&amp;"'!"&amp;S410,"➜ פתח")</f>
        <v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inlineStr">
        <is>
          <t>שדה</t>
        </is>
      </c>
      <c r="O411" s="6" t="inlineStr">
        <is>
          <t>KAPID</t>
        </is>
      </c>
      <c r="P411" s="4" t="inlineStr">
        <is>
          <t>מזהה קיבולת</t>
        </is>
      </c>
      <c r="Q411" s="4" t="inlineStr">
        <is>
          <t>Capacity ID</t>
        </is>
      </c>
      <c r="R411" s="4" t="inlineStr">
        <is>
          <t>5. משאבים  מרכזי עבודה (Resourc</t>
        </is>
      </c>
      <c r="S411" s="4" t="inlineStr">
        <is>
          <t>C72</t>
        </is>
      </c>
      <c r="T411" s="7">
        <f>HYPERLINK("#'"&amp;R411&amp;"'!"&amp;S411,"➜ פתח")</f>
        <v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inlineStr">
        <is>
          <t>שדה</t>
        </is>
      </c>
      <c r="O412" s="6" t="inlineStr">
        <is>
          <t>VERSN</t>
        </is>
      </c>
      <c r="P412" s="4" t="inlineStr">
        <is>
          <t>גרסת קיבולת</t>
        </is>
      </c>
      <c r="Q412" s="4" t="inlineStr">
        <is>
          <t>Capacity version</t>
        </is>
      </c>
      <c r="R412" s="4" t="inlineStr">
        <is>
          <t>5. משאבים  מרכזי עבודה (Resourc</t>
        </is>
      </c>
      <c r="S412" s="4" t="inlineStr">
        <is>
          <t>C73</t>
        </is>
      </c>
      <c r="T412" s="7">
        <f>HYPERLINK("#'"&amp;R412&amp;"'!"&amp;S412,"➜ פתח")</f>
        <v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inlineStr">
        <is>
          <t>שדה</t>
        </is>
      </c>
      <c r="O413" s="6" t="inlineStr">
        <is>
          <t>TPROG</t>
        </is>
      </c>
      <c r="P413" s="4" t="inlineStr">
        <is>
          <t>רצף משמרות</t>
        </is>
      </c>
      <c r="Q413" s="4" t="inlineStr">
        <is>
          <t>Shift sequence / grouping</t>
        </is>
      </c>
      <c r="R413" s="4" t="inlineStr">
        <is>
          <t>5. משאבים  מרכזי עבודה (Resourc</t>
        </is>
      </c>
      <c r="S413" s="4" t="inlineStr">
        <is>
          <t>C74</t>
        </is>
      </c>
      <c r="T413" s="7">
        <f>HYPERLINK("#'"&amp;R413&amp;"'!"&amp;S413,"➜ פתח")</f>
        <v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inlineStr">
        <is>
          <t>שדה</t>
        </is>
      </c>
      <c r="O414" s="6" t="inlineStr">
        <is>
          <t>BEGZT</t>
        </is>
      </c>
      <c r="P414" s="4" t="inlineStr">
        <is>
          <t>שעת התחלה</t>
        </is>
      </c>
      <c r="Q414" s="4" t="inlineStr">
        <is>
          <t>Start time</t>
        </is>
      </c>
      <c r="R414" s="4" t="inlineStr">
        <is>
          <t>5. משאבים  מרכזי עבודה (Resourc</t>
        </is>
      </c>
      <c r="S414" s="4" t="inlineStr">
        <is>
          <t>C75</t>
        </is>
      </c>
      <c r="T414" s="7">
        <f>HYPERLINK("#'"&amp;R414&amp;"'!"&amp;S414,"➜ פתח")</f>
        <v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inlineStr">
        <is>
          <t>שדה</t>
        </is>
      </c>
      <c r="O415" s="6" t="inlineStr">
        <is>
          <t>ENDZT</t>
        </is>
      </c>
      <c r="P415" s="4" t="inlineStr">
        <is>
          <t>שעת סיום</t>
        </is>
      </c>
      <c r="Q415" s="4" t="inlineStr">
        <is>
          <t>End time</t>
        </is>
      </c>
      <c r="R415" s="4" t="inlineStr">
        <is>
          <t>5. משאבים  מרכזי עבודה (Resourc</t>
        </is>
      </c>
      <c r="S415" s="4" t="inlineStr">
        <is>
          <t>C76</t>
        </is>
      </c>
      <c r="T415" s="7">
        <f>HYPERLINK("#'"&amp;R415&amp;"'!"&amp;S415,"➜ פתח")</f>
        <v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inlineStr">
        <is>
          <t>שדה</t>
        </is>
      </c>
      <c r="O416" s="6" t="inlineStr">
        <is>
          <t>KAPAZ</t>
        </is>
      </c>
      <c r="P416" s="4" t="inlineStr">
        <is>
          <t>קיבולת זמינה</t>
        </is>
      </c>
      <c r="Q416" s="4" t="inlineStr">
        <is>
          <t>Available capacity</t>
        </is>
      </c>
      <c r="R416" s="4" t="inlineStr">
        <is>
          <t>5. משאבים  מרכזי עבודה (Resourc</t>
        </is>
      </c>
      <c r="S416" s="4" t="inlineStr">
        <is>
          <t>C77</t>
        </is>
      </c>
      <c r="T416" s="7">
        <f>HYPERLINK("#'"&amp;R416&amp;"'!"&amp;S416,"➜ פתח")</f>
        <v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inlineStr">
        <is>
          <t>טרנזקציה</t>
        </is>
      </c>
      <c r="O417" s="6" t="inlineStr">
        <is>
          <t>CR11</t>
        </is>
      </c>
      <c r="P417" s="4" t="inlineStr">
        <is>
          <t>מרווחי קיבולת זמינה</t>
        </is>
      </c>
      <c r="Q417" s="4" t="inlineStr">
        <is>
          <t>Capacity available intervals</t>
        </is>
      </c>
      <c r="R417" s="4" t="inlineStr">
        <is>
          <t>5. משאבים  מרכזי עבודה (Resourc</t>
        </is>
      </c>
      <c r="S417" s="4" t="inlineStr">
        <is>
          <t>A72</t>
        </is>
      </c>
      <c r="T417" s="7">
        <f>HYPERLINK("#'"&amp;R417&amp;"'!"&amp;S417,"➜ פתח")</f>
        <v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inlineStr">
        <is>
          <t>טרנזקציה</t>
        </is>
      </c>
      <c r="O418" s="6" t="inlineStr">
        <is>
          <t>CR12</t>
        </is>
      </c>
      <c r="P418" s="4" t="inlineStr">
        <is>
          <t>מרווחי קיבולת זמינה</t>
        </is>
      </c>
      <c r="Q418" s="4" t="inlineStr">
        <is>
          <t>Capacity available intervals</t>
        </is>
      </c>
      <c r="R418" s="4" t="inlineStr">
        <is>
          <t>5. משאבים  מרכזי עבודה (Resourc</t>
        </is>
      </c>
      <c r="S418" s="4" t="inlineStr">
        <is>
          <t>A72</t>
        </is>
      </c>
      <c r="T418" s="7">
        <f>HYPERLINK("#'"&amp;R418&amp;"'!"&amp;S418,"➜ פתח")</f>
        <v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inlineStr">
        <is>
          <t>טרנזקציה</t>
        </is>
      </c>
      <c r="O419" s="6" t="inlineStr">
        <is>
          <t>CR13</t>
        </is>
      </c>
      <c r="P419" s="4" t="inlineStr">
        <is>
          <t>מרווחי קיבולת זמינה</t>
        </is>
      </c>
      <c r="Q419" s="4" t="inlineStr">
        <is>
          <t>Capacity available intervals</t>
        </is>
      </c>
      <c r="R419" s="4" t="inlineStr">
        <is>
          <t>5. משאבים  מרכזי עבודה (Resourc</t>
        </is>
      </c>
      <c r="S419" s="4" t="inlineStr">
        <is>
          <t>A72</t>
        </is>
      </c>
      <c r="T419" s="7">
        <f>HYPERLINK("#'"&amp;R419&amp;"'!"&amp;S419,"➜ פתח")</f>
        <v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inlineStr">
        <is>
          <t>טרנזקציה</t>
        </is>
      </c>
      <c r="O420" s="6" t="inlineStr">
        <is>
          <t>COR1</t>
        </is>
      </c>
      <c r="P420" s="4" t="inlineStr">
        <is>
          <t>Create / Change / Display Process Order</t>
        </is>
      </c>
      <c r="Q420" s="4" t="inlineStr">
        <is>
          <t>-</t>
        </is>
      </c>
      <c r="R420" s="4" t="inlineStr">
        <is>
          <t>6. פק"ע ייצור ומתכון בקרה (Proc</t>
        </is>
      </c>
      <c r="S420" s="4" t="inlineStr">
        <is>
          <t>A6</t>
        </is>
      </c>
      <c r="T420" s="7">
        <f>HYPERLINK("#'"&amp;R420&amp;"'!"&amp;S420,"➜ פתח")</f>
        <v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inlineStr">
        <is>
          <t>טרנזקציה</t>
        </is>
      </c>
      <c r="O421" s="6" t="inlineStr">
        <is>
          <t>COR6N</t>
        </is>
      </c>
      <c r="P421" s="4" t="inlineStr">
        <is>
          <t>Confirm Production Operation</t>
        </is>
      </c>
      <c r="Q421" s="4" t="inlineStr">
        <is>
          <t>F3372</t>
        </is>
      </c>
      <c r="R421" s="4" t="inlineStr">
        <is>
          <t>6. פק"ע ייצור ומתכון בקרה (Proc</t>
        </is>
      </c>
      <c r="S421" s="4" t="inlineStr">
        <is>
          <t>A7</t>
        </is>
      </c>
      <c r="T421" s="7">
        <f>HYPERLINK("#'"&amp;R421&amp;"'!"&amp;S421,"➜ פתח")</f>
        <v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inlineStr">
        <is>
          <t>Fiori</t>
        </is>
      </c>
      <c r="O422" s="6" t="inlineStr">
        <is>
          <t>F3372</t>
        </is>
      </c>
      <c r="P422" s="4" t="inlineStr">
        <is>
          <t>Confirm Production Operation</t>
        </is>
      </c>
      <c r="Q422" s="4" t="inlineStr"/>
      <c r="R422" s="4" t="inlineStr">
        <is>
          <t>6. פק"ע ייצור ומתכון בקרה (Proc</t>
        </is>
      </c>
      <c r="S422" s="4" t="inlineStr">
        <is>
          <t>A7</t>
        </is>
      </c>
      <c r="T422" s="7">
        <f>HYPERLINK("#'"&amp;R422&amp;"'!"&amp;S422,"➜ פתח")</f>
        <v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inlineStr">
        <is>
          <t>טרנזקציה</t>
        </is>
      </c>
      <c r="O423" s="6" t="inlineStr">
        <is>
          <t>COIO</t>
        </is>
      </c>
      <c r="P423" s="4" t="inlineStr">
        <is>
          <t>Process Order Information System</t>
        </is>
      </c>
      <c r="Q423" s="4" t="inlineStr">
        <is>
          <t>-</t>
        </is>
      </c>
      <c r="R423" s="4" t="inlineStr">
        <is>
          <t>6. פק"ע ייצור ומתכון בקרה (Proc</t>
        </is>
      </c>
      <c r="S423" s="4" t="inlineStr">
        <is>
          <t>A8</t>
        </is>
      </c>
      <c r="T423" s="7">
        <f>HYPERLINK("#'"&amp;R423&amp;"'!"&amp;S423,"➜ פתח")</f>
        <v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inlineStr">
        <is>
          <t>טרנזקציה</t>
        </is>
      </c>
      <c r="O424" s="6" t="inlineStr">
        <is>
          <t>COHV</t>
        </is>
      </c>
      <c r="P424" s="4" t="inlineStr">
        <is>
          <t>Mass Processing - Orders</t>
        </is>
      </c>
      <c r="Q424" s="4" t="inlineStr">
        <is>
          <t>-</t>
        </is>
      </c>
      <c r="R424" s="4" t="inlineStr">
        <is>
          <t>6. פק"ע ייצור ומתכון בקרה (Proc</t>
        </is>
      </c>
      <c r="S424" s="4" t="inlineStr">
        <is>
          <t>A9</t>
        </is>
      </c>
      <c r="T424" s="7">
        <f>HYPERLINK("#'"&amp;R424&amp;"'!"&amp;S424,"➜ פתח")</f>
        <v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inlineStr">
        <is>
          <t>BAPI</t>
        </is>
      </c>
      <c r="O425" s="6" t="inlineStr">
        <is>
          <t>BAPI_PROCORD_CREATE / _RELEASE</t>
        </is>
      </c>
      <c r="P425" s="4" t="inlineStr">
        <is>
          <t>יצירה/שחרור פק"ע ייצור</t>
        </is>
      </c>
      <c r="Q425" s="4" t="inlineStr"/>
      <c r="R425" s="4" t="inlineStr">
        <is>
          <t>6. פק"ע ייצור ומתכון בקרה (Proc</t>
        </is>
      </c>
      <c r="S425" s="4" t="inlineStr">
        <is>
          <t>A12</t>
        </is>
      </c>
      <c r="T425" s="7">
        <f>HYPERLINK("#'"&amp;R425&amp;"'!"&amp;S425,"➜ פתח")</f>
        <v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inlineStr">
        <is>
          <t>BAPI</t>
        </is>
      </c>
      <c r="O426" s="6" t="inlineStr">
        <is>
          <t>BAPI_PROCORDCONF_CREATE_TT</t>
        </is>
      </c>
      <c r="P426" s="4" t="inlineStr">
        <is>
          <t>דיווח ביצוע פק"ע (Time Ticket)</t>
        </is>
      </c>
      <c r="Q426" s="4" t="inlineStr"/>
      <c r="R426" s="4" t="inlineStr">
        <is>
          <t>6. פק"ע ייצור ומתכון בקרה (Proc</t>
        </is>
      </c>
      <c r="S426" s="4" t="inlineStr">
        <is>
          <t>A13</t>
        </is>
      </c>
      <c r="T426" s="7">
        <f>HYPERLINK("#'"&amp;R426&amp;"'!"&amp;S426,"➜ פתח")</f>
        <v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inlineStr">
        <is>
          <t>IDoc</t>
        </is>
      </c>
      <c r="O427" s="6" t="inlineStr">
        <is>
          <t>LOIPRO</t>
        </is>
      </c>
      <c r="P427" s="4" t="inlineStr">
        <is>
          <t>שליחת פק"ע/הוראות ייצור ל-MES (Zetes/Daymax)</t>
        </is>
      </c>
      <c r="Q427" s="4" t="inlineStr"/>
      <c r="R427" s="4" t="inlineStr">
        <is>
          <t>6. פק"ע ייצור ומתכון בקרה (Proc</t>
        </is>
      </c>
      <c r="S427" s="4" t="inlineStr">
        <is>
          <t>A14</t>
        </is>
      </c>
      <c r="T427" s="7">
        <f>HYPERLINK("#'"&amp;R427&amp;"'!"&amp;S427,"➜ פתח")</f>
        <v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inlineStr">
        <is>
          <t>IDoc</t>
        </is>
      </c>
      <c r="O428" s="6" t="inlineStr">
        <is>
          <t>PPCC1 (PP-PI message)</t>
        </is>
      </c>
      <c r="P428" s="4" t="inlineStr">
        <is>
          <t>הודעות תהליך/דיווח מהקו חזרה ל-SAP</t>
        </is>
      </c>
      <c r="Q428" s="4" t="inlineStr"/>
      <c r="R428" s="4" t="inlineStr">
        <is>
          <t>6. פק"ע ייצור ומתכון בקרה (Proc</t>
        </is>
      </c>
      <c r="S428" s="4" t="inlineStr">
        <is>
          <t>A15</t>
        </is>
      </c>
      <c r="T428" s="7">
        <f>HYPERLINK("#'"&amp;R428&amp;"'!"&amp;S428,"➜ פתח")</f>
        <v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inlineStr">
        <is>
          <t>תוכנית</t>
        </is>
      </c>
      <c r="O429" s="6" t="inlineStr">
        <is>
          <t>MD01 / MD01N (MRP Live)</t>
        </is>
      </c>
      <c r="P429" s="4" t="inlineStr">
        <is>
          <t>הרצת MRP - תכנון חומרים וייצור</t>
        </is>
      </c>
      <c r="Q429" s="4" t="inlineStr"/>
      <c r="R429" s="4" t="inlineStr">
        <is>
          <t>6. פק"ע ייצור ומתכון בקרה (Proc</t>
        </is>
      </c>
      <c r="S429" s="4" t="inlineStr">
        <is>
          <t>A18</t>
        </is>
      </c>
      <c r="T429" s="7">
        <f>HYPERLINK("#'"&amp;R429&amp;"'!"&amp;S429,"➜ פתח")</f>
        <v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inlineStr">
        <is>
          <t>תוכנית</t>
        </is>
      </c>
      <c r="O430" s="6" t="inlineStr">
        <is>
          <t>COHV / RCO_BATCH_SCHEDULE</t>
        </is>
      </c>
      <c r="P430" s="4" t="inlineStr">
        <is>
          <t>עיבוד המוני ותזמון אצוות פק"ע</t>
        </is>
      </c>
      <c r="Q430" s="4" t="inlineStr"/>
      <c r="R430" s="4" t="inlineStr">
        <is>
          <t>6. פק"ע ייצור ומתכון בקרה (Proc</t>
        </is>
      </c>
      <c r="S430" s="4" t="inlineStr">
        <is>
          <t>A19</t>
        </is>
      </c>
      <c r="T430" s="7">
        <f>HYPERLINK("#'"&amp;R430&amp;"'!"&amp;S430,"➜ פתח")</f>
        <v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inlineStr">
        <is>
          <t>תוכנית</t>
        </is>
      </c>
      <c r="O431" s="6" t="inlineStr">
        <is>
          <t>CO41 / CO48 (convert)</t>
        </is>
      </c>
      <c r="P431" s="4" t="inlineStr">
        <is>
          <t>המרת פק"ע מתוכננת לפק"ע ייצור</t>
        </is>
      </c>
      <c r="Q431" s="4" t="inlineStr"/>
      <c r="R431" s="4" t="inlineStr">
        <is>
          <t>6. פק"ע ייצור ומתכון בקרה (Proc</t>
        </is>
      </c>
      <c r="S431" s="4" t="inlineStr">
        <is>
          <t>A20</t>
        </is>
      </c>
      <c r="T431" s="7">
        <f>HYPERLINK("#'"&amp;R431&amp;"'!"&amp;S431,"➜ פתח")</f>
        <v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inlineStr">
        <is>
          <t>טבלה</t>
        </is>
      </c>
      <c r="O432" s="6" t="inlineStr">
        <is>
          <t>AUFK</t>
        </is>
      </c>
      <c r="P432" s="4" t="inlineStr">
        <is>
          <t>נתוני אב של פקודת ייצור</t>
        </is>
      </c>
      <c r="Q432" s="4" t="inlineStr">
        <is>
          <t>Order master data</t>
        </is>
      </c>
      <c r="R432" s="4" t="inlineStr">
        <is>
          <t>6. פק"ע ייצור ומתכון בקרה (Proc</t>
        </is>
      </c>
      <c r="S432" s="4" t="inlineStr">
        <is>
          <t>A22</t>
        </is>
      </c>
      <c r="T432" s="7">
        <f>HYPERLINK("#'"&amp;R432&amp;"'!"&amp;S432,"➜ פתח")</f>
        <v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inlineStr">
        <is>
          <t>שדה</t>
        </is>
      </c>
      <c r="O433" s="6" t="inlineStr">
        <is>
          <t>AUFNR</t>
        </is>
      </c>
      <c r="P433" s="4" t="inlineStr">
        <is>
          <t>מספר פק"ע</t>
        </is>
      </c>
      <c r="Q433" s="4" t="inlineStr">
        <is>
          <t>Order number</t>
        </is>
      </c>
      <c r="R433" s="4" t="inlineStr">
        <is>
          <t>6. פק"ע ייצור ומתכון בקרה (Proc</t>
        </is>
      </c>
      <c r="S433" s="4" t="inlineStr">
        <is>
          <t>C23</t>
        </is>
      </c>
      <c r="T433" s="7">
        <f>HYPERLINK("#'"&amp;R433&amp;"'!"&amp;S433,"➜ פתח")</f>
        <v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inlineStr">
        <is>
          <t>שדה</t>
        </is>
      </c>
      <c r="O434" s="6" t="inlineStr">
        <is>
          <t>AUART</t>
        </is>
      </c>
      <c r="P434" s="4" t="inlineStr">
        <is>
          <t>סוג פק"ע</t>
        </is>
      </c>
      <c r="Q434" s="4" t="inlineStr">
        <is>
          <t>Order type</t>
        </is>
      </c>
      <c r="R434" s="4" t="inlineStr">
        <is>
          <t>6. פק"ע ייצור ומתכון בקרה (Proc</t>
        </is>
      </c>
      <c r="S434" s="4" t="inlineStr">
        <is>
          <t>C24</t>
        </is>
      </c>
      <c r="T434" s="7">
        <f>HYPERLINK("#'"&amp;R434&amp;"'!"&amp;S434,"➜ פתח")</f>
        <v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inlineStr">
        <is>
          <t>שדה</t>
        </is>
      </c>
      <c r="O435" s="6" t="inlineStr">
        <is>
          <t>WERKS</t>
        </is>
      </c>
      <c r="P435" s="4" t="inlineStr">
        <is>
          <t>מפעל</t>
        </is>
      </c>
      <c r="Q435" s="4" t="inlineStr">
        <is>
          <t>Plant</t>
        </is>
      </c>
      <c r="R435" s="4" t="inlineStr">
        <is>
          <t>6. פק"ע ייצור ומתכון בקרה (Proc</t>
        </is>
      </c>
      <c r="S435" s="4" t="inlineStr">
        <is>
          <t>C25</t>
        </is>
      </c>
      <c r="T435" s="7">
        <f>HYPERLINK("#'"&amp;R435&amp;"'!"&amp;S435,"➜ פתח")</f>
        <v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inlineStr">
        <is>
          <t>שדה</t>
        </is>
      </c>
      <c r="O436" s="6" t="inlineStr">
        <is>
          <t>OBJNR</t>
        </is>
      </c>
      <c r="P436" s="4" t="inlineStr">
        <is>
          <t>מפתח אובייקט</t>
        </is>
      </c>
      <c r="Q436" s="4" t="inlineStr">
        <is>
          <t>Object number (status)</t>
        </is>
      </c>
      <c r="R436" s="4" t="inlineStr">
        <is>
          <t>6. פק"ע ייצור ומתכון בקרה (Proc</t>
        </is>
      </c>
      <c r="S436" s="4" t="inlineStr">
        <is>
          <t>C26</t>
        </is>
      </c>
      <c r="T436" s="7">
        <f>HYPERLINK("#'"&amp;R436&amp;"'!"&amp;S436,"➜ פתח")</f>
        <v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inlineStr">
        <is>
          <t>שדה</t>
        </is>
      </c>
      <c r="O437" s="6" t="inlineStr">
        <is>
          <t>KTEXT</t>
        </is>
      </c>
      <c r="P437" s="4" t="inlineStr">
        <is>
          <t>תיאור</t>
        </is>
      </c>
      <c r="Q437" s="4" t="inlineStr">
        <is>
          <t>Description</t>
        </is>
      </c>
      <c r="R437" s="4" t="inlineStr">
        <is>
          <t>6. פק"ע ייצור ומתכון בקרה (Proc</t>
        </is>
      </c>
      <c r="S437" s="4" t="inlineStr">
        <is>
          <t>C27</t>
        </is>
      </c>
      <c r="T437" s="7">
        <f>HYPERLINK("#'"&amp;R437&amp;"'!"&amp;S437,"➜ פתח")</f>
        <v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inlineStr">
        <is>
          <t>טרנזקציה</t>
        </is>
      </c>
      <c r="O438" s="6" t="inlineStr">
        <is>
          <t>COR1</t>
        </is>
      </c>
      <c r="P438" s="4" t="inlineStr">
        <is>
          <t>נתוני אב של פקודת ייצור</t>
        </is>
      </c>
      <c r="Q438" s="4" t="inlineStr">
        <is>
          <t>Order master data</t>
        </is>
      </c>
      <c r="R438" s="4" t="inlineStr">
        <is>
          <t>6. פק"ע ייצור ומתכון בקרה (Proc</t>
        </is>
      </c>
      <c r="S438" s="4" t="inlineStr">
        <is>
          <t>A23</t>
        </is>
      </c>
      <c r="T438" s="7">
        <f>HYPERLINK("#'"&amp;R438&amp;"'!"&amp;S438,"➜ פתח")</f>
        <v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inlineStr">
        <is>
          <t>טרנזקציה</t>
        </is>
      </c>
      <c r="O439" s="6" t="inlineStr">
        <is>
          <t>COR2</t>
        </is>
      </c>
      <c r="P439" s="4" t="inlineStr">
        <is>
          <t>נתוני אב של פקודת ייצור</t>
        </is>
      </c>
      <c r="Q439" s="4" t="inlineStr">
        <is>
          <t>Order master data</t>
        </is>
      </c>
      <c r="R439" s="4" t="inlineStr">
        <is>
          <t>6. פק"ע ייצור ומתכון בקרה (Proc</t>
        </is>
      </c>
      <c r="S439" s="4" t="inlineStr">
        <is>
          <t>A23</t>
        </is>
      </c>
      <c r="T439" s="7">
        <f>HYPERLINK("#'"&amp;R439&amp;"'!"&amp;S439,"➜ פתח")</f>
        <v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inlineStr">
        <is>
          <t>טרנזקציה</t>
        </is>
      </c>
      <c r="O440" s="6" t="inlineStr">
        <is>
          <t>COR3</t>
        </is>
      </c>
      <c r="P440" s="4" t="inlineStr">
        <is>
          <t>נתוני אב של פקודת ייצור</t>
        </is>
      </c>
      <c r="Q440" s="4" t="inlineStr">
        <is>
          <t>Order master data</t>
        </is>
      </c>
      <c r="R440" s="4" t="inlineStr">
        <is>
          <t>6. פק"ע ייצור ומתכון בקרה (Proc</t>
        </is>
      </c>
      <c r="S440" s="4" t="inlineStr">
        <is>
          <t>A23</t>
        </is>
      </c>
      <c r="T440" s="7">
        <f>HYPERLINK("#'"&amp;R440&amp;"'!"&amp;S440,"➜ פתח")</f>
        <v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inlineStr">
        <is>
          <t>טרנזקציה</t>
        </is>
      </c>
      <c r="O441" s="6" t="inlineStr">
        <is>
          <t>COOIS</t>
        </is>
      </c>
      <c r="P441" s="4" t="inlineStr">
        <is>
          <t>נתוני אב של פקודת ייצור</t>
        </is>
      </c>
      <c r="Q441" s="4" t="inlineStr">
        <is>
          <t>Order master data</t>
        </is>
      </c>
      <c r="R441" s="4" t="inlineStr">
        <is>
          <t>6. פק"ע ייצור ומתכון בקרה (Proc</t>
        </is>
      </c>
      <c r="S441" s="4" t="inlineStr">
        <is>
          <t>A23</t>
        </is>
      </c>
      <c r="T441" s="7">
        <f>HYPERLINK("#'"&amp;R441&amp;"'!"&amp;S441,"➜ פתח")</f>
        <v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inlineStr">
        <is>
          <t>טבלה</t>
        </is>
      </c>
      <c r="O442" s="6" t="inlineStr">
        <is>
          <t>AFKO</t>
        </is>
      </c>
      <c r="P442" s="4" t="inlineStr">
        <is>
          <t>כותרת פקודת ייצור</t>
        </is>
      </c>
      <c r="Q442" s="4" t="inlineStr">
        <is>
          <t>Order header data</t>
        </is>
      </c>
      <c r="R442" s="4" t="inlineStr">
        <is>
          <t>6. פק"ע ייצור ומתכון בקרה (Proc</t>
        </is>
      </c>
      <c r="S442" s="4" t="inlineStr">
        <is>
          <t>A29</t>
        </is>
      </c>
      <c r="T442" s="7">
        <f>HYPERLINK("#'"&amp;R442&amp;"'!"&amp;S442,"➜ פתח")</f>
        <v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inlineStr">
        <is>
          <t>שדה</t>
        </is>
      </c>
      <c r="O443" s="6" t="inlineStr">
        <is>
          <t>AUFNR</t>
        </is>
      </c>
      <c r="P443" s="4" t="inlineStr">
        <is>
          <t>מספר פק"ע</t>
        </is>
      </c>
      <c r="Q443" s="4" t="inlineStr">
        <is>
          <t>Order number</t>
        </is>
      </c>
      <c r="R443" s="4" t="inlineStr">
        <is>
          <t>6. פק"ע ייצור ומתכון בקרה (Proc</t>
        </is>
      </c>
      <c r="S443" s="4" t="inlineStr">
        <is>
          <t>C30</t>
        </is>
      </c>
      <c r="T443" s="7">
        <f>HYPERLINK("#'"&amp;R443&amp;"'!"&amp;S443,"➜ פתח")</f>
        <v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inlineStr">
        <is>
          <t>שדה</t>
        </is>
      </c>
      <c r="O444" s="6" t="inlineStr">
        <is>
          <t>GAMNG</t>
        </is>
      </c>
      <c r="P444" s="4" t="inlineStr">
        <is>
          <t>כמות פק"ע</t>
        </is>
      </c>
      <c r="Q444" s="4" t="inlineStr">
        <is>
          <t>Total order quantity</t>
        </is>
      </c>
      <c r="R444" s="4" t="inlineStr">
        <is>
          <t>6. פק"ע ייצור ומתכון בקרה (Proc</t>
        </is>
      </c>
      <c r="S444" s="4" t="inlineStr">
        <is>
          <t>C31</t>
        </is>
      </c>
      <c r="T444" s="7">
        <f>HYPERLINK("#'"&amp;R444&amp;"'!"&amp;S444,"➜ פתח")</f>
        <v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inlineStr">
        <is>
          <t>שדה</t>
        </is>
      </c>
      <c r="O445" s="6" t="inlineStr">
        <is>
          <t>GMEIN</t>
        </is>
      </c>
      <c r="P445" s="4" t="inlineStr">
        <is>
          <t>יחידת מידה</t>
        </is>
      </c>
      <c r="Q445" s="4" t="inlineStr">
        <is>
          <t>Unit of measure</t>
        </is>
      </c>
      <c r="R445" s="4" t="inlineStr">
        <is>
          <t>6. פק"ע ייצור ומתכון בקרה (Proc</t>
        </is>
      </c>
      <c r="S445" s="4" t="inlineStr">
        <is>
          <t>C32</t>
        </is>
      </c>
      <c r="T445" s="7">
        <f>HYPERLINK("#'"&amp;R445&amp;"'!"&amp;S445,"➜ פתח")</f>
        <v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inlineStr">
        <is>
          <t>שדה</t>
        </is>
      </c>
      <c r="O446" s="6" t="inlineStr">
        <is>
          <t>VERID</t>
        </is>
      </c>
      <c r="P446" s="4" t="inlineStr">
        <is>
          <t>גרסת ייצור</t>
        </is>
      </c>
      <c r="Q446" s="4" t="inlineStr">
        <is>
          <t>Production version</t>
        </is>
      </c>
      <c r="R446" s="4" t="inlineStr">
        <is>
          <t>6. פק"ע ייצור ומתכון בקרה (Proc</t>
        </is>
      </c>
      <c r="S446" s="4" t="inlineStr">
        <is>
          <t>C33</t>
        </is>
      </c>
      <c r="T446" s="7">
        <f>HYPERLINK("#'"&amp;R446&amp;"'!"&amp;S446,"➜ פתח")</f>
        <v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inlineStr">
        <is>
          <t>שדה</t>
        </is>
      </c>
      <c r="O447" s="6" t="inlineStr">
        <is>
          <t>AUFPL</t>
        </is>
      </c>
      <c r="P447" s="4" t="inlineStr">
        <is>
          <t>מספר תוכנית פעולות</t>
        </is>
      </c>
      <c r="Q447" s="4" t="inlineStr">
        <is>
          <t>Routing number of operations</t>
        </is>
      </c>
      <c r="R447" s="4" t="inlineStr">
        <is>
          <t>6. פק"ע ייצור ומתכון בקרה (Proc</t>
        </is>
      </c>
      <c r="S447" s="4" t="inlineStr">
        <is>
          <t>C34</t>
        </is>
      </c>
      <c r="T447" s="7">
        <f>HYPERLINK("#'"&amp;R447&amp;"'!"&amp;S447,"➜ פתח")</f>
        <v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inlineStr">
        <is>
          <t>שדה</t>
        </is>
      </c>
      <c r="O448" s="6" t="inlineStr">
        <is>
          <t>GLTRP</t>
        </is>
      </c>
      <c r="P448" s="4" t="inlineStr">
        <is>
          <t>תאריך סיום בסיסי</t>
        </is>
      </c>
      <c r="Q448" s="4" t="inlineStr">
        <is>
          <t>Basic finish date</t>
        </is>
      </c>
      <c r="R448" s="4" t="inlineStr">
        <is>
          <t>6. פק"ע ייצור ומתכון בקרה (Proc</t>
        </is>
      </c>
      <c r="S448" s="4" t="inlineStr">
        <is>
          <t>C35</t>
        </is>
      </c>
      <c r="T448" s="7">
        <f>HYPERLINK("#'"&amp;R448&amp;"'!"&amp;S448,"➜ פתח")</f>
        <v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inlineStr">
        <is>
          <t>טרנזקציה</t>
        </is>
      </c>
      <c r="O449" s="6" t="inlineStr">
        <is>
          <t>COR2</t>
        </is>
      </c>
      <c r="P449" s="4" t="inlineStr">
        <is>
          <t>כותרת פקודת ייצור</t>
        </is>
      </c>
      <c r="Q449" s="4" t="inlineStr">
        <is>
          <t>Order header data</t>
        </is>
      </c>
      <c r="R449" s="4" t="inlineStr">
        <is>
          <t>6. פק"ע ייצור ומתכון בקרה (Proc</t>
        </is>
      </c>
      <c r="S449" s="4" t="inlineStr">
        <is>
          <t>A30</t>
        </is>
      </c>
      <c r="T449" s="7">
        <f>HYPERLINK("#'"&amp;R449&amp;"'!"&amp;S449,"➜ פתח")</f>
        <v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inlineStr">
        <is>
          <t>טבלה</t>
        </is>
      </c>
      <c r="O450" s="6" t="inlineStr">
        <is>
          <t>AFPO</t>
        </is>
      </c>
      <c r="P450" s="4" t="inlineStr">
        <is>
          <t>פריט פקודת ייצור</t>
        </is>
      </c>
      <c r="Q450" s="4" t="inlineStr">
        <is>
          <t>Order item</t>
        </is>
      </c>
      <c r="R450" s="4" t="inlineStr">
        <is>
          <t>6. פק"ע ייצור ומתכון בקרה (Proc</t>
        </is>
      </c>
      <c r="S450" s="4" t="inlineStr">
        <is>
          <t>A37</t>
        </is>
      </c>
      <c r="T450" s="7">
        <f>HYPERLINK("#'"&amp;R450&amp;"'!"&amp;S450,"➜ פתח")</f>
        <v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inlineStr">
        <is>
          <t>שדה</t>
        </is>
      </c>
      <c r="O451" s="6" t="inlineStr">
        <is>
          <t>AUFNR</t>
        </is>
      </c>
      <c r="P451" s="4" t="inlineStr">
        <is>
          <t>מספר פק"ע</t>
        </is>
      </c>
      <c r="Q451" s="4" t="inlineStr">
        <is>
          <t>Order number</t>
        </is>
      </c>
      <c r="R451" s="4" t="inlineStr">
        <is>
          <t>6. פק"ע ייצור ומתכון בקרה (Proc</t>
        </is>
      </c>
      <c r="S451" s="4" t="inlineStr">
        <is>
          <t>C38</t>
        </is>
      </c>
      <c r="T451" s="7">
        <f>HYPERLINK("#'"&amp;R451&amp;"'!"&amp;S451,"➜ פתח")</f>
        <v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inlineStr">
        <is>
          <t>שדה</t>
        </is>
      </c>
      <c r="O452" s="6" t="inlineStr">
        <is>
          <t>POSNR</t>
        </is>
      </c>
      <c r="P452" s="4" t="inlineStr">
        <is>
          <t>מספר פריט</t>
        </is>
      </c>
      <c r="Q452" s="4" t="inlineStr">
        <is>
          <t>Order item number</t>
        </is>
      </c>
      <c r="R452" s="4" t="inlineStr">
        <is>
          <t>6. פק"ע ייצור ומתכון בקרה (Proc</t>
        </is>
      </c>
      <c r="S452" s="4" t="inlineStr">
        <is>
          <t>C39</t>
        </is>
      </c>
      <c r="T452" s="7">
        <f>HYPERLINK("#'"&amp;R452&amp;"'!"&amp;S452,"➜ פתח")</f>
        <v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inlineStr">
        <is>
          <t>שדה</t>
        </is>
      </c>
      <c r="O453" s="6" t="inlineStr">
        <is>
          <t>MATNR</t>
        </is>
      </c>
      <c r="P453" s="4" t="inlineStr">
        <is>
          <t>חומר מיוצר</t>
        </is>
      </c>
      <c r="Q453" s="4" t="inlineStr">
        <is>
          <t>Material produced</t>
        </is>
      </c>
      <c r="R453" s="4" t="inlineStr">
        <is>
          <t>6. פק"ע ייצור ומתכון בקרה (Proc</t>
        </is>
      </c>
      <c r="S453" s="4" t="inlineStr">
        <is>
          <t>C40</t>
        </is>
      </c>
      <c r="T453" s="7">
        <f>HYPERLINK("#'"&amp;R453&amp;"'!"&amp;S453,"➜ פתח")</f>
        <v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inlineStr">
        <is>
          <t>שדה</t>
        </is>
      </c>
      <c r="O454" s="6" t="inlineStr">
        <is>
          <t>PSMNG</t>
        </is>
      </c>
      <c r="P454" s="4" t="inlineStr">
        <is>
          <t>כמות פריט</t>
        </is>
      </c>
      <c r="Q454" s="4" t="inlineStr">
        <is>
          <t>Order item quantity</t>
        </is>
      </c>
      <c r="R454" s="4" t="inlineStr">
        <is>
          <t>6. פק"ע ייצור ומתכון בקרה (Proc</t>
        </is>
      </c>
      <c r="S454" s="4" t="inlineStr">
        <is>
          <t>C41</t>
        </is>
      </c>
      <c r="T454" s="7">
        <f>HYPERLINK("#'"&amp;R454&amp;"'!"&amp;S454,"➜ פתח")</f>
        <v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inlineStr">
        <is>
          <t>שדה</t>
        </is>
      </c>
      <c r="O455" s="6" t="inlineStr">
        <is>
          <t>CHARG</t>
        </is>
      </c>
      <c r="P455" s="4" t="inlineStr">
        <is>
          <t>אצווה</t>
        </is>
      </c>
      <c r="Q455" s="4" t="inlineStr">
        <is>
          <t>Batch</t>
        </is>
      </c>
      <c r="R455" s="4" t="inlineStr">
        <is>
          <t>6. פק"ע ייצור ומתכון בקרה (Proc</t>
        </is>
      </c>
      <c r="S455" s="4" t="inlineStr">
        <is>
          <t>C42</t>
        </is>
      </c>
      <c r="T455" s="7">
        <f>HYPERLINK("#'"&amp;R455&amp;"'!"&amp;S455,"➜ פתח")</f>
        <v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inlineStr">
        <is>
          <t>טרנזקציה</t>
        </is>
      </c>
      <c r="O456" s="6" t="inlineStr">
        <is>
          <t>COR3</t>
        </is>
      </c>
      <c r="P456" s="4" t="inlineStr">
        <is>
          <t>פריט פקודת ייצור</t>
        </is>
      </c>
      <c r="Q456" s="4" t="inlineStr">
        <is>
          <t>Order item</t>
        </is>
      </c>
      <c r="R456" s="4" t="inlineStr">
        <is>
          <t>6. פק"ע ייצור ומתכון בקרה (Proc</t>
        </is>
      </c>
      <c r="S456" s="4" t="inlineStr">
        <is>
          <t>A38</t>
        </is>
      </c>
      <c r="T456" s="7">
        <f>HYPERLINK("#'"&amp;R456&amp;"'!"&amp;S456,"➜ פתח")</f>
        <v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inlineStr">
        <is>
          <t>טבלה</t>
        </is>
      </c>
      <c r="O457" s="6" t="inlineStr">
        <is>
          <t>AFVC</t>
        </is>
      </c>
      <c r="P457" s="4" t="inlineStr">
        <is>
          <t>פעולות פקודת הייצור</t>
        </is>
      </c>
      <c r="Q457" s="4" t="inlineStr">
        <is>
          <t>Order operations</t>
        </is>
      </c>
      <c r="R457" s="4" t="inlineStr">
        <is>
          <t>6. פק"ע ייצור ומתכון בקרה (Proc</t>
        </is>
      </c>
      <c r="S457" s="4" t="inlineStr">
        <is>
          <t>A44</t>
        </is>
      </c>
      <c r="T457" s="7">
        <f>HYPERLINK("#'"&amp;R457&amp;"'!"&amp;S457,"➜ פתח")</f>
        <v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inlineStr">
        <is>
          <t>שדה</t>
        </is>
      </c>
      <c r="O458" s="6" t="inlineStr">
        <is>
          <t>AUFPL</t>
        </is>
      </c>
      <c r="P458" s="4" t="inlineStr">
        <is>
          <t>מספר תוכנית פעולות</t>
        </is>
      </c>
      <c r="Q458" s="4" t="inlineStr">
        <is>
          <t>Routing number of operations</t>
        </is>
      </c>
      <c r="R458" s="4" t="inlineStr">
        <is>
          <t>6. פק"ע ייצור ומתכון בקרה (Proc</t>
        </is>
      </c>
      <c r="S458" s="4" t="inlineStr">
        <is>
          <t>C45</t>
        </is>
      </c>
      <c r="T458" s="7">
        <f>HYPERLINK("#'"&amp;R458&amp;"'!"&amp;S458,"➜ פתח")</f>
        <v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inlineStr">
        <is>
          <t>שדה</t>
        </is>
      </c>
      <c r="O459" s="6" t="inlineStr">
        <is>
          <t>APLZL</t>
        </is>
      </c>
      <c r="P459" s="4" t="inlineStr">
        <is>
          <t>מונה פנימי</t>
        </is>
      </c>
      <c r="Q459" s="4" t="inlineStr">
        <is>
          <t>Internal counter</t>
        </is>
      </c>
      <c r="R459" s="4" t="inlineStr">
        <is>
          <t>6. פק"ע ייצור ומתכון בקרה (Proc</t>
        </is>
      </c>
      <c r="S459" s="4" t="inlineStr">
        <is>
          <t>C46</t>
        </is>
      </c>
      <c r="T459" s="7">
        <f>HYPERLINK("#'"&amp;R459&amp;"'!"&amp;S459,"➜ פתח")</f>
        <v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inlineStr">
        <is>
          <t>שדה</t>
        </is>
      </c>
      <c r="O460" s="6" t="inlineStr">
        <is>
          <t>VORNR</t>
        </is>
      </c>
      <c r="P460" s="4" t="inlineStr">
        <is>
          <t>מספר פעולה</t>
        </is>
      </c>
      <c r="Q460" s="4" t="inlineStr">
        <is>
          <t>Operation number</t>
        </is>
      </c>
      <c r="R460" s="4" t="inlineStr">
        <is>
          <t>6. פק"ע ייצור ומתכון בקרה (Proc</t>
        </is>
      </c>
      <c r="S460" s="4" t="inlineStr">
        <is>
          <t>C47</t>
        </is>
      </c>
      <c r="T460" s="7">
        <f>HYPERLINK("#'"&amp;R460&amp;"'!"&amp;S460,"➜ פתח")</f>
        <v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inlineStr">
        <is>
          <t>שדה</t>
        </is>
      </c>
      <c r="O461" s="6" t="inlineStr">
        <is>
          <t>ARBID</t>
        </is>
      </c>
      <c r="P461" s="4" t="inlineStr">
        <is>
          <t>משאב</t>
        </is>
      </c>
      <c r="Q461" s="4" t="inlineStr">
        <is>
          <t>Resource (object id)</t>
        </is>
      </c>
      <c r="R461" s="4" t="inlineStr">
        <is>
          <t>6. פק"ע ייצור ומתכון בקרה (Proc</t>
        </is>
      </c>
      <c r="S461" s="4" t="inlineStr">
        <is>
          <t>C48</t>
        </is>
      </c>
      <c r="T461" s="7">
        <f>HYPERLINK("#'"&amp;R461&amp;"'!"&amp;S461,"➜ פתח")</f>
        <v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inlineStr">
        <is>
          <t>שדה</t>
        </is>
      </c>
      <c r="O462" s="6" t="inlineStr">
        <is>
          <t>STEUS</t>
        </is>
      </c>
      <c r="P462" s="4" t="inlineStr">
        <is>
          <t>מפתח בקרה</t>
        </is>
      </c>
      <c r="Q462" s="4" t="inlineStr">
        <is>
          <t>Control key</t>
        </is>
      </c>
      <c r="R462" s="4" t="inlineStr">
        <is>
          <t>6. פק"ע ייצור ומתכון בקרה (Proc</t>
        </is>
      </c>
      <c r="S462" s="4" t="inlineStr">
        <is>
          <t>C49</t>
        </is>
      </c>
      <c r="T462" s="7">
        <f>HYPERLINK("#'"&amp;R462&amp;"'!"&amp;S462,"➜ פתח")</f>
        <v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inlineStr">
        <is>
          <t>שדה</t>
        </is>
      </c>
      <c r="O463" s="6" t="inlineStr">
        <is>
          <t>LTXA1</t>
        </is>
      </c>
      <c r="P463" s="4" t="inlineStr">
        <is>
          <t>תיאור פעולה</t>
        </is>
      </c>
      <c r="Q463" s="4" t="inlineStr">
        <is>
          <t>Operation text</t>
        </is>
      </c>
      <c r="R463" s="4" t="inlineStr">
        <is>
          <t>6. פק"ע ייצור ומתכון בקרה (Proc</t>
        </is>
      </c>
      <c r="S463" s="4" t="inlineStr">
        <is>
          <t>C50</t>
        </is>
      </c>
      <c r="T463" s="7">
        <f>HYPERLINK("#'"&amp;R463&amp;"'!"&amp;S463,"➜ פתח")</f>
        <v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inlineStr">
        <is>
          <t>טרנזקציה</t>
        </is>
      </c>
      <c r="O464" s="6" t="inlineStr">
        <is>
          <t>COR2</t>
        </is>
      </c>
      <c r="P464" s="4" t="inlineStr">
        <is>
          <t>פעולות פקודת הייצור</t>
        </is>
      </c>
      <c r="Q464" s="4" t="inlineStr">
        <is>
          <t>Order operations</t>
        </is>
      </c>
      <c r="R464" s="4" t="inlineStr">
        <is>
          <t>6. פק"ע ייצור ומתכון בקרה (Proc</t>
        </is>
      </c>
      <c r="S464" s="4" t="inlineStr">
        <is>
          <t>A45</t>
        </is>
      </c>
      <c r="T464" s="7">
        <f>HYPERLINK("#'"&amp;R464&amp;"'!"&amp;S464,"➜ פתח")</f>
        <v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inlineStr">
        <is>
          <t>טבלה</t>
        </is>
      </c>
      <c r="O465" s="6" t="inlineStr">
        <is>
          <t>RESB</t>
        </is>
      </c>
      <c r="P465" s="4" t="inlineStr">
        <is>
          <t>הזמנת רכיבים לפק"ע</t>
        </is>
      </c>
      <c r="Q465" s="4" t="inlineStr">
        <is>
          <t>Reservation / dependent requirements</t>
        </is>
      </c>
      <c r="R465" s="4" t="inlineStr">
        <is>
          <t>6. פק"ע ייצור ומתכון בקרה (Proc</t>
        </is>
      </c>
      <c r="S465" s="4" t="inlineStr">
        <is>
          <t>A52</t>
        </is>
      </c>
      <c r="T465" s="7">
        <f>HYPERLINK("#'"&amp;R465&amp;"'!"&amp;S465,"➜ פתח")</f>
        <v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inlineStr">
        <is>
          <t>שדה</t>
        </is>
      </c>
      <c r="O466" s="6" t="inlineStr">
        <is>
          <t>RSNUM</t>
        </is>
      </c>
      <c r="P466" s="4" t="inlineStr">
        <is>
          <t>מספר הזמנה</t>
        </is>
      </c>
      <c r="Q466" s="4" t="inlineStr">
        <is>
          <t>Reservation number</t>
        </is>
      </c>
      <c r="R466" s="4" t="inlineStr">
        <is>
          <t>6. פק"ע ייצור ומתכון בקרה (Proc</t>
        </is>
      </c>
      <c r="S466" s="4" t="inlineStr">
        <is>
          <t>C53</t>
        </is>
      </c>
      <c r="T466" s="7">
        <f>HYPERLINK("#'"&amp;R466&amp;"'!"&amp;S466,"➜ פתח")</f>
        <v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inlineStr">
        <is>
          <t>שדה</t>
        </is>
      </c>
      <c r="O467" s="6" t="inlineStr">
        <is>
          <t>RSPOS</t>
        </is>
      </c>
      <c r="P467" s="4" t="inlineStr">
        <is>
          <t>פריט הזמנה</t>
        </is>
      </c>
      <c r="Q467" s="4" t="inlineStr">
        <is>
          <t>Reservation item</t>
        </is>
      </c>
      <c r="R467" s="4" t="inlineStr">
        <is>
          <t>6. פק"ע ייצור ומתכון בקרה (Proc</t>
        </is>
      </c>
      <c r="S467" s="4" t="inlineStr">
        <is>
          <t>C54</t>
        </is>
      </c>
      <c r="T467" s="7">
        <f>HYPERLINK("#'"&amp;R467&amp;"'!"&amp;S467,"➜ פתח")</f>
        <v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inlineStr">
        <is>
          <t>שדה</t>
        </is>
      </c>
      <c r="O468" s="6" t="inlineStr">
        <is>
          <t>MATNR</t>
        </is>
      </c>
      <c r="P468" s="4" t="inlineStr">
        <is>
          <t>רכיב</t>
        </is>
      </c>
      <c r="Q468" s="4" t="inlineStr">
        <is>
          <t>Component</t>
        </is>
      </c>
      <c r="R468" s="4" t="inlineStr">
        <is>
          <t>6. פק"ע ייצור ומתכון בקרה (Proc</t>
        </is>
      </c>
      <c r="S468" s="4" t="inlineStr">
        <is>
          <t>C55</t>
        </is>
      </c>
      <c r="T468" s="7">
        <f>HYPERLINK("#'"&amp;R468&amp;"'!"&amp;S468,"➜ פתח")</f>
        <v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inlineStr">
        <is>
          <t>שדה</t>
        </is>
      </c>
      <c r="O469" s="6" t="inlineStr">
        <is>
          <t>BDMNG</t>
        </is>
      </c>
      <c r="P469" s="4" t="inlineStr">
        <is>
          <t>כמות נדרשת</t>
        </is>
      </c>
      <c r="Q469" s="4" t="inlineStr">
        <is>
          <t>Requirement quantity</t>
        </is>
      </c>
      <c r="R469" s="4" t="inlineStr">
        <is>
          <t>6. פק"ע ייצור ומתכון בקרה (Proc</t>
        </is>
      </c>
      <c r="S469" s="4" t="inlineStr">
        <is>
          <t>C56</t>
        </is>
      </c>
      <c r="T469" s="7">
        <f>HYPERLINK("#'"&amp;R469&amp;"'!"&amp;S469,"➜ פתח")</f>
        <v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inlineStr">
        <is>
          <t>שדה</t>
        </is>
      </c>
      <c r="O470" s="6" t="inlineStr">
        <is>
          <t>ENMNG</t>
        </is>
      </c>
      <c r="P470" s="4" t="inlineStr">
        <is>
          <t>כמות שנפלטה</t>
        </is>
      </c>
      <c r="Q470" s="4" t="inlineStr">
        <is>
          <t>Quantity withdrawn</t>
        </is>
      </c>
      <c r="R470" s="4" t="inlineStr">
        <is>
          <t>6. פק"ע ייצור ומתכון בקרה (Proc</t>
        </is>
      </c>
      <c r="S470" s="4" t="inlineStr">
        <is>
          <t>C57</t>
        </is>
      </c>
      <c r="T470" s="7">
        <f>HYPERLINK("#'"&amp;R470&amp;"'!"&amp;S470,"➜ פתח")</f>
        <v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inlineStr">
        <is>
          <t>שדה</t>
        </is>
      </c>
      <c r="O471" s="6" t="inlineStr">
        <is>
          <t>AUFNR</t>
        </is>
      </c>
      <c r="P471" s="4" t="inlineStr">
        <is>
          <t>מספר פק"ע</t>
        </is>
      </c>
      <c r="Q471" s="4" t="inlineStr">
        <is>
          <t>Order number</t>
        </is>
      </c>
      <c r="R471" s="4" t="inlineStr">
        <is>
          <t>6. פק"ע ייצור ומתכון בקרה (Proc</t>
        </is>
      </c>
      <c r="S471" s="4" t="inlineStr">
        <is>
          <t>C58</t>
        </is>
      </c>
      <c r="T471" s="7">
        <f>HYPERLINK("#'"&amp;R471&amp;"'!"&amp;S471,"➜ פתח")</f>
        <v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inlineStr">
        <is>
          <t>טרנזקציה</t>
        </is>
      </c>
      <c r="O472" s="6" t="inlineStr">
        <is>
          <t>COR2</t>
        </is>
      </c>
      <c r="P472" s="4" t="inlineStr">
        <is>
          <t>הזמנת רכיבים לפק"ע</t>
        </is>
      </c>
      <c r="Q472" s="4" t="inlineStr">
        <is>
          <t>Reservation / dependent requirements</t>
        </is>
      </c>
      <c r="R472" s="4" t="inlineStr">
        <is>
          <t>6. פק"ע ייצור ומתכון בקרה (Proc</t>
        </is>
      </c>
      <c r="S472" s="4" t="inlineStr">
        <is>
          <t>A53</t>
        </is>
      </c>
      <c r="T472" s="7">
        <f>HYPERLINK("#'"&amp;R472&amp;"'!"&amp;S472,"➜ פתח")</f>
        <v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inlineStr">
        <is>
          <t>טרנזקציה</t>
        </is>
      </c>
      <c r="O473" s="6" t="inlineStr">
        <is>
          <t>CO09</t>
        </is>
      </c>
      <c r="P473" s="4" t="inlineStr">
        <is>
          <t>הזמנת רכיבים לפק"ע</t>
        </is>
      </c>
      <c r="Q473" s="4" t="inlineStr">
        <is>
          <t>Reservation / dependent requirements</t>
        </is>
      </c>
      <c r="R473" s="4" t="inlineStr">
        <is>
          <t>6. פק"ע ייצור ומתכון בקרה (Proc</t>
        </is>
      </c>
      <c r="S473" s="4" t="inlineStr">
        <is>
          <t>A53</t>
        </is>
      </c>
      <c r="T473" s="7">
        <f>HYPERLINK("#'"&amp;R473&amp;"'!"&amp;S473,"➜ פתח")</f>
        <v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inlineStr">
        <is>
          <t>טבלה</t>
        </is>
      </c>
      <c r="O474" s="6" t="inlineStr">
        <is>
          <t>AFRU</t>
        </is>
      </c>
      <c r="P474" s="4" t="inlineStr">
        <is>
          <t>דיווחי ביצוע פק"ע</t>
        </is>
      </c>
      <c r="Q474" s="4" t="inlineStr">
        <is>
          <t>Order confirmations</t>
        </is>
      </c>
      <c r="R474" s="4" t="inlineStr">
        <is>
          <t>6. פק"ע ייצור ומתכון בקרה (Proc</t>
        </is>
      </c>
      <c r="S474" s="4" t="inlineStr">
        <is>
          <t>A60</t>
        </is>
      </c>
      <c r="T474" s="7">
        <f>HYPERLINK("#'"&amp;R474&amp;"'!"&amp;S474,"➜ פתח")</f>
        <v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inlineStr">
        <is>
          <t>שדה</t>
        </is>
      </c>
      <c r="O475" s="6" t="inlineStr">
        <is>
          <t>RUECK</t>
        </is>
      </c>
      <c r="P475" s="4" t="inlineStr">
        <is>
          <t>מספר דיווח</t>
        </is>
      </c>
      <c r="Q475" s="4" t="inlineStr">
        <is>
          <t>Confirmation number</t>
        </is>
      </c>
      <c r="R475" s="4" t="inlineStr">
        <is>
          <t>6. פק"ע ייצור ומתכון בקרה (Proc</t>
        </is>
      </c>
      <c r="S475" s="4" t="inlineStr">
        <is>
          <t>C61</t>
        </is>
      </c>
      <c r="T475" s="7">
        <f>HYPERLINK("#'"&amp;R475&amp;"'!"&amp;S475,"➜ פתח")</f>
        <v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inlineStr">
        <is>
          <t>שדה</t>
        </is>
      </c>
      <c r="O476" s="6" t="inlineStr">
        <is>
          <t>RMZHL</t>
        </is>
      </c>
      <c r="P476" s="4" t="inlineStr">
        <is>
          <t>מונה דיווח</t>
        </is>
      </c>
      <c r="Q476" s="4" t="inlineStr">
        <is>
          <t>Confirmation counter</t>
        </is>
      </c>
      <c r="R476" s="4" t="inlineStr">
        <is>
          <t>6. פק"ע ייצור ומתכון בקרה (Proc</t>
        </is>
      </c>
      <c r="S476" s="4" t="inlineStr">
        <is>
          <t>C62</t>
        </is>
      </c>
      <c r="T476" s="7">
        <f>HYPERLINK("#'"&amp;R476&amp;"'!"&amp;S476,"➜ פתח")</f>
        <v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inlineStr">
        <is>
          <t>שדה</t>
        </is>
      </c>
      <c r="O477" s="6" t="inlineStr">
        <is>
          <t>AUFNR</t>
        </is>
      </c>
      <c r="P477" s="4" t="inlineStr">
        <is>
          <t>מספר פק"ע</t>
        </is>
      </c>
      <c r="Q477" s="4" t="inlineStr">
        <is>
          <t>Order number</t>
        </is>
      </c>
      <c r="R477" s="4" t="inlineStr">
        <is>
          <t>6. פק"ע ייצור ומתכון בקרה (Proc</t>
        </is>
      </c>
      <c r="S477" s="4" t="inlineStr">
        <is>
          <t>C63</t>
        </is>
      </c>
      <c r="T477" s="7">
        <f>HYPERLINK("#'"&amp;R477&amp;"'!"&amp;S477,"➜ פתח")</f>
        <v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inlineStr">
        <is>
          <t>שדה</t>
        </is>
      </c>
      <c r="O478" s="6" t="inlineStr">
        <is>
          <t>LMNGA</t>
        </is>
      </c>
      <c r="P478" s="4" t="inlineStr">
        <is>
          <t>כמות שיוצרה</t>
        </is>
      </c>
      <c r="Q478" s="4" t="inlineStr">
        <is>
          <t>Yield (confirmed qty)</t>
        </is>
      </c>
      <c r="R478" s="4" t="inlineStr">
        <is>
          <t>6. פק"ע ייצור ומתכון בקרה (Proc</t>
        </is>
      </c>
      <c r="S478" s="4" t="inlineStr">
        <is>
          <t>C64</t>
        </is>
      </c>
      <c r="T478" s="7">
        <f>HYPERLINK("#'"&amp;R478&amp;"'!"&amp;S478,"➜ פתח")</f>
        <v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inlineStr">
        <is>
          <t>שדה</t>
        </is>
      </c>
      <c r="O479" s="6" t="inlineStr">
        <is>
          <t>XMNGA</t>
        </is>
      </c>
      <c r="P479" s="4" t="inlineStr">
        <is>
          <t>כמות פחת</t>
        </is>
      </c>
      <c r="Q479" s="4" t="inlineStr">
        <is>
          <t>Scrap quantity</t>
        </is>
      </c>
      <c r="R479" s="4" t="inlineStr">
        <is>
          <t>6. פק"ע ייצור ומתכון בקרה (Proc</t>
        </is>
      </c>
      <c r="S479" s="4" t="inlineStr">
        <is>
          <t>C65</t>
        </is>
      </c>
      <c r="T479" s="7">
        <f>HYPERLINK("#'"&amp;R479&amp;"'!"&amp;S479,"➜ פתח")</f>
        <v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inlineStr">
        <is>
          <t>טרנזקציה</t>
        </is>
      </c>
      <c r="O480" s="6" t="inlineStr">
        <is>
          <t>CORK</t>
        </is>
      </c>
      <c r="P480" s="4" t="inlineStr">
        <is>
          <t>דיווחי ביצוע פק"ע</t>
        </is>
      </c>
      <c r="Q480" s="4" t="inlineStr">
        <is>
          <t>Order confirmations</t>
        </is>
      </c>
      <c r="R480" s="4" t="inlineStr">
        <is>
          <t>6. פק"ע ייצור ומתכון בקרה (Proc</t>
        </is>
      </c>
      <c r="S480" s="4" t="inlineStr">
        <is>
          <t>A61</t>
        </is>
      </c>
      <c r="T480" s="7">
        <f>HYPERLINK("#'"&amp;R480&amp;"'!"&amp;S480,"➜ פתח")</f>
        <v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inlineStr">
        <is>
          <t>טרנזקציה</t>
        </is>
      </c>
      <c r="O481" s="6" t="inlineStr">
        <is>
          <t>COR6</t>
        </is>
      </c>
      <c r="P481" s="4" t="inlineStr">
        <is>
          <t>דיווחי ביצוע פק"ע</t>
        </is>
      </c>
      <c r="Q481" s="4" t="inlineStr">
        <is>
          <t>Order confirmations</t>
        </is>
      </c>
      <c r="R481" s="4" t="inlineStr">
        <is>
          <t>6. פק"ע ייצור ומתכון בקרה (Proc</t>
        </is>
      </c>
      <c r="S481" s="4" t="inlineStr">
        <is>
          <t>A61</t>
        </is>
      </c>
      <c r="T481" s="7">
        <f>HYPERLINK("#'"&amp;R481&amp;"'!"&amp;S481,"➜ פתח")</f>
        <v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inlineStr">
        <is>
          <t>טבלה</t>
        </is>
      </c>
      <c r="O482" s="6" t="inlineStr">
        <is>
          <t>AFFH</t>
        </is>
      </c>
      <c r="P482" s="4" t="inlineStr">
        <is>
          <t>שיוך PRT לפק"ע</t>
        </is>
      </c>
      <c r="Q482" s="4" t="inlineStr">
        <is>
          <t>PRT allocation in order</t>
        </is>
      </c>
      <c r="R482" s="4" t="inlineStr">
        <is>
          <t>6. פק"ע ייצור ומתכון בקרה (Proc</t>
        </is>
      </c>
      <c r="S482" s="4" t="inlineStr">
        <is>
          <t>A67</t>
        </is>
      </c>
      <c r="T482" s="7">
        <f>HYPERLINK("#'"&amp;R482&amp;"'!"&amp;S482,"➜ פתח")</f>
        <v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inlineStr">
        <is>
          <t>שדה</t>
        </is>
      </c>
      <c r="O483" s="6" t="inlineStr">
        <is>
          <t>AUFPL</t>
        </is>
      </c>
      <c r="P483" s="4" t="inlineStr">
        <is>
          <t>מספר תוכנית פעולות</t>
        </is>
      </c>
      <c r="Q483" s="4" t="inlineStr">
        <is>
          <t>Routing number</t>
        </is>
      </c>
      <c r="R483" s="4" t="inlineStr">
        <is>
          <t>6. פק"ע ייצור ומתכון בקרה (Proc</t>
        </is>
      </c>
      <c r="S483" s="4" t="inlineStr">
        <is>
          <t>C68</t>
        </is>
      </c>
      <c r="T483" s="7">
        <f>HYPERLINK("#'"&amp;R483&amp;"'!"&amp;S483,"➜ פתח")</f>
        <v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inlineStr">
        <is>
          <t>שדה</t>
        </is>
      </c>
      <c r="O484" s="6" t="inlineStr">
        <is>
          <t>APLZL</t>
        </is>
      </c>
      <c r="P484" s="4" t="inlineStr">
        <is>
          <t>מונה</t>
        </is>
      </c>
      <c r="Q484" s="4" t="inlineStr">
        <is>
          <t>Counter</t>
        </is>
      </c>
      <c r="R484" s="4" t="inlineStr">
        <is>
          <t>6. פק"ע ייצור ומתכון בקרה (Proc</t>
        </is>
      </c>
      <c r="S484" s="4" t="inlineStr">
        <is>
          <t>C69</t>
        </is>
      </c>
      <c r="T484" s="7">
        <f>HYPERLINK("#'"&amp;R484&amp;"'!"&amp;S484,"➜ פתח")</f>
        <v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inlineStr">
        <is>
          <t>שדה</t>
        </is>
      </c>
      <c r="O485" s="6" t="inlineStr">
        <is>
          <t>FHMNR</t>
        </is>
      </c>
      <c r="P485" s="4" t="inlineStr">
        <is>
          <t>מספר כלי עזר</t>
        </is>
      </c>
      <c r="Q485" s="4" t="inlineStr">
        <is>
          <t>PRT number</t>
        </is>
      </c>
      <c r="R485" s="4" t="inlineStr">
        <is>
          <t>6. פק"ע ייצור ומתכון בקרה (Proc</t>
        </is>
      </c>
      <c r="S485" s="4" t="inlineStr">
        <is>
          <t>C70</t>
        </is>
      </c>
      <c r="T485" s="7">
        <f>HYPERLINK("#'"&amp;R485&amp;"'!"&amp;S485,"➜ פתח")</f>
        <v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inlineStr">
        <is>
          <t>טרנזקציה</t>
        </is>
      </c>
      <c r="O486" s="6" t="inlineStr">
        <is>
          <t>COR2 (PRT)</t>
        </is>
      </c>
      <c r="P486" s="4" t="inlineStr">
        <is>
          <t>שיוך PRT לפק"ע</t>
        </is>
      </c>
      <c r="Q486" s="4" t="inlineStr">
        <is>
          <t>PRT allocation in order</t>
        </is>
      </c>
      <c r="R486" s="4" t="inlineStr">
        <is>
          <t>6. פק"ע ייצור ומתכון בקרה (Proc</t>
        </is>
      </c>
      <c r="S486" s="4" t="inlineStr">
        <is>
          <t>A68</t>
        </is>
      </c>
      <c r="T486" s="7">
        <f>HYPERLINK("#'"&amp;R486&amp;"'!"&amp;S486,"➜ פתח")</f>
        <v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inlineStr">
        <is>
          <t>טבלה</t>
        </is>
      </c>
      <c r="O487" s="6" t="inlineStr">
        <is>
          <t>AFFL</t>
        </is>
      </c>
      <c r="P487" s="4" t="inlineStr">
        <is>
          <t>רצפי פעולות בפק"ע</t>
        </is>
      </c>
      <c r="Q487" s="4" t="inlineStr">
        <is>
          <t>Order sequences (work order)</t>
        </is>
      </c>
      <c r="R487" s="4" t="inlineStr">
        <is>
          <t>6. פק"ע ייצור ומתכון בקרה (Proc</t>
        </is>
      </c>
      <c r="S487" s="4" t="inlineStr">
        <is>
          <t>A72</t>
        </is>
      </c>
      <c r="T487" s="7">
        <f>HYPERLINK("#'"&amp;R487&amp;"'!"&amp;S487,"➜ פתח")</f>
        <v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inlineStr">
        <is>
          <t>שדה</t>
        </is>
      </c>
      <c r="O488" s="6" t="inlineStr">
        <is>
          <t>AUFPL</t>
        </is>
      </c>
      <c r="P488" s="4" t="inlineStr">
        <is>
          <t>מספר תוכנית פעולות</t>
        </is>
      </c>
      <c r="Q488" s="4" t="inlineStr">
        <is>
          <t>Routing number of operations</t>
        </is>
      </c>
      <c r="R488" s="4" t="inlineStr">
        <is>
          <t>6. פק"ע ייצור ומתכון בקרה (Proc</t>
        </is>
      </c>
      <c r="S488" s="4" t="inlineStr">
        <is>
          <t>C73</t>
        </is>
      </c>
      <c r="T488" s="7">
        <f>HYPERLINK("#'"&amp;R488&amp;"'!"&amp;S488,"➜ פתח")</f>
        <v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inlineStr">
        <is>
          <t>שדה</t>
        </is>
      </c>
      <c r="O489" s="6" t="inlineStr">
        <is>
          <t>APLFL</t>
        </is>
      </c>
      <c r="P489" s="4" t="inlineStr">
        <is>
          <t>רצף</t>
        </is>
      </c>
      <c r="Q489" s="4" t="inlineStr">
        <is>
          <t>Sequence</t>
        </is>
      </c>
      <c r="R489" s="4" t="inlineStr">
        <is>
          <t>6. פק"ע ייצור ומתכון בקרה (Proc</t>
        </is>
      </c>
      <c r="S489" s="4" t="inlineStr">
        <is>
          <t>C74</t>
        </is>
      </c>
      <c r="T489" s="7">
        <f>HYPERLINK("#'"&amp;R489&amp;"'!"&amp;S489,"➜ פתח")</f>
        <v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inlineStr">
        <is>
          <t>שדה</t>
        </is>
      </c>
      <c r="O490" s="6" t="inlineStr">
        <is>
          <t>PLNFL</t>
        </is>
      </c>
      <c r="P490" s="4" t="inlineStr">
        <is>
          <t>רצף ייחוס</t>
        </is>
      </c>
      <c r="Q490" s="4" t="inlineStr">
        <is>
          <t>Reference sequence</t>
        </is>
      </c>
      <c r="R490" s="4" t="inlineStr">
        <is>
          <t>6. פק"ע ייצור ומתכון בקרה (Proc</t>
        </is>
      </c>
      <c r="S490" s="4" t="inlineStr">
        <is>
          <t>C75</t>
        </is>
      </c>
      <c r="T490" s="7">
        <f>HYPERLINK("#'"&amp;R490&amp;"'!"&amp;S490,"➜ פתח")</f>
        <v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inlineStr">
        <is>
          <t>שדה</t>
        </is>
      </c>
      <c r="O491" s="6" t="inlineStr">
        <is>
          <t>FLGAT</t>
        </is>
      </c>
      <c r="P491" s="4" t="inlineStr">
        <is>
          <t>קטגוריית רצף</t>
        </is>
      </c>
      <c r="Q491" s="4" t="inlineStr">
        <is>
          <t>Sequence category</t>
        </is>
      </c>
      <c r="R491" s="4" t="inlineStr">
        <is>
          <t>6. פק"ע ייצור ומתכון בקרה (Proc</t>
        </is>
      </c>
      <c r="S491" s="4" t="inlineStr">
        <is>
          <t>C76</t>
        </is>
      </c>
      <c r="T491" s="7">
        <f>HYPERLINK("#'"&amp;R491&amp;"'!"&amp;S491,"➜ פתח")</f>
        <v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inlineStr">
        <is>
          <t>טרנזקציה</t>
        </is>
      </c>
      <c r="O492" s="6" t="inlineStr">
        <is>
          <t>COR2</t>
        </is>
      </c>
      <c r="P492" s="4" t="inlineStr">
        <is>
          <t>רצפי פעולות בפק"ע</t>
        </is>
      </c>
      <c r="Q492" s="4" t="inlineStr">
        <is>
          <t>Order sequences (work order)</t>
        </is>
      </c>
      <c r="R492" s="4" t="inlineStr">
        <is>
          <t>6. פק"ע ייצור ומתכון בקרה (Proc</t>
        </is>
      </c>
      <c r="S492" s="4" t="inlineStr">
        <is>
          <t>A73</t>
        </is>
      </c>
      <c r="T492" s="7">
        <f>HYPERLINK("#'"&amp;R492&amp;"'!"&amp;S492,"➜ פתח")</f>
        <v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inlineStr">
        <is>
          <t>טרנזקציה</t>
        </is>
      </c>
      <c r="O493" s="6" t="inlineStr">
        <is>
          <t>COR4</t>
        </is>
      </c>
      <c r="P493" s="4" t="inlineStr">
        <is>
          <t>Configure Order Types (SPRO)</t>
        </is>
      </c>
      <c r="Q493" s="4" t="inlineStr">
        <is>
          <t>-</t>
        </is>
      </c>
      <c r="R493" s="4" t="inlineStr">
        <is>
          <t>7. קונפיגורציה (Customizing)</t>
        </is>
      </c>
      <c r="S493" s="4" t="inlineStr">
        <is>
          <t>A6</t>
        </is>
      </c>
      <c r="T493" s="7">
        <f>HYPERLINK("#'"&amp;R493&amp;"'!"&amp;S493,"➜ פתח")</f>
        <v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inlineStr">
        <is>
          <t>טרנזקציה</t>
        </is>
      </c>
      <c r="O494" s="6" t="inlineStr">
        <is>
          <t>OPL8</t>
        </is>
      </c>
      <c r="P494" s="4" t="inlineStr">
        <is>
          <t>Order Type-Dependent Parameters</t>
        </is>
      </c>
      <c r="Q494" s="4" t="inlineStr">
        <is>
          <t>-</t>
        </is>
      </c>
      <c r="R494" s="4" t="inlineStr">
        <is>
          <t>7. קונפיגורציה (Customizing)</t>
        </is>
      </c>
      <c r="S494" s="4" t="inlineStr">
        <is>
          <t>A7</t>
        </is>
      </c>
      <c r="T494" s="7">
        <f>HYPERLINK("#'"&amp;R494&amp;"'!"&amp;S494,"➜ פתח")</f>
        <v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inlineStr">
        <is>
          <t>טרנזקציה</t>
        </is>
      </c>
      <c r="O495" s="6" t="inlineStr">
        <is>
          <t>BS02</t>
        </is>
      </c>
      <c r="P495" s="4" t="inlineStr">
        <is>
          <t>Maintain Status Profile</t>
        </is>
      </c>
      <c r="Q495" s="4" t="inlineStr">
        <is>
          <t>-</t>
        </is>
      </c>
      <c r="R495" s="4" t="inlineStr">
        <is>
          <t>7. קונפיגורציה (Customizing)</t>
        </is>
      </c>
      <c r="S495" s="4" t="inlineStr">
        <is>
          <t>A8</t>
        </is>
      </c>
      <c r="T495" s="7">
        <f>HYPERLINK("#'"&amp;R495&amp;"'!"&amp;S495,"➜ פתח")</f>
        <v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inlineStr">
        <is>
          <t>טרנזקציה</t>
        </is>
      </c>
      <c r="O496" s="6" t="inlineStr">
        <is>
          <t>BP</t>
        </is>
      </c>
      <c r="P496" s="4" t="inlineStr">
        <is>
          <t>Manage Business Partner Master Data</t>
        </is>
      </c>
      <c r="Q496" s="4" t="inlineStr">
        <is>
          <t>-</t>
        </is>
      </c>
      <c r="R496" s="4" t="inlineStr">
        <is>
          <t>7. קונפיגורציה (Customizing)</t>
        </is>
      </c>
      <c r="S496" s="4" t="inlineStr">
        <is>
          <t>A9</t>
        </is>
      </c>
      <c r="T496" s="7">
        <f>HYPERLINK("#'"&amp;R496&amp;"'!"&amp;S496,"➜ פתח")</f>
        <v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inlineStr">
        <is>
          <t>IDoc</t>
        </is>
      </c>
      <c r="O497" s="6" t="inlineStr">
        <is>
          <t>LOIPRO</t>
        </is>
      </c>
      <c r="P497" s="4" t="inlineStr">
        <is>
          <t>פק"ע/הוראות ייצור ל-MES</t>
        </is>
      </c>
      <c r="Q497" s="4" t="inlineStr"/>
      <c r="R497" s="4" t="inlineStr">
        <is>
          <t>7. קונפיגורציה (Customizing)</t>
        </is>
      </c>
      <c r="S497" s="4" t="inlineStr">
        <is>
          <t>A12</t>
        </is>
      </c>
      <c r="T497" s="7">
        <f>HYPERLINK("#'"&amp;R497&amp;"'!"&amp;S497,"➜ פתח")</f>
        <v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inlineStr">
        <is>
          <t>BAPI</t>
        </is>
      </c>
      <c r="O498" s="6" t="inlineStr">
        <is>
          <t>BAPI_BUPA_CREATE_FROM_DATA</t>
        </is>
      </c>
      <c r="P498" s="4" t="inlineStr">
        <is>
          <t>יצירת שותף עסקי (BP)</t>
        </is>
      </c>
      <c r="Q498" s="4" t="inlineStr"/>
      <c r="R498" s="4" t="inlineStr">
        <is>
          <t>7. קונפיגורציה (Customizing)</t>
        </is>
      </c>
      <c r="S498" s="4" t="inlineStr">
        <is>
          <t>A13</t>
        </is>
      </c>
      <c r="T498" s="7">
        <f>HYPERLINK("#'"&amp;R498&amp;"'!"&amp;S498,"➜ פתח")</f>
        <v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inlineStr">
        <is>
          <t>FM</t>
        </is>
      </c>
      <c r="O499" s="6" t="inlineStr">
        <is>
          <t>CVI_VENDOR_TO_BP_CONVERT</t>
        </is>
      </c>
      <c r="P499" s="4" t="inlineStr">
        <is>
          <t>המרת ספק ל-BP (CVI)</t>
        </is>
      </c>
      <c r="Q499" s="4" t="inlineStr"/>
      <c r="R499" s="4" t="inlineStr">
        <is>
          <t>7. קונפיגורציה (Customizing)</t>
        </is>
      </c>
      <c r="S499" s="4" t="inlineStr">
        <is>
          <t>A14</t>
        </is>
      </c>
      <c r="T499" s="7">
        <f>HYPERLINK("#'"&amp;R499&amp;"'!"&amp;S499,"➜ פתח")</f>
        <v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inlineStr">
        <is>
          <t>RFC</t>
        </is>
      </c>
      <c r="O500" s="6" t="inlineStr">
        <is>
          <t>STATUS_CHANGE_INTERN</t>
        </is>
      </c>
      <c r="P500" s="4" t="inlineStr">
        <is>
          <t>שינוי סטטוס פנימי</t>
        </is>
      </c>
      <c r="Q500" s="4" t="inlineStr"/>
      <c r="R500" s="4" t="inlineStr">
        <is>
          <t>7. קונפיגורציה (Customizing)</t>
        </is>
      </c>
      <c r="S500" s="4" t="inlineStr">
        <is>
          <t>A15</t>
        </is>
      </c>
      <c r="T500" s="7">
        <f>HYPERLINK("#'"&amp;R500&amp;"'!"&amp;S500,"➜ פתח")</f>
        <v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inlineStr">
        <is>
          <t>תוכנית</t>
        </is>
      </c>
      <c r="O501" s="6" t="inlineStr">
        <is>
          <t>RBDMIDOC</t>
        </is>
      </c>
      <c r="P501" s="4" t="inlineStr">
        <is>
          <t>יצירת IDocs להפצה (MATMAS/LOIPRO)</t>
        </is>
      </c>
      <c r="Q501" s="4" t="inlineStr"/>
      <c r="R501" s="4" t="inlineStr">
        <is>
          <t>7. קונפיגורציה (Customizing)</t>
        </is>
      </c>
      <c r="S501" s="4" t="inlineStr">
        <is>
          <t>A18</t>
        </is>
      </c>
      <c r="T501" s="7">
        <f>HYPERLINK("#'"&amp;R501&amp;"'!"&amp;S501,"➜ פתח")</f>
        <v/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inlineStr">
        <is>
          <t>תוכנית</t>
        </is>
      </c>
      <c r="O502" s="6" t="inlineStr">
        <is>
          <t>MDS_LOAD_COCKPIT</t>
        </is>
      </c>
      <c r="P502" s="4" t="inlineStr">
        <is>
          <t>סנכרון Customer/Vendor Integration ל-BP</t>
        </is>
      </c>
      <c r="Q502" s="4" t="inlineStr"/>
      <c r="R502" s="4" t="inlineStr">
        <is>
          <t>7. קונפיגורציה (Customizing)</t>
        </is>
      </c>
      <c r="S502" s="4" t="inlineStr">
        <is>
          <t>A19</t>
        </is>
      </c>
      <c r="T502" s="7">
        <f>HYPERLINK("#'"&amp;R502&amp;"'!"&amp;S502,"➜ פתח")</f>
        <v/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inlineStr">
        <is>
          <t>תוכנית</t>
        </is>
      </c>
      <c r="O503" s="6" t="inlineStr">
        <is>
          <t>RHALTD00 / RCOZP</t>
        </is>
      </c>
      <c r="P503" s="4" t="inlineStr">
        <is>
          <t>עיבוד/בדיקת קונפיגורציה</t>
        </is>
      </c>
      <c r="Q503" s="4" t="inlineStr"/>
      <c r="R503" s="4" t="inlineStr">
        <is>
          <t>7. קונפיגורציה (Customizing)</t>
        </is>
      </c>
      <c r="S503" s="4" t="inlineStr">
        <is>
          <t>A20</t>
        </is>
      </c>
      <c r="T503" s="7">
        <f>HYPERLINK("#'"&amp;R503&amp;"'!"&amp;S503,"➜ פתח")</f>
        <v/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inlineStr">
        <is>
          <t>טבלה</t>
        </is>
      </c>
      <c r="O504" s="6" t="inlineStr">
        <is>
          <t>T134</t>
        </is>
      </c>
      <c r="P504" s="4" t="inlineStr">
        <is>
          <t>סוגי חומר (Customizing)</t>
        </is>
      </c>
      <c r="Q504" s="4" t="inlineStr">
        <is>
          <t>Material types</t>
        </is>
      </c>
      <c r="R504" s="4" t="inlineStr">
        <is>
          <t>7. קונפיגורציה (Customizing)</t>
        </is>
      </c>
      <c r="S504" s="4" t="inlineStr">
        <is>
          <t>A22</t>
        </is>
      </c>
      <c r="T504" s="7">
        <f>HYPERLINK("#'"&amp;R504&amp;"'!"&amp;S504,"➜ פתח")</f>
        <v/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inlineStr">
        <is>
          <t>שדה</t>
        </is>
      </c>
      <c r="O505" s="6" t="inlineStr">
        <is>
          <t>MTART</t>
        </is>
      </c>
      <c r="P505" s="4" t="inlineStr">
        <is>
          <t>סוג חומר</t>
        </is>
      </c>
      <c r="Q505" s="4" t="inlineStr">
        <is>
          <t>Material type</t>
        </is>
      </c>
      <c r="R505" s="4" t="inlineStr">
        <is>
          <t>7. קונפיגורציה (Customizing)</t>
        </is>
      </c>
      <c r="S505" s="4" t="inlineStr">
        <is>
          <t>C23</t>
        </is>
      </c>
      <c r="T505" s="7">
        <f>HYPERLINK("#'"&amp;R505&amp;"'!"&amp;S505,"➜ פתח")</f>
        <v/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inlineStr">
        <is>
          <t>שדה</t>
        </is>
      </c>
      <c r="O506" s="6" t="inlineStr">
        <is>
          <t>MBRSH</t>
        </is>
      </c>
      <c r="P506" s="4" t="inlineStr">
        <is>
          <t>ענף</t>
        </is>
      </c>
      <c r="Q506" s="4" t="inlineStr">
        <is>
          <t>Industry sector</t>
        </is>
      </c>
      <c r="R506" s="4" t="inlineStr">
        <is>
          <t>7. קונפיגורציה (Customizing)</t>
        </is>
      </c>
      <c r="S506" s="4" t="inlineStr">
        <is>
          <t>C24</t>
        </is>
      </c>
      <c r="T506" s="7">
        <f>HYPERLINK("#'"&amp;R506&amp;"'!"&amp;S506,"➜ פתח")</f>
        <v/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inlineStr">
        <is>
          <t>שדה</t>
        </is>
      </c>
      <c r="O507" s="6" t="inlineStr">
        <is>
          <t>KKREF</t>
        </is>
      </c>
      <c r="P507" s="4" t="inlineStr">
        <is>
          <t>הפניית קטגוריית חשבון</t>
        </is>
      </c>
      <c r="Q507" s="4" t="inlineStr">
        <is>
          <t>Account category reference</t>
        </is>
      </c>
      <c r="R507" s="4" t="inlineStr">
        <is>
          <t>7. קונפיגורציה (Customizing)</t>
        </is>
      </c>
      <c r="S507" s="4" t="inlineStr">
        <is>
          <t>C25</t>
        </is>
      </c>
      <c r="T507" s="7">
        <f>HYPERLINK("#'"&amp;R507&amp;"'!"&amp;S507,"➜ פתח")</f>
        <v/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inlineStr">
        <is>
          <t>טרנזקציה</t>
        </is>
      </c>
      <c r="O508" s="6" t="inlineStr">
        <is>
          <t>OMS2</t>
        </is>
      </c>
      <c r="P508" s="4" t="inlineStr">
        <is>
          <t>סוגי חומר (Customizing)</t>
        </is>
      </c>
      <c r="Q508" s="4" t="inlineStr">
        <is>
          <t>Material types</t>
        </is>
      </c>
      <c r="R508" s="4" t="inlineStr">
        <is>
          <t>7. קונפיגורציה (Customizing)</t>
        </is>
      </c>
      <c r="S508" s="4" t="inlineStr">
        <is>
          <t>A23</t>
        </is>
      </c>
      <c r="T508" s="7">
        <f>HYPERLINK("#'"&amp;R508&amp;"'!"&amp;S508,"➜ פתח")</f>
        <v/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inlineStr">
        <is>
          <t>טרנזקציה</t>
        </is>
      </c>
      <c r="O509" s="6" t="inlineStr">
        <is>
          <t>SPRO</t>
        </is>
      </c>
      <c r="P509" s="4" t="inlineStr">
        <is>
          <t>סוגי חומר (Customizing)</t>
        </is>
      </c>
      <c r="Q509" s="4" t="inlineStr">
        <is>
          <t>Material types</t>
        </is>
      </c>
      <c r="R509" s="4" t="inlineStr">
        <is>
          <t>7. קונפיגורציה (Customizing)</t>
        </is>
      </c>
      <c r="S509" s="4" t="inlineStr">
        <is>
          <t>A23</t>
        </is>
      </c>
      <c r="T509" s="7">
        <f>HYPERLINK("#'"&amp;R509&amp;"'!"&amp;S509,"➜ פתח")</f>
        <v/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inlineStr">
        <is>
          <t>טבלה</t>
        </is>
      </c>
      <c r="O510" s="6" t="inlineStr">
        <is>
          <t>T134T</t>
        </is>
      </c>
      <c r="P510" s="4" t="inlineStr">
        <is>
          <t>טקסטים לסוגי חומר</t>
        </is>
      </c>
      <c r="Q510" s="4" t="inlineStr">
        <is>
          <t>Material type descriptions</t>
        </is>
      </c>
      <c r="R510" s="4" t="inlineStr">
        <is>
          <t>7. קונפיגורציה (Customizing)</t>
        </is>
      </c>
      <c r="S510" s="4" t="inlineStr">
        <is>
          <t>A27</t>
        </is>
      </c>
      <c r="T510" s="7">
        <f>HYPERLINK("#'"&amp;R510&amp;"'!"&amp;S510,"➜ פתח")</f>
        <v/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inlineStr">
        <is>
          <t>שדה</t>
        </is>
      </c>
      <c r="O511" s="6" t="inlineStr">
        <is>
          <t>MTART</t>
        </is>
      </c>
      <c r="P511" s="4" t="inlineStr">
        <is>
          <t>סוג חומר</t>
        </is>
      </c>
      <c r="Q511" s="4" t="inlineStr">
        <is>
          <t>Material type</t>
        </is>
      </c>
      <c r="R511" s="4" t="inlineStr">
        <is>
          <t>7. קונפיגורציה (Customizing)</t>
        </is>
      </c>
      <c r="S511" s="4" t="inlineStr">
        <is>
          <t>C28</t>
        </is>
      </c>
      <c r="T511" s="7">
        <f>HYPERLINK("#'"&amp;R511&amp;"'!"&amp;S511,"➜ פתח")</f>
        <v/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inlineStr">
        <is>
          <t>שדה</t>
        </is>
      </c>
      <c r="O512" s="6" t="inlineStr">
        <is>
          <t>SPRAS</t>
        </is>
      </c>
      <c r="P512" s="4" t="inlineStr">
        <is>
          <t>שפה</t>
        </is>
      </c>
      <c r="Q512" s="4" t="inlineStr">
        <is>
          <t>Language key</t>
        </is>
      </c>
      <c r="R512" s="4" t="inlineStr">
        <is>
          <t>7. קונפיגורציה (Customizing)</t>
        </is>
      </c>
      <c r="S512" s="4" t="inlineStr">
        <is>
          <t>C29</t>
        </is>
      </c>
      <c r="T512" s="7">
        <f>HYPERLINK("#'"&amp;R512&amp;"'!"&amp;S512,"➜ פתח")</f>
        <v/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inlineStr">
        <is>
          <t>שדה</t>
        </is>
      </c>
      <c r="O513" s="6" t="inlineStr">
        <is>
          <t>MTBEZ</t>
        </is>
      </c>
      <c r="P513" s="4" t="inlineStr">
        <is>
          <t>תיאור סוג חומר</t>
        </is>
      </c>
      <c r="Q513" s="4" t="inlineStr">
        <is>
          <t>Material type description</t>
        </is>
      </c>
      <c r="R513" s="4" t="inlineStr">
        <is>
          <t>7. קונפיגורציה (Customizing)</t>
        </is>
      </c>
      <c r="S513" s="4" t="inlineStr">
        <is>
          <t>C30</t>
        </is>
      </c>
      <c r="T513" s="7">
        <f>HYPERLINK("#'"&amp;R513&amp;"'!"&amp;S513,"➜ פתח")</f>
        <v/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inlineStr">
        <is>
          <t>טרנזקציה</t>
        </is>
      </c>
      <c r="O514" s="6" t="inlineStr">
        <is>
          <t>OMS2</t>
        </is>
      </c>
      <c r="P514" s="4" t="inlineStr">
        <is>
          <t>טקסטים לסוגי חומר</t>
        </is>
      </c>
      <c r="Q514" s="4" t="inlineStr">
        <is>
          <t>Material type descriptions</t>
        </is>
      </c>
      <c r="R514" s="4" t="inlineStr">
        <is>
          <t>7. קונפיגורציה (Customizing)</t>
        </is>
      </c>
      <c r="S514" s="4" t="inlineStr">
        <is>
          <t>A28</t>
        </is>
      </c>
      <c r="T514" s="7">
        <f>HYPERLINK("#'"&amp;R514&amp;"'!"&amp;S514,"➜ פתח")</f>
        <v/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inlineStr">
        <is>
          <t>טבלה</t>
        </is>
      </c>
      <c r="O515" s="6" t="inlineStr">
        <is>
          <t>T023</t>
        </is>
      </c>
      <c r="P515" s="4" t="inlineStr">
        <is>
          <t>קבוצות חומר (Customizing)</t>
        </is>
      </c>
      <c r="Q515" s="4" t="inlineStr">
        <is>
          <t>Material groups</t>
        </is>
      </c>
      <c r="R515" s="4" t="inlineStr">
        <is>
          <t>7. קונפיגורציה (Customizing)</t>
        </is>
      </c>
      <c r="S515" s="4" t="inlineStr">
        <is>
          <t>A32</t>
        </is>
      </c>
      <c r="T515" s="7">
        <f>HYPERLINK("#'"&amp;R515&amp;"'!"&amp;S515,"➜ פתח")</f>
        <v/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inlineStr">
        <is>
          <t>שדה</t>
        </is>
      </c>
      <c r="O516" s="6" t="inlineStr">
        <is>
          <t>MATKL</t>
        </is>
      </c>
      <c r="P516" s="4" t="inlineStr">
        <is>
          <t>קבוצת חומר</t>
        </is>
      </c>
      <c r="Q516" s="4" t="inlineStr">
        <is>
          <t>Material group</t>
        </is>
      </c>
      <c r="R516" s="4" t="inlineStr">
        <is>
          <t>7. קונפיגורציה (Customizing)</t>
        </is>
      </c>
      <c r="S516" s="4" t="inlineStr">
        <is>
          <t>C33</t>
        </is>
      </c>
      <c r="T516" s="7">
        <f>HYPERLINK("#'"&amp;R516&amp;"'!"&amp;S516,"➜ פתח")</f>
        <v/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inlineStr">
        <is>
          <t>שדה</t>
        </is>
      </c>
      <c r="O517" s="6" t="inlineStr">
        <is>
          <t>BKLAS</t>
        </is>
      </c>
      <c r="P517" s="4" t="inlineStr">
        <is>
          <t>מחלקת הערכה</t>
        </is>
      </c>
      <c r="Q517" s="4" t="inlineStr">
        <is>
          <t>Valuation class</t>
        </is>
      </c>
      <c r="R517" s="4" t="inlineStr">
        <is>
          <t>7. קונפיגורציה (Customizing)</t>
        </is>
      </c>
      <c r="S517" s="4" t="inlineStr">
        <is>
          <t>C34</t>
        </is>
      </c>
      <c r="T517" s="7">
        <f>HYPERLINK("#'"&amp;R517&amp;"'!"&amp;S517,"➜ פתח")</f>
        <v/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inlineStr">
        <is>
          <t>טרנזקציה</t>
        </is>
      </c>
      <c r="O518" s="6" t="inlineStr">
        <is>
          <t>OMSF</t>
        </is>
      </c>
      <c r="P518" s="4" t="inlineStr">
        <is>
          <t>קבוצות חומר (Customizing)</t>
        </is>
      </c>
      <c r="Q518" s="4" t="inlineStr">
        <is>
          <t>Material groups</t>
        </is>
      </c>
      <c r="R518" s="4" t="inlineStr">
        <is>
          <t>7. קונפיגורציה (Customizing)</t>
        </is>
      </c>
      <c r="S518" s="4" t="inlineStr">
        <is>
          <t>A33</t>
        </is>
      </c>
      <c r="T518" s="7">
        <f>HYPERLINK("#'"&amp;R518&amp;"'!"&amp;S518,"➜ פתח")</f>
        <v/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inlineStr">
        <is>
          <t>טרנזקציה</t>
        </is>
      </c>
      <c r="O519" s="6" t="inlineStr">
        <is>
          <t>SPRO</t>
        </is>
      </c>
      <c r="P519" s="4" t="inlineStr">
        <is>
          <t>קבוצות חומר (Customizing)</t>
        </is>
      </c>
      <c r="Q519" s="4" t="inlineStr">
        <is>
          <t>Material groups</t>
        </is>
      </c>
      <c r="R519" s="4" t="inlineStr">
        <is>
          <t>7. קונפיגורציה (Customizing)</t>
        </is>
      </c>
      <c r="S519" s="4" t="inlineStr">
        <is>
          <t>A33</t>
        </is>
      </c>
      <c r="T519" s="7">
        <f>HYPERLINK("#'"&amp;R519&amp;"'!"&amp;S519,"➜ פתח")</f>
        <v/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inlineStr">
        <is>
          <t>טבלה</t>
        </is>
      </c>
      <c r="O520" s="6" t="inlineStr">
        <is>
          <t>T023T</t>
        </is>
      </c>
      <c r="P520" s="4" t="inlineStr">
        <is>
          <t>טקסטים לקבוצות חומר</t>
        </is>
      </c>
      <c r="Q520" s="4" t="inlineStr">
        <is>
          <t>Material group descriptions</t>
        </is>
      </c>
      <c r="R520" s="4" t="inlineStr">
        <is>
          <t>7. קונפיגורציה (Customizing)</t>
        </is>
      </c>
      <c r="S520" s="4" t="inlineStr">
        <is>
          <t>A36</t>
        </is>
      </c>
      <c r="T520" s="7">
        <f>HYPERLINK("#'"&amp;R520&amp;"'!"&amp;S520,"➜ פתח")</f>
        <v/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inlineStr">
        <is>
          <t>שדה</t>
        </is>
      </c>
      <c r="O521" s="6" t="inlineStr">
        <is>
          <t>MATKL</t>
        </is>
      </c>
      <c r="P521" s="4" t="inlineStr">
        <is>
          <t>קבוצת חומר</t>
        </is>
      </c>
      <c r="Q521" s="4" t="inlineStr">
        <is>
          <t>Material group</t>
        </is>
      </c>
      <c r="R521" s="4" t="inlineStr">
        <is>
          <t>7. קונפיגורציה (Customizing)</t>
        </is>
      </c>
      <c r="S521" s="4" t="inlineStr">
        <is>
          <t>C37</t>
        </is>
      </c>
      <c r="T521" s="7">
        <f>HYPERLINK("#'"&amp;R521&amp;"'!"&amp;S521,"➜ פתח")</f>
        <v/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inlineStr">
        <is>
          <t>שדה</t>
        </is>
      </c>
      <c r="O522" s="6" t="inlineStr">
        <is>
          <t>SPRAS</t>
        </is>
      </c>
      <c r="P522" s="4" t="inlineStr">
        <is>
          <t>שפה</t>
        </is>
      </c>
      <c r="Q522" s="4" t="inlineStr">
        <is>
          <t>Language key</t>
        </is>
      </c>
      <c r="R522" s="4" t="inlineStr">
        <is>
          <t>7. קונפיגורציה (Customizing)</t>
        </is>
      </c>
      <c r="S522" s="4" t="inlineStr">
        <is>
          <t>C38</t>
        </is>
      </c>
      <c r="T522" s="7">
        <f>HYPERLINK("#'"&amp;R522&amp;"'!"&amp;S522,"➜ פתח")</f>
        <v/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inlineStr">
        <is>
          <t>שדה</t>
        </is>
      </c>
      <c r="O523" s="6" t="inlineStr">
        <is>
          <t>WGBEZ</t>
        </is>
      </c>
      <c r="P523" s="4" t="inlineStr">
        <is>
          <t>תיאור קבוצת חומר</t>
        </is>
      </c>
      <c r="Q523" s="4" t="inlineStr">
        <is>
          <t>Material group description</t>
        </is>
      </c>
      <c r="R523" s="4" t="inlineStr">
        <is>
          <t>7. קונפיגורציה (Customizing)</t>
        </is>
      </c>
      <c r="S523" s="4" t="inlineStr">
        <is>
          <t>C39</t>
        </is>
      </c>
      <c r="T523" s="7">
        <f>HYPERLINK("#'"&amp;R523&amp;"'!"&amp;S523,"➜ פתח")</f>
        <v/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inlineStr">
        <is>
          <t>טרנזקציה</t>
        </is>
      </c>
      <c r="O524" s="6" t="inlineStr">
        <is>
          <t>OMSF</t>
        </is>
      </c>
      <c r="P524" s="4" t="inlineStr">
        <is>
          <t>טקסטים לקבוצות חומר</t>
        </is>
      </c>
      <c r="Q524" s="4" t="inlineStr">
        <is>
          <t>Material group descriptions</t>
        </is>
      </c>
      <c r="R524" s="4" t="inlineStr">
        <is>
          <t>7. קונפיגורציה (Customizing)</t>
        </is>
      </c>
      <c r="S524" s="4" t="inlineStr">
        <is>
          <t>A37</t>
        </is>
      </c>
      <c r="T524" s="7">
        <f>HYPERLINK("#'"&amp;R524&amp;"'!"&amp;S524,"➜ פתח")</f>
        <v/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inlineStr">
        <is>
          <t>טבלה</t>
        </is>
      </c>
      <c r="O525" s="6" t="inlineStr">
        <is>
          <t>T399X</t>
        </is>
      </c>
      <c r="P525" s="4" t="inlineStr">
        <is>
          <t>פרמטרי בקרת ייצור למפעל</t>
        </is>
      </c>
      <c r="Q525" s="4" t="inlineStr">
        <is>
          <t>Plant production control parameters</t>
        </is>
      </c>
      <c r="R525" s="4" t="inlineStr">
        <is>
          <t>7. קונפיגורציה (Customizing)</t>
        </is>
      </c>
      <c r="S525" s="4" t="inlineStr">
        <is>
          <t>A41</t>
        </is>
      </c>
      <c r="T525" s="7">
        <f>HYPERLINK("#'"&amp;R525&amp;"'!"&amp;S525,"➜ פתח")</f>
        <v/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inlineStr">
        <is>
          <t>שדה</t>
        </is>
      </c>
      <c r="O526" s="6" t="inlineStr">
        <is>
          <t>WERKS</t>
        </is>
      </c>
      <c r="P526" s="4" t="inlineStr">
        <is>
          <t>מפעל</t>
        </is>
      </c>
      <c r="Q526" s="4" t="inlineStr">
        <is>
          <t>Plant</t>
        </is>
      </c>
      <c r="R526" s="4" t="inlineStr">
        <is>
          <t>7. קונפיגורציה (Customizing)</t>
        </is>
      </c>
      <c r="S526" s="4" t="inlineStr">
        <is>
          <t>C42</t>
        </is>
      </c>
      <c r="T526" s="7">
        <f>HYPERLINK("#'"&amp;R526&amp;"'!"&amp;S526,"➜ פתח")</f>
        <v/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inlineStr">
        <is>
          <t>שדה</t>
        </is>
      </c>
      <c r="O527" s="6" t="inlineStr">
        <is>
          <t>AUART</t>
        </is>
      </c>
      <c r="P527" s="4" t="inlineStr">
        <is>
          <t>סוג פק"ע</t>
        </is>
      </c>
      <c r="Q527" s="4" t="inlineStr">
        <is>
          <t>Order type</t>
        </is>
      </c>
      <c r="R527" s="4" t="inlineStr">
        <is>
          <t>7. קונפיגורציה (Customizing)</t>
        </is>
      </c>
      <c r="S527" s="4" t="inlineStr">
        <is>
          <t>C43</t>
        </is>
      </c>
      <c r="T527" s="7">
        <f>HYPERLINK("#'"&amp;R527&amp;"'!"&amp;S527,"➜ פתח")</f>
        <v/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inlineStr">
        <is>
          <t>שדה</t>
        </is>
      </c>
      <c r="O528" s="6" t="inlineStr">
        <is>
          <t>APROFIL</t>
        </is>
      </c>
      <c r="P528" s="4" t="inlineStr">
        <is>
          <t>פרופיל בדיקת זמינות</t>
        </is>
      </c>
      <c r="Q528" s="4" t="inlineStr">
        <is>
          <t>Availability check profile</t>
        </is>
      </c>
      <c r="R528" s="4" t="inlineStr">
        <is>
          <t>7. קונפיגורציה (Customizing)</t>
        </is>
      </c>
      <c r="S528" s="4" t="inlineStr">
        <is>
          <t>C44</t>
        </is>
      </c>
      <c r="T528" s="7">
        <f>HYPERLINK("#'"&amp;R528&amp;"'!"&amp;S528,"➜ פתח")</f>
        <v/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inlineStr">
        <is>
          <t>שדה</t>
        </is>
      </c>
      <c r="O529" s="6" t="inlineStr">
        <is>
          <t>TERHO</t>
        </is>
      </c>
      <c r="P529" s="4" t="inlineStr">
        <is>
          <t>אופק שחרור</t>
        </is>
      </c>
      <c r="Q529" s="4" t="inlineStr">
        <is>
          <t>Scheduling / release horizon</t>
        </is>
      </c>
      <c r="R529" s="4" t="inlineStr">
        <is>
          <t>7. קונפיגורציה (Customizing)</t>
        </is>
      </c>
      <c r="S529" s="4" t="inlineStr">
        <is>
          <t>C45</t>
        </is>
      </c>
      <c r="T529" s="7">
        <f>HYPERLINK("#'"&amp;R529&amp;"'!"&amp;S529,"➜ פתח")</f>
        <v/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inlineStr">
        <is>
          <t>טרנזקציה</t>
        </is>
      </c>
      <c r="O530" s="6" t="inlineStr">
        <is>
          <t>OPL8</t>
        </is>
      </c>
      <c r="P530" s="4" t="inlineStr">
        <is>
          <t>פרמטרי בקרת ייצור למפעל</t>
        </is>
      </c>
      <c r="Q530" s="4" t="inlineStr">
        <is>
          <t>Plant production control parameters</t>
        </is>
      </c>
      <c r="R530" s="4" t="inlineStr">
        <is>
          <t>7. קונפיגורציה (Customizing)</t>
        </is>
      </c>
      <c r="S530" s="4" t="inlineStr">
        <is>
          <t>A42</t>
        </is>
      </c>
      <c r="T530" s="7">
        <f>HYPERLINK("#'"&amp;R530&amp;"'!"&amp;S530,"➜ פתח")</f>
        <v/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inlineStr">
        <is>
          <t>טרנזקציה</t>
        </is>
      </c>
      <c r="O531" s="6" t="inlineStr">
        <is>
          <t>SPRO</t>
        </is>
      </c>
      <c r="P531" s="4" t="inlineStr">
        <is>
          <t>פרמטרי בקרת ייצור למפעל</t>
        </is>
      </c>
      <c r="Q531" s="4" t="inlineStr">
        <is>
          <t>Plant production control parameters</t>
        </is>
      </c>
      <c r="R531" s="4" t="inlineStr">
        <is>
          <t>7. קונפיגורציה (Customizing)</t>
        </is>
      </c>
      <c r="S531" s="4" t="inlineStr">
        <is>
          <t>A42</t>
        </is>
      </c>
      <c r="T531" s="7">
        <f>HYPERLINK("#'"&amp;R531&amp;"'!"&amp;S531,"➜ פתח")</f>
        <v/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inlineStr">
        <is>
          <t>טבלה</t>
        </is>
      </c>
      <c r="O532" s="6" t="inlineStr">
        <is>
          <t>TCK03</t>
        </is>
      </c>
      <c r="P532" s="4" t="inlineStr">
        <is>
          <t>וריאנט תמחיר (Costing Variant)</t>
        </is>
      </c>
      <c r="Q532" s="4" t="inlineStr">
        <is>
          <t>Costing variant</t>
        </is>
      </c>
      <c r="R532" s="4" t="inlineStr">
        <is>
          <t>7. קונפיגורציה (Customizing)</t>
        </is>
      </c>
      <c r="S532" s="4" t="inlineStr">
        <is>
          <t>A47</t>
        </is>
      </c>
      <c r="T532" s="7">
        <f>HYPERLINK("#'"&amp;R532&amp;"'!"&amp;S532,"➜ פתח")</f>
        <v/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inlineStr">
        <is>
          <t>שדה</t>
        </is>
      </c>
      <c r="O533" s="6" t="inlineStr">
        <is>
          <t>KLVAR</t>
        </is>
      </c>
      <c r="P533" s="4" t="inlineStr">
        <is>
          <t>וריאנט תמחיר</t>
        </is>
      </c>
      <c r="Q533" s="4" t="inlineStr">
        <is>
          <t>Costing variant</t>
        </is>
      </c>
      <c r="R533" s="4" t="inlineStr">
        <is>
          <t>7. קונפיגורציה (Customizing)</t>
        </is>
      </c>
      <c r="S533" s="4" t="inlineStr">
        <is>
          <t>C48</t>
        </is>
      </c>
      <c r="T533" s="7">
        <f>HYPERLINK("#'"&amp;R533&amp;"'!"&amp;S533,"➜ פתח")</f>
        <v/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inlineStr">
        <is>
          <t>שדה</t>
        </is>
      </c>
      <c r="O534" s="6" t="inlineStr">
        <is>
          <t>BWVAR</t>
        </is>
      </c>
      <c r="P534" s="4" t="inlineStr">
        <is>
          <t>וריאנט הערכה</t>
        </is>
      </c>
      <c r="Q534" s="4" t="inlineStr">
        <is>
          <t>Valuation variant</t>
        </is>
      </c>
      <c r="R534" s="4" t="inlineStr">
        <is>
          <t>7. קונפיגורציה (Customizing)</t>
        </is>
      </c>
      <c r="S534" s="4" t="inlineStr">
        <is>
          <t>C49</t>
        </is>
      </c>
      <c r="T534" s="7">
        <f>HYPERLINK("#'"&amp;R534&amp;"'!"&amp;S534,"➜ פתח")</f>
        <v/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inlineStr">
        <is>
          <t>שדה</t>
        </is>
      </c>
      <c r="O535" s="6" t="inlineStr">
        <is>
          <t>KALAW</t>
        </is>
      </c>
      <c r="P535" s="4" t="inlineStr">
        <is>
          <t>סוג תמחיר</t>
        </is>
      </c>
      <c r="Q535" s="4" t="inlineStr">
        <is>
          <t>Costing type</t>
        </is>
      </c>
      <c r="R535" s="4" t="inlineStr">
        <is>
          <t>7. קונפיגורציה (Customizing)</t>
        </is>
      </c>
      <c r="S535" s="4" t="inlineStr">
        <is>
          <t>C50</t>
        </is>
      </c>
      <c r="T535" s="7">
        <f>HYPERLINK("#'"&amp;R535&amp;"'!"&amp;S535,"➜ פתח")</f>
        <v/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inlineStr">
        <is>
          <t>טרנזקציה</t>
        </is>
      </c>
      <c r="O536" s="6" t="inlineStr">
        <is>
          <t>OKKN</t>
        </is>
      </c>
      <c r="P536" s="4" t="inlineStr">
        <is>
          <t>וריאנט תמחיר (Costing Variant)</t>
        </is>
      </c>
      <c r="Q536" s="4" t="inlineStr">
        <is>
          <t>Costing variant</t>
        </is>
      </c>
      <c r="R536" s="4" t="inlineStr">
        <is>
          <t>7. קונפיגורציה (Customizing)</t>
        </is>
      </c>
      <c r="S536" s="4" t="inlineStr">
        <is>
          <t>A48</t>
        </is>
      </c>
      <c r="T536" s="7">
        <f>HYPERLINK("#'"&amp;R536&amp;"'!"&amp;S536,"➜ פתח")</f>
        <v/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inlineStr">
        <is>
          <t>טרנזקציה</t>
        </is>
      </c>
      <c r="O537" s="6" t="inlineStr">
        <is>
          <t>SPRO</t>
        </is>
      </c>
      <c r="P537" s="4" t="inlineStr">
        <is>
          <t>וריאנט תמחיר (Costing Variant)</t>
        </is>
      </c>
      <c r="Q537" s="4" t="inlineStr">
        <is>
          <t>Costing variant</t>
        </is>
      </c>
      <c r="R537" s="4" t="inlineStr">
        <is>
          <t>7. קונפיגורציה (Customizing)</t>
        </is>
      </c>
      <c r="S537" s="4" t="inlineStr">
        <is>
          <t>A48</t>
        </is>
      </c>
      <c r="T537" s="7">
        <f>HYPERLINK("#'"&amp;R537&amp;"'!"&amp;S537,"➜ פתח")</f>
        <v/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inlineStr">
        <is>
          <t>טבלה</t>
        </is>
      </c>
      <c r="O538" s="6" t="inlineStr">
        <is>
          <t>T438M</t>
        </is>
      </c>
      <c r="P538" s="4" t="inlineStr">
        <is>
          <t>פרמטרי MRP לחומר/מפעל</t>
        </is>
      </c>
      <c r="Q538" s="4" t="inlineStr">
        <is>
          <t>MRP control parameters</t>
        </is>
      </c>
      <c r="R538" s="4" t="inlineStr">
        <is>
          <t>7. קונפיגורציה (Customizing)</t>
        </is>
      </c>
      <c r="S538" s="4" t="inlineStr">
        <is>
          <t>A52</t>
        </is>
      </c>
      <c r="T538" s="7">
        <f>HYPERLINK("#'"&amp;R538&amp;"'!"&amp;S538,"➜ פתח")</f>
        <v/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inlineStr">
        <is>
          <t>שדה</t>
        </is>
      </c>
      <c r="O539" s="6" t="inlineStr">
        <is>
          <t>DISMM</t>
        </is>
      </c>
      <c r="P539" s="4" t="inlineStr">
        <is>
          <t>סוג MRP</t>
        </is>
      </c>
      <c r="Q539" s="4" t="inlineStr">
        <is>
          <t>MRP type</t>
        </is>
      </c>
      <c r="R539" s="4" t="inlineStr">
        <is>
          <t>7. קונפיגורציה (Customizing)</t>
        </is>
      </c>
      <c r="S539" s="4" t="inlineStr">
        <is>
          <t>C53</t>
        </is>
      </c>
      <c r="T539" s="7">
        <f>HYPERLINK("#'"&amp;R539&amp;"'!"&amp;S539,"➜ פתח")</f>
        <v/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inlineStr">
        <is>
          <t>שדה</t>
        </is>
      </c>
      <c r="O540" s="6" t="inlineStr">
        <is>
          <t>DISVF</t>
        </is>
      </c>
      <c r="P540" s="4" t="inlineStr">
        <is>
          <t>שיטת MRP</t>
        </is>
      </c>
      <c r="Q540" s="4" t="inlineStr">
        <is>
          <t>MRP procedure</t>
        </is>
      </c>
      <c r="R540" s="4" t="inlineStr">
        <is>
          <t>7. קונפיגורציה (Customizing)</t>
        </is>
      </c>
      <c r="S540" s="4" t="inlineStr">
        <is>
          <t>C54</t>
        </is>
      </c>
      <c r="T540" s="7">
        <f>HYPERLINK("#'"&amp;R540&amp;"'!"&amp;S540,"➜ פתח")</f>
        <v/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inlineStr">
        <is>
          <t>טרנזקציה</t>
        </is>
      </c>
      <c r="O541" s="6" t="inlineStr">
        <is>
          <t>OPPQ</t>
        </is>
      </c>
      <c r="P541" s="4" t="inlineStr">
        <is>
          <t>פרמטרי MRP לחומר/מפעל</t>
        </is>
      </c>
      <c r="Q541" s="4" t="inlineStr">
        <is>
          <t>MRP control parameters</t>
        </is>
      </c>
      <c r="R541" s="4" t="inlineStr">
        <is>
          <t>7. קונפיגורציה (Customizing)</t>
        </is>
      </c>
      <c r="S541" s="4" t="inlineStr">
        <is>
          <t>A53</t>
        </is>
      </c>
      <c r="T541" s="7">
        <f>HYPERLINK("#'"&amp;R541&amp;"'!"&amp;S541,"➜ פתח")</f>
        <v/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inlineStr">
        <is>
          <t>טרנזקציה</t>
        </is>
      </c>
      <c r="O542" s="6" t="inlineStr">
        <is>
          <t>SPRO</t>
        </is>
      </c>
      <c r="P542" s="4" t="inlineStr">
        <is>
          <t>פרמטרי MRP לחומר/מפעל</t>
        </is>
      </c>
      <c r="Q542" s="4" t="inlineStr">
        <is>
          <t>MRP control parameters</t>
        </is>
      </c>
      <c r="R542" s="4" t="inlineStr">
        <is>
          <t>7. קונפיגורציה (Customizing)</t>
        </is>
      </c>
      <c r="S542" s="4" t="inlineStr">
        <is>
          <t>A53</t>
        </is>
      </c>
      <c r="T542" s="7">
        <f>HYPERLINK("#'"&amp;R542&amp;"'!"&amp;S542,"➜ פתח")</f>
        <v/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inlineStr">
        <is>
          <t>טבלה</t>
        </is>
      </c>
      <c r="O543" s="6" t="inlineStr">
        <is>
          <t>T003O</t>
        </is>
      </c>
      <c r="P543" s="4" t="inlineStr">
        <is>
          <t>סוגי פקודת ייצור (Process Order Types)</t>
        </is>
      </c>
      <c r="Q543" s="4" t="inlineStr">
        <is>
          <t>Order types (process orders)</t>
        </is>
      </c>
      <c r="R543" s="4" t="inlineStr">
        <is>
          <t>7. קונפיגורציה (Customizing)</t>
        </is>
      </c>
      <c r="S543" s="4" t="inlineStr">
        <is>
          <t>A56</t>
        </is>
      </c>
      <c r="T543" s="7">
        <f>HYPERLINK("#'"&amp;R543&amp;"'!"&amp;S543,"➜ פתח")</f>
        <v/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inlineStr">
        <is>
          <t>שדה</t>
        </is>
      </c>
      <c r="O544" s="6" t="inlineStr">
        <is>
          <t>AUART</t>
        </is>
      </c>
      <c r="P544" s="4" t="inlineStr">
        <is>
          <t>סוג פק"ע</t>
        </is>
      </c>
      <c r="Q544" s="4" t="inlineStr">
        <is>
          <t>Order type</t>
        </is>
      </c>
      <c r="R544" s="4" t="inlineStr">
        <is>
          <t>7. קונפיגורציה (Customizing)</t>
        </is>
      </c>
      <c r="S544" s="4" t="inlineStr">
        <is>
          <t>C57</t>
        </is>
      </c>
      <c r="T544" s="7">
        <f>HYPERLINK("#'"&amp;R544&amp;"'!"&amp;S544,"➜ פתח")</f>
        <v/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inlineStr">
        <is>
          <t>שדה</t>
        </is>
      </c>
      <c r="O545" s="6" t="inlineStr">
        <is>
          <t>AUTYP</t>
        </is>
      </c>
      <c r="P545" s="4" t="inlineStr">
        <is>
          <t>קטגוריית פק"ע</t>
        </is>
      </c>
      <c r="Q545" s="4" t="inlineStr">
        <is>
          <t>Order category (40=process)</t>
        </is>
      </c>
      <c r="R545" s="4" t="inlineStr">
        <is>
          <t>7. קונפיגורציה (Customizing)</t>
        </is>
      </c>
      <c r="S545" s="4" t="inlineStr">
        <is>
          <t>C58</t>
        </is>
      </c>
      <c r="T545" s="7">
        <f>HYPERLINK("#'"&amp;R545&amp;"'!"&amp;S545,"➜ פתח")</f>
        <v/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inlineStr">
        <is>
          <t>שדה</t>
        </is>
      </c>
      <c r="O546" s="6" t="inlineStr">
        <is>
          <t>STSMA</t>
        </is>
      </c>
      <c r="P546" s="4" t="inlineStr">
        <is>
          <t>פרופיל סטטוס</t>
        </is>
      </c>
      <c r="Q546" s="4" t="inlineStr">
        <is>
          <t>Status profile</t>
        </is>
      </c>
      <c r="R546" s="4" t="inlineStr">
        <is>
          <t>7. קונפיגורציה (Customizing)</t>
        </is>
      </c>
      <c r="S546" s="4" t="inlineStr">
        <is>
          <t>C59</t>
        </is>
      </c>
      <c r="T546" s="7">
        <f>HYPERLINK("#'"&amp;R546&amp;"'!"&amp;S546,"➜ פתח")</f>
        <v/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inlineStr">
        <is>
          <t>שדה</t>
        </is>
      </c>
      <c r="O547" s="6" t="inlineStr">
        <is>
          <t>NUMKI</t>
        </is>
      </c>
      <c r="P547" s="4" t="inlineStr">
        <is>
          <t>טווח מספרים פנימי</t>
        </is>
      </c>
      <c r="Q547" s="4" t="inlineStr">
        <is>
          <t>Internal number range</t>
        </is>
      </c>
      <c r="R547" s="4" t="inlineStr">
        <is>
          <t>7. קונפיגורציה (Customizing)</t>
        </is>
      </c>
      <c r="S547" s="4" t="inlineStr">
        <is>
          <t>C60</t>
        </is>
      </c>
      <c r="T547" s="7">
        <f>HYPERLINK("#'"&amp;R547&amp;"'!"&amp;S547,"➜ פתח")</f>
        <v/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inlineStr">
        <is>
          <t>טרנזקציה</t>
        </is>
      </c>
      <c r="O548" s="6" t="inlineStr">
        <is>
          <t>COR4</t>
        </is>
      </c>
      <c r="P548" s="4" t="inlineStr">
        <is>
          <t>סוגי פקודת ייצור (Process Order Types)</t>
        </is>
      </c>
      <c r="Q548" s="4" t="inlineStr">
        <is>
          <t>Order types (process orders)</t>
        </is>
      </c>
      <c r="R548" s="4" t="inlineStr">
        <is>
          <t>7. קונפיגורציה (Customizing)</t>
        </is>
      </c>
      <c r="S548" s="4" t="inlineStr">
        <is>
          <t>A57</t>
        </is>
      </c>
      <c r="T548" s="7">
        <f>HYPERLINK("#'"&amp;R548&amp;"'!"&amp;S548,"➜ פתח")</f>
        <v/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inlineStr">
        <is>
          <t>טרנזקציה</t>
        </is>
      </c>
      <c r="O549" s="6" t="inlineStr">
        <is>
          <t>SPRO</t>
        </is>
      </c>
      <c r="P549" s="4" t="inlineStr">
        <is>
          <t>סוגי פקודת ייצור (Process Order Types)</t>
        </is>
      </c>
      <c r="Q549" s="4" t="inlineStr">
        <is>
          <t>Order types (process orders)</t>
        </is>
      </c>
      <c r="R549" s="4" t="inlineStr">
        <is>
          <t>7. קונפיגורציה (Customizing)</t>
        </is>
      </c>
      <c r="S549" s="4" t="inlineStr">
        <is>
          <t>A57</t>
        </is>
      </c>
      <c r="T549" s="7">
        <f>HYPERLINK("#'"&amp;R549&amp;"'!"&amp;S549,"➜ פתח")</f>
        <v/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inlineStr">
        <is>
          <t>טבלה</t>
        </is>
      </c>
      <c r="O550" s="6" t="inlineStr">
        <is>
          <t>TCO01</t>
        </is>
      </c>
      <c r="P550" s="4" t="inlineStr">
        <is>
          <t>פרמטרים תלויי סוג פק"ע (Order Profile)</t>
        </is>
      </c>
      <c r="Q550" s="4" t="inlineStr">
        <is>
          <t>Order type-dependent parameters</t>
        </is>
      </c>
      <c r="R550" s="4" t="inlineStr">
        <is>
          <t>7. קונפיגורציה (Customizing)</t>
        </is>
      </c>
      <c r="S550" s="4" t="inlineStr">
        <is>
          <t>A62</t>
        </is>
      </c>
      <c r="T550" s="7">
        <f>HYPERLINK("#'"&amp;R550&amp;"'!"&amp;S550,"➜ פתח")</f>
        <v/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inlineStr">
        <is>
          <t>שדה</t>
        </is>
      </c>
      <c r="O551" s="6" t="inlineStr">
        <is>
          <t>WERKS</t>
        </is>
      </c>
      <c r="P551" s="4" t="inlineStr">
        <is>
          <t>מפעל</t>
        </is>
      </c>
      <c r="Q551" s="4" t="inlineStr">
        <is>
          <t>Plant</t>
        </is>
      </c>
      <c r="R551" s="4" t="inlineStr">
        <is>
          <t>7. קונפיגורציה (Customizing)</t>
        </is>
      </c>
      <c r="S551" s="4" t="inlineStr">
        <is>
          <t>C63</t>
        </is>
      </c>
      <c r="T551" s="7">
        <f>HYPERLINK("#'"&amp;R551&amp;"'!"&amp;S551,"➜ פתח")</f>
        <v/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inlineStr">
        <is>
          <t>שדה</t>
        </is>
      </c>
      <c r="O552" s="6" t="inlineStr">
        <is>
          <t>AUART</t>
        </is>
      </c>
      <c r="P552" s="4" t="inlineStr">
        <is>
          <t>סוג פק"ע</t>
        </is>
      </c>
      <c r="Q552" s="4" t="inlineStr">
        <is>
          <t>Order type</t>
        </is>
      </c>
      <c r="R552" s="4" t="inlineStr">
        <is>
          <t>7. קונפיגורציה (Customizing)</t>
        </is>
      </c>
      <c r="S552" s="4" t="inlineStr">
        <is>
          <t>C64</t>
        </is>
      </c>
      <c r="T552" s="7">
        <f>HYPERLINK("#'"&amp;R552&amp;"'!"&amp;S552,"➜ פתח")</f>
        <v/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inlineStr">
        <is>
          <t>שדה</t>
        </is>
      </c>
      <c r="O553" s="6" t="inlineStr">
        <is>
          <t>KLVARP</t>
        </is>
      </c>
      <c r="P553" s="4" t="inlineStr">
        <is>
          <t>וריאנט תמחיר מתוכנן</t>
        </is>
      </c>
      <c r="Q553" s="4" t="inlineStr">
        <is>
          <t>Costing variant (plan)</t>
        </is>
      </c>
      <c r="R553" s="4" t="inlineStr">
        <is>
          <t>7. קונפיגורציה (Customizing)</t>
        </is>
      </c>
      <c r="S553" s="4" t="inlineStr">
        <is>
          <t>C65</t>
        </is>
      </c>
      <c r="T553" s="7">
        <f>HYPERLINK("#'"&amp;R553&amp;"'!"&amp;S553,"➜ פתח")</f>
        <v/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inlineStr">
        <is>
          <t>שדה</t>
        </is>
      </c>
      <c r="O554" s="6" t="inlineStr">
        <is>
          <t>APROF</t>
        </is>
      </c>
      <c r="P554" s="4" t="inlineStr">
        <is>
          <t>פרופיל בדיקת זמינות</t>
        </is>
      </c>
      <c r="Q554" s="4" t="inlineStr">
        <is>
          <t>Availability check profile</t>
        </is>
      </c>
      <c r="R554" s="4" t="inlineStr">
        <is>
          <t>7. קונפיגורציה (Customizing)</t>
        </is>
      </c>
      <c r="S554" s="4" t="inlineStr">
        <is>
          <t>C66</t>
        </is>
      </c>
      <c r="T554" s="7">
        <f>HYPERLINK("#'"&amp;R554&amp;"'!"&amp;S554,"➜ פתח")</f>
        <v/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inlineStr">
        <is>
          <t>טרנזקציה</t>
        </is>
      </c>
      <c r="O555" s="6" t="inlineStr">
        <is>
          <t>COR4</t>
        </is>
      </c>
      <c r="P555" s="4" t="inlineStr">
        <is>
          <t>פרמטרים תלויי סוג פק"ע (Order Profile)</t>
        </is>
      </c>
      <c r="Q555" s="4" t="inlineStr">
        <is>
          <t>Order type-dependent parameters</t>
        </is>
      </c>
      <c r="R555" s="4" t="inlineStr">
        <is>
          <t>7. קונפיגורציה (Customizing)</t>
        </is>
      </c>
      <c r="S555" s="4" t="inlineStr">
        <is>
          <t>A63</t>
        </is>
      </c>
      <c r="T555" s="7">
        <f>HYPERLINK("#'"&amp;R555&amp;"'!"&amp;S555,"➜ פתח")</f>
        <v/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inlineStr">
        <is>
          <t>טרנזקציה</t>
        </is>
      </c>
      <c r="O556" s="6" t="inlineStr">
        <is>
          <t>SPRO</t>
        </is>
      </c>
      <c r="P556" s="4" t="inlineStr">
        <is>
          <t>פרמטרים תלויי סוג פק"ע (Order Profile)</t>
        </is>
      </c>
      <c r="Q556" s="4" t="inlineStr">
        <is>
          <t>Order type-dependent parameters</t>
        </is>
      </c>
      <c r="R556" s="4" t="inlineStr">
        <is>
          <t>7. קונפיגורציה (Customizing)</t>
        </is>
      </c>
      <c r="S556" s="4" t="inlineStr">
        <is>
          <t>A63</t>
        </is>
      </c>
      <c r="T556" s="7">
        <f>HYPERLINK("#'"&amp;R556&amp;"'!"&amp;S556,"➜ פתח")</f>
        <v/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inlineStr">
        <is>
          <t>טבלה</t>
        </is>
      </c>
      <c r="O557" s="6" t="inlineStr">
        <is>
          <t>TJ30</t>
        </is>
      </c>
      <c r="P557" s="4" t="inlineStr">
        <is>
          <t>סטטוסי משתמש בפרופיל (User Status)</t>
        </is>
      </c>
      <c r="Q557" s="4" t="inlineStr">
        <is>
          <t>User status within profile</t>
        </is>
      </c>
      <c r="R557" s="4" t="inlineStr">
        <is>
          <t>7. קונפיגורציה (Customizing)</t>
        </is>
      </c>
      <c r="S557" s="4" t="inlineStr">
        <is>
          <t>A68</t>
        </is>
      </c>
      <c r="T557" s="7">
        <f>HYPERLINK("#'"&amp;R557&amp;"'!"&amp;S557,"➜ פתח")</f>
        <v/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inlineStr">
        <is>
          <t>שדה</t>
        </is>
      </c>
      <c r="O558" s="6" t="inlineStr">
        <is>
          <t>STSMA</t>
        </is>
      </c>
      <c r="P558" s="4" t="inlineStr">
        <is>
          <t>פרופיל סטטוס</t>
        </is>
      </c>
      <c r="Q558" s="4" t="inlineStr">
        <is>
          <t>Status profile</t>
        </is>
      </c>
      <c r="R558" s="4" t="inlineStr">
        <is>
          <t>7. קונפיגורציה (Customizing)</t>
        </is>
      </c>
      <c r="S558" s="4" t="inlineStr">
        <is>
          <t>C69</t>
        </is>
      </c>
      <c r="T558" s="7">
        <f>HYPERLINK("#'"&amp;R558&amp;"'!"&amp;S558,"➜ פתח")</f>
        <v/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inlineStr">
        <is>
          <t>שדה</t>
        </is>
      </c>
      <c r="O559" s="6" t="inlineStr">
        <is>
          <t>ESTAT</t>
        </is>
      </c>
      <c r="P559" s="4" t="inlineStr">
        <is>
          <t>סטטוס משתמש</t>
        </is>
      </c>
      <c r="Q559" s="4" t="inlineStr">
        <is>
          <t>User status</t>
        </is>
      </c>
      <c r="R559" s="4" t="inlineStr">
        <is>
          <t>7. קונפיגורציה (Customizing)</t>
        </is>
      </c>
      <c r="S559" s="4" t="inlineStr">
        <is>
          <t>C70</t>
        </is>
      </c>
      <c r="T559" s="7">
        <f>HYPERLINK("#'"&amp;R559&amp;"'!"&amp;S559,"➜ פתח")</f>
        <v/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inlineStr">
        <is>
          <t>שדה</t>
        </is>
      </c>
      <c r="O560" s="6" t="inlineStr">
        <is>
          <t>VRGNG</t>
        </is>
      </c>
      <c r="P560" s="4" t="inlineStr">
        <is>
          <t>תהליך עסקי</t>
        </is>
      </c>
      <c r="Q560" s="4" t="inlineStr">
        <is>
          <t>Business transaction</t>
        </is>
      </c>
      <c r="R560" s="4" t="inlineStr">
        <is>
          <t>7. קונפיגורציה (Customizing)</t>
        </is>
      </c>
      <c r="S560" s="4" t="inlineStr">
        <is>
          <t>C71</t>
        </is>
      </c>
      <c r="T560" s="7">
        <f>HYPERLINK("#'"&amp;R560&amp;"'!"&amp;S560,"➜ פתח")</f>
        <v/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inlineStr">
        <is>
          <t>שדה</t>
        </is>
      </c>
      <c r="O561" s="6" t="inlineStr">
        <is>
          <t>ANWND</t>
        </is>
      </c>
      <c r="P561" s="4" t="inlineStr">
        <is>
          <t>יישום</t>
        </is>
      </c>
      <c r="Q561" s="4" t="inlineStr">
        <is>
          <t>Application (PP)</t>
        </is>
      </c>
      <c r="R561" s="4" t="inlineStr">
        <is>
          <t>7. קונפיגורציה (Customizing)</t>
        </is>
      </c>
      <c r="S561" s="4" t="inlineStr">
        <is>
          <t>C72</t>
        </is>
      </c>
      <c r="T561" s="7">
        <f>HYPERLINK("#'"&amp;R561&amp;"'!"&amp;S561,"➜ פתח")</f>
        <v/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inlineStr">
        <is>
          <t>טרנזקציה</t>
        </is>
      </c>
      <c r="O562" s="6" t="inlineStr">
        <is>
          <t>BS02</t>
        </is>
      </c>
      <c r="P562" s="4" t="inlineStr">
        <is>
          <t>סטטוסי משתמש בפרופיל (User Status)</t>
        </is>
      </c>
      <c r="Q562" s="4" t="inlineStr">
        <is>
          <t>User status within profile</t>
        </is>
      </c>
      <c r="R562" s="4" t="inlineStr">
        <is>
          <t>7. קונפיגורציה (Customizing)</t>
        </is>
      </c>
      <c r="S562" s="4" t="inlineStr">
        <is>
          <t>A69</t>
        </is>
      </c>
      <c r="T562" s="7">
        <f>HYPERLINK("#'"&amp;R562&amp;"'!"&amp;S562,"➜ פתח")</f>
        <v/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inlineStr">
        <is>
          <t>טרנזקציה</t>
        </is>
      </c>
      <c r="O563" s="6" t="inlineStr">
        <is>
          <t>BS03</t>
        </is>
      </c>
      <c r="P563" s="4" t="inlineStr">
        <is>
          <t>סטטוסי משתמש בפרופיל (User Status)</t>
        </is>
      </c>
      <c r="Q563" s="4" t="inlineStr">
        <is>
          <t>User status within profile</t>
        </is>
      </c>
      <c r="R563" s="4" t="inlineStr">
        <is>
          <t>7. קונפיגורציה (Customizing)</t>
        </is>
      </c>
      <c r="S563" s="4" t="inlineStr">
        <is>
          <t>A69</t>
        </is>
      </c>
      <c r="T563" s="7">
        <f>HYPERLINK("#'"&amp;R563&amp;"'!"&amp;S563,"➜ פתח")</f>
        <v/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inlineStr">
        <is>
          <t>טבלה</t>
        </is>
      </c>
      <c r="O564" s="6" t="inlineStr">
        <is>
          <t>TJ30T</t>
        </is>
      </c>
      <c r="P564" s="4" t="inlineStr">
        <is>
          <t>טקסטים לסטטוסי משתמש</t>
        </is>
      </c>
      <c r="Q564" s="4" t="inlineStr">
        <is>
          <t>User status texts</t>
        </is>
      </c>
      <c r="R564" s="4" t="inlineStr">
        <is>
          <t>7. קונפיגורציה (Customizing)</t>
        </is>
      </c>
      <c r="S564" s="4" t="inlineStr">
        <is>
          <t>A74</t>
        </is>
      </c>
      <c r="T564" s="7">
        <f>HYPERLINK("#'"&amp;R564&amp;"'!"&amp;S564,"➜ פתח")</f>
        <v/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inlineStr">
        <is>
          <t>שדה</t>
        </is>
      </c>
      <c r="O565" s="6" t="inlineStr">
        <is>
          <t>STSMA</t>
        </is>
      </c>
      <c r="P565" s="4" t="inlineStr">
        <is>
          <t>פרופיל סטטוס</t>
        </is>
      </c>
      <c r="Q565" s="4" t="inlineStr">
        <is>
          <t>Status profile</t>
        </is>
      </c>
      <c r="R565" s="4" t="inlineStr">
        <is>
          <t>7. קונפיגורציה (Customizing)</t>
        </is>
      </c>
      <c r="S565" s="4" t="inlineStr">
        <is>
          <t>C75</t>
        </is>
      </c>
      <c r="T565" s="7">
        <f>HYPERLINK("#'"&amp;R565&amp;"'!"&amp;S565,"➜ פתח")</f>
        <v/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inlineStr">
        <is>
          <t>שדה</t>
        </is>
      </c>
      <c r="O566" s="6" t="inlineStr">
        <is>
          <t>ESTAT</t>
        </is>
      </c>
      <c r="P566" s="4" t="inlineStr">
        <is>
          <t>סטטוס משתמש</t>
        </is>
      </c>
      <c r="Q566" s="4" t="inlineStr">
        <is>
          <t>User status</t>
        </is>
      </c>
      <c r="R566" s="4" t="inlineStr">
        <is>
          <t>7. קונפיגורציה (Customizing)</t>
        </is>
      </c>
      <c r="S566" s="4" t="inlineStr">
        <is>
          <t>C76</t>
        </is>
      </c>
      <c r="T566" s="7">
        <f>HYPERLINK("#'"&amp;R566&amp;"'!"&amp;S566,"➜ פתח")</f>
        <v/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inlineStr">
        <is>
          <t>שדה</t>
        </is>
      </c>
      <c r="O567" s="6" t="inlineStr">
        <is>
          <t>SPRAS</t>
        </is>
      </c>
      <c r="P567" s="4" t="inlineStr">
        <is>
          <t>שפה</t>
        </is>
      </c>
      <c r="Q567" s="4" t="inlineStr">
        <is>
          <t>Language key</t>
        </is>
      </c>
      <c r="R567" s="4" t="inlineStr">
        <is>
          <t>7. קונפיגורציה (Customizing)</t>
        </is>
      </c>
      <c r="S567" s="4" t="inlineStr">
        <is>
          <t>C77</t>
        </is>
      </c>
      <c r="T567" s="7">
        <f>HYPERLINK("#'"&amp;R567&amp;"'!"&amp;S567,"➜ פתח")</f>
        <v/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inlineStr">
        <is>
          <t>שדה</t>
        </is>
      </c>
      <c r="O568" s="6" t="inlineStr">
        <is>
          <t>TXT04</t>
        </is>
      </c>
      <c r="P568" s="4" t="inlineStr">
        <is>
          <t>קוד מקוצר</t>
        </is>
      </c>
      <c r="Q568" s="4" t="inlineStr">
        <is>
          <t>Short code</t>
        </is>
      </c>
      <c r="R568" s="4" t="inlineStr">
        <is>
          <t>7. קונפיגורציה (Customizing)</t>
        </is>
      </c>
      <c r="S568" s="4" t="inlineStr">
        <is>
          <t>C78</t>
        </is>
      </c>
      <c r="T568" s="7">
        <f>HYPERLINK("#'"&amp;R568&amp;"'!"&amp;S568,"➜ פתח")</f>
        <v/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inlineStr">
        <is>
          <t>שדה</t>
        </is>
      </c>
      <c r="O569" s="6" t="inlineStr">
        <is>
          <t>TXT30</t>
        </is>
      </c>
      <c r="P569" s="4" t="inlineStr">
        <is>
          <t>תיאור סטטוס</t>
        </is>
      </c>
      <c r="Q569" s="4" t="inlineStr">
        <is>
          <t>Status text</t>
        </is>
      </c>
      <c r="R569" s="4" t="inlineStr">
        <is>
          <t>7. קונפיגורציה (Customizing)</t>
        </is>
      </c>
      <c r="S569" s="4" t="inlineStr">
        <is>
          <t>C79</t>
        </is>
      </c>
      <c r="T569" s="7">
        <f>HYPERLINK("#'"&amp;R569&amp;"'!"&amp;S569,"➜ פתח")</f>
        <v/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inlineStr">
        <is>
          <t>טרנזקציה</t>
        </is>
      </c>
      <c r="O570" s="6" t="inlineStr">
        <is>
          <t>BS02</t>
        </is>
      </c>
      <c r="P570" s="4" t="inlineStr">
        <is>
          <t>טקסטים לסטטוסי משתמש</t>
        </is>
      </c>
      <c r="Q570" s="4" t="inlineStr">
        <is>
          <t>User status texts</t>
        </is>
      </c>
      <c r="R570" s="4" t="inlineStr">
        <is>
          <t>7. קונפיגורציה (Customizing)</t>
        </is>
      </c>
      <c r="S570" s="4" t="inlineStr">
        <is>
          <t>A75</t>
        </is>
      </c>
      <c r="T570" s="7">
        <f>HYPERLINK("#'"&amp;R570&amp;"'!"&amp;S570,"➜ פתח")</f>
        <v/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inlineStr">
        <is>
          <t>טרנזקציה</t>
        </is>
      </c>
      <c r="O571" s="6" t="inlineStr">
        <is>
          <t>BS03</t>
        </is>
      </c>
      <c r="P571" s="4" t="inlineStr">
        <is>
          <t>טקסטים לסטטוסי משתמש</t>
        </is>
      </c>
      <c r="Q571" s="4" t="inlineStr">
        <is>
          <t>User status texts</t>
        </is>
      </c>
      <c r="R571" s="4" t="inlineStr">
        <is>
          <t>7. קונפיגורציה (Customizing)</t>
        </is>
      </c>
      <c r="S571" s="4" t="inlineStr">
        <is>
          <t>A75</t>
        </is>
      </c>
      <c r="T571" s="7">
        <f>HYPERLINK("#'"&amp;R571&amp;"'!"&amp;S571,"➜ פתח")</f>
        <v/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inlineStr">
        <is>
          <t>טבלה</t>
        </is>
      </c>
      <c r="O572" s="6" t="inlineStr">
        <is>
          <t>BUT000</t>
        </is>
      </c>
      <c r="P572" s="4" t="inlineStr">
        <is>
          <t>שותף עסקי (BP - השפעת מעבר S/4)</t>
        </is>
      </c>
      <c r="Q572" s="4" t="inlineStr">
        <is>
          <t>Business Partner general data</t>
        </is>
      </c>
      <c r="R572" s="4" t="inlineStr">
        <is>
          <t>7. קונפיגורציה (Customizing)</t>
        </is>
      </c>
      <c r="S572" s="4" t="inlineStr">
        <is>
          <t>A81</t>
        </is>
      </c>
      <c r="T572" s="7">
        <f>HYPERLINK("#'"&amp;R572&amp;"'!"&amp;S572,"➜ פתח")</f>
        <v/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inlineStr">
        <is>
          <t>שדה</t>
        </is>
      </c>
      <c r="O573" s="6" t="inlineStr">
        <is>
          <t>PARTNER</t>
        </is>
      </c>
      <c r="P573" s="4" t="inlineStr">
        <is>
          <t>מספר שותף עסקי</t>
        </is>
      </c>
      <c r="Q573" s="4" t="inlineStr">
        <is>
          <t>Business partner number</t>
        </is>
      </c>
      <c r="R573" s="4" t="inlineStr">
        <is>
          <t>7. קונפיגורציה (Customizing)</t>
        </is>
      </c>
      <c r="S573" s="4" t="inlineStr">
        <is>
          <t>C82</t>
        </is>
      </c>
      <c r="T573" s="7">
        <f>HYPERLINK("#'"&amp;R573&amp;"'!"&amp;S573,"➜ פתח")</f>
        <v/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inlineStr">
        <is>
          <t>שדה</t>
        </is>
      </c>
      <c r="O574" s="6" t="inlineStr">
        <is>
          <t>TYPE</t>
        </is>
      </c>
      <c r="P574" s="4" t="inlineStr">
        <is>
          <t>קטגוריית שותף</t>
        </is>
      </c>
      <c r="Q574" s="4" t="inlineStr">
        <is>
          <t>BP category</t>
        </is>
      </c>
      <c r="R574" s="4" t="inlineStr">
        <is>
          <t>7. קונפיגורציה (Customizing)</t>
        </is>
      </c>
      <c r="S574" s="4" t="inlineStr">
        <is>
          <t>C83</t>
        </is>
      </c>
      <c r="T574" s="7">
        <f>HYPERLINK("#'"&amp;R574&amp;"'!"&amp;S574,"➜ פתח")</f>
        <v/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inlineStr">
        <is>
          <t>שדה</t>
        </is>
      </c>
      <c r="O575" s="6" t="inlineStr">
        <is>
          <t>BU_GROUP</t>
        </is>
      </c>
      <c r="P575" s="4" t="inlineStr">
        <is>
          <t>קבוצת שותף</t>
        </is>
      </c>
      <c r="Q575" s="4" t="inlineStr">
        <is>
          <t>BP grouping</t>
        </is>
      </c>
      <c r="R575" s="4" t="inlineStr">
        <is>
          <t>7. קונפיגורציה (Customizing)</t>
        </is>
      </c>
      <c r="S575" s="4" t="inlineStr">
        <is>
          <t>C84</t>
        </is>
      </c>
      <c r="T575" s="7">
        <f>HYPERLINK("#'"&amp;R575&amp;"'!"&amp;S575,"➜ פתח")</f>
        <v/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inlineStr">
        <is>
          <t>שדה</t>
        </is>
      </c>
      <c r="O576" s="6" t="inlineStr">
        <is>
          <t>BPKIND</t>
        </is>
      </c>
      <c r="P576" s="4" t="inlineStr">
        <is>
          <t>סוג שותף</t>
        </is>
      </c>
      <c r="Q576" s="4" t="inlineStr">
        <is>
          <t>BP type</t>
        </is>
      </c>
      <c r="R576" s="4" t="inlineStr">
        <is>
          <t>7. קונפיגורציה (Customizing)</t>
        </is>
      </c>
      <c r="S576" s="4" t="inlineStr">
        <is>
          <t>C85</t>
        </is>
      </c>
      <c r="T576" s="7">
        <f>HYPERLINK("#'"&amp;R576&amp;"'!"&amp;S576,"➜ פתח")</f>
        <v/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inlineStr">
        <is>
          <t>שדה</t>
        </is>
      </c>
      <c r="O577" s="6" t="inlineStr">
        <is>
          <t>NAME_ORG1</t>
        </is>
      </c>
      <c r="P577" s="4" t="inlineStr">
        <is>
          <t>שם ארגון</t>
        </is>
      </c>
      <c r="Q577" s="4" t="inlineStr">
        <is>
          <t>Organization name</t>
        </is>
      </c>
      <c r="R577" s="4" t="inlineStr">
        <is>
          <t>7. קונפיגורציה (Customizing)</t>
        </is>
      </c>
      <c r="S577" s="4" t="inlineStr">
        <is>
          <t>C86</t>
        </is>
      </c>
      <c r="T577" s="7">
        <f>HYPERLINK("#'"&amp;R577&amp;"'!"&amp;S577,"➜ פתח")</f>
        <v/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inlineStr">
        <is>
          <t>טרנזקציה</t>
        </is>
      </c>
      <c r="O578" s="6" t="inlineStr">
        <is>
          <t>BP</t>
        </is>
      </c>
      <c r="P578" s="4" t="inlineStr">
        <is>
          <t>שותף עסקי (BP - השפעת מעבר S/4)</t>
        </is>
      </c>
      <c r="Q578" s="4" t="inlineStr">
        <is>
          <t>Business Partner general data</t>
        </is>
      </c>
      <c r="R578" s="4" t="inlineStr">
        <is>
          <t>7. קונפיגורציה (Customizing)</t>
        </is>
      </c>
      <c r="S578" s="4" t="inlineStr">
        <is>
          <t>A82</t>
        </is>
      </c>
      <c r="T578" s="7">
        <f>HYPERLINK("#'"&amp;R578&amp;"'!"&amp;S578,"➜ פתח")</f>
        <v/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inlineStr">
        <is>
          <t>טרנזקציה</t>
        </is>
      </c>
      <c r="O579" s="6" t="inlineStr">
        <is>
          <t>(ECC: XK01</t>
        </is>
      </c>
      <c r="P579" s="4" t="inlineStr">
        <is>
          <t>שותף עסקי (BP - השפעת מעבר S/4)</t>
        </is>
      </c>
      <c r="Q579" s="4" t="inlineStr">
        <is>
          <t>Business Partner general data</t>
        </is>
      </c>
      <c r="R579" s="4" t="inlineStr">
        <is>
          <t>7. קונפיגורציה (Customizing)</t>
        </is>
      </c>
      <c r="S579" s="4" t="inlineStr">
        <is>
          <t>A82</t>
        </is>
      </c>
      <c r="T579" s="7">
        <f>HYPERLINK("#'"&amp;R579&amp;"'!"&amp;S579,"➜ פתח")</f>
        <v/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inlineStr">
        <is>
          <t>טרנזקציה</t>
        </is>
      </c>
      <c r="O580" s="6" t="inlineStr">
        <is>
          <t>MK01)</t>
        </is>
      </c>
      <c r="P580" s="4" t="inlineStr">
        <is>
          <t>שותף עסקי (BP - השפעת מעבר S/4)</t>
        </is>
      </c>
      <c r="Q580" s="4" t="inlineStr">
        <is>
          <t>Business Partner general data</t>
        </is>
      </c>
      <c r="R580" s="4" t="inlineStr">
        <is>
          <t>7. קונפיגורציה (Customizing)</t>
        </is>
      </c>
      <c r="S580" s="4" t="inlineStr">
        <is>
          <t>A82</t>
        </is>
      </c>
      <c r="T580" s="7">
        <f>HYPERLINK("#'"&amp;R580&amp;"'!"&amp;S580,"➜ פתח")</f>
        <v/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inlineStr">
        <is>
          <t>טבלה</t>
        </is>
      </c>
      <c r="O581" s="6" t="inlineStr">
        <is>
          <t>TC22</t>
        </is>
      </c>
      <c r="P581" s="4" t="inlineStr">
        <is>
          <t>מפתחות בקרת תהליך/פעולה (PI Control)</t>
        </is>
      </c>
      <c r="Q581" s="4" t="inlineStr">
        <is>
          <t>Process/operation control keys config</t>
        </is>
      </c>
      <c r="R581" s="4" t="inlineStr">
        <is>
          <t>7. קונפיגורציה (Customizing)</t>
        </is>
      </c>
      <c r="S581" s="4" t="inlineStr">
        <is>
          <t>A88</t>
        </is>
      </c>
      <c r="T581" s="7">
        <f>HYPERLINK("#'"&amp;R581&amp;"'!"&amp;S581,"➜ פתח")</f>
        <v/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inlineStr">
        <is>
          <t>שדה</t>
        </is>
      </c>
      <c r="O582" s="6" t="inlineStr">
        <is>
          <t>STEUS</t>
        </is>
      </c>
      <c r="P582" s="4" t="inlineStr">
        <is>
          <t>מפתח בקרה</t>
        </is>
      </c>
      <c r="Q582" s="4" t="inlineStr">
        <is>
          <t>Control key</t>
        </is>
      </c>
      <c r="R582" s="4" t="inlineStr">
        <is>
          <t>7. קונפיגורציה (Customizing)</t>
        </is>
      </c>
      <c r="S582" s="4" t="inlineStr">
        <is>
          <t>C89</t>
        </is>
      </c>
      <c r="T582" s="7">
        <f>HYPERLINK("#'"&amp;R582&amp;"'!"&amp;S582,"➜ פתח")</f>
        <v/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inlineStr">
        <is>
          <t>שדה</t>
        </is>
      </c>
      <c r="O583" s="6" t="inlineStr">
        <is>
          <t>RUECK</t>
        </is>
      </c>
      <c r="P583" s="4" t="inlineStr">
        <is>
          <t>מחוון דיווח</t>
        </is>
      </c>
      <c r="Q583" s="4" t="inlineStr">
        <is>
          <t>Confirmation indicator</t>
        </is>
      </c>
      <c r="R583" s="4" t="inlineStr">
        <is>
          <t>7. קונפיגורציה (Customizing)</t>
        </is>
      </c>
      <c r="S583" s="4" t="inlineStr">
        <is>
          <t>C90</t>
        </is>
      </c>
      <c r="T583" s="7">
        <f>HYPERLINK("#'"&amp;R583&amp;"'!"&amp;S583,"➜ פתח")</f>
        <v/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inlineStr">
        <is>
          <t>שדה</t>
        </is>
      </c>
      <c r="O584" s="6" t="inlineStr">
        <is>
          <t>BANFK</t>
        </is>
      </c>
      <c r="P584" s="4" t="inlineStr">
        <is>
          <t>עיבוד חיצוני</t>
        </is>
      </c>
      <c r="Q584" s="4" t="inlineStr">
        <is>
          <t>External processing (PReq)</t>
        </is>
      </c>
      <c r="R584" s="4" t="inlineStr">
        <is>
          <t>7. קונפיגורציה (Customizing)</t>
        </is>
      </c>
      <c r="S584" s="4" t="inlineStr">
        <is>
          <t>C91</t>
        </is>
      </c>
      <c r="T584" s="7">
        <f>HYPERLINK("#'"&amp;R584&amp;"'!"&amp;S584,"➜ פתח")</f>
        <v/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inlineStr">
        <is>
          <t>שדה</t>
        </is>
      </c>
      <c r="O585" s="6" t="inlineStr">
        <is>
          <t>PROZESS</t>
        </is>
      </c>
      <c r="P585" s="4" t="inlineStr">
        <is>
          <t>מחוון הוראות תהליך</t>
        </is>
      </c>
      <c r="Q585" s="4" t="inlineStr">
        <is>
          <t>Process instruction indicator</t>
        </is>
      </c>
      <c r="R585" s="4" t="inlineStr">
        <is>
          <t>7. קונפיגורציה (Customizing)</t>
        </is>
      </c>
      <c r="S585" s="4" t="inlineStr">
        <is>
          <t>C92</t>
        </is>
      </c>
      <c r="T585" s="7">
        <f>HYPERLINK("#'"&amp;R585&amp;"'!"&amp;S585,"➜ פתח")</f>
        <v/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inlineStr">
        <is>
          <t>טרנזקציה</t>
        </is>
      </c>
      <c r="O586" s="6" t="inlineStr">
        <is>
          <t>SPRO</t>
        </is>
      </c>
      <c r="P586" s="4" t="inlineStr">
        <is>
          <t>מפתחות בקרת תהליך/פעולה (PI Control)</t>
        </is>
      </c>
      <c r="Q586" s="4" t="inlineStr">
        <is>
          <t>Process/operation control keys config</t>
        </is>
      </c>
      <c r="R586" s="4" t="inlineStr">
        <is>
          <t>7. קונפיגורציה (Customizing)</t>
        </is>
      </c>
      <c r="S586" s="4" t="inlineStr">
        <is>
          <t>A89</t>
        </is>
      </c>
      <c r="T586" s="7">
        <f>HYPERLINK("#'"&amp;R586&amp;"'!"&amp;S586,"➜ פתח")</f>
        <v/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inlineStr">
        <is>
          <t>טרנזקציה</t>
        </is>
      </c>
      <c r="O587" s="6" t="inlineStr">
        <is>
          <t>OPL8</t>
        </is>
      </c>
      <c r="P587" s="4" t="inlineStr">
        <is>
          <t>מפתחות בקרת תהליך/פעולה (PI Control)</t>
        </is>
      </c>
      <c r="Q587" s="4" t="inlineStr">
        <is>
          <t>Process/operation control keys config</t>
        </is>
      </c>
      <c r="R587" s="4" t="inlineStr">
        <is>
          <t>7. קונפיגורציה (Customizing)</t>
        </is>
      </c>
      <c r="S587" s="4" t="inlineStr">
        <is>
          <t>A89</t>
        </is>
      </c>
      <c r="T587" s="7">
        <f>HYPERLINK("#'"&amp;R587&amp;"'!"&amp;S587,"➜ פתח")</f>
        <v/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inlineStr">
        <is>
          <t>Join</t>
        </is>
      </c>
      <c r="O588" s="6" t="inlineStr">
        <is>
          <t>FROM MAKT JOIN MARA ON MAKT.MATNR = MARA.MATNR</t>
        </is>
      </c>
      <c r="P588" s="4" t="inlineStr">
        <is>
          <t>תיאורי חומר (טקסטים)</t>
        </is>
      </c>
      <c r="Q588" s="4" t="inlineStr"/>
      <c r="R588" s="4" t="inlineStr">
        <is>
          <t>ER - Join Map</t>
        </is>
      </c>
      <c r="S588" s="4" t="inlineStr">
        <is>
          <t>A3</t>
        </is>
      </c>
      <c r="T588" s="7">
        <f>HYPERLINK("#'"&amp;R588&amp;"'!"&amp;S588,"➜ פתח")</f>
        <v/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inlineStr">
        <is>
          <t>Join</t>
        </is>
      </c>
      <c r="O589" s="6" t="inlineStr">
        <is>
          <t>FROM MARC JOIN MARA ON MARC.MATNR = MARA.MATNR</t>
        </is>
      </c>
      <c r="P589" s="4" t="inlineStr">
        <is>
          <t>נתוני חומר ברמת מפעל</t>
        </is>
      </c>
      <c r="Q589" s="4" t="inlineStr"/>
      <c r="R589" s="4" t="inlineStr">
        <is>
          <t>ER - Join Map</t>
        </is>
      </c>
      <c r="S589" s="4" t="inlineStr">
        <is>
          <t>A4</t>
        </is>
      </c>
      <c r="T589" s="7">
        <f>HYPERLINK("#'"&amp;R589&amp;"'!"&amp;S589,"➜ פתח")</f>
        <v/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inlineStr">
        <is>
          <t>Join</t>
        </is>
      </c>
      <c r="O590" s="6" t="inlineStr">
        <is>
          <t>FROM MARD JOIN MARC ON MARD.MATNR = MARC.MATNR AND MARD.WERKS = MARC.WERKS</t>
        </is>
      </c>
      <c r="P590" s="4" t="inlineStr">
        <is>
          <t>נתוני חומר ברמת מחסן/מלאי</t>
        </is>
      </c>
      <c r="Q590" s="4" t="inlineStr"/>
      <c r="R590" s="4" t="inlineStr">
        <is>
          <t>ER - Join Map</t>
        </is>
      </c>
      <c r="S590" s="4" t="inlineStr">
        <is>
          <t>A5</t>
        </is>
      </c>
      <c r="T590" s="7">
        <f>HYPERLINK("#'"&amp;R590&amp;"'!"&amp;S590,"➜ פתח")</f>
        <v/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inlineStr">
        <is>
          <t>Join</t>
        </is>
      </c>
      <c r="O591" s="6" t="inlineStr">
        <is>
          <t>FROM MARM JOIN MARA ON MARM.MATNR = MARA.MATNR</t>
        </is>
      </c>
      <c r="P591" s="4" t="inlineStr">
        <is>
          <t>המרות יחידות מידה חלופיות</t>
        </is>
      </c>
      <c r="Q591" s="4" t="inlineStr"/>
      <c r="R591" s="4" t="inlineStr">
        <is>
          <t>ER - Join Map</t>
        </is>
      </c>
      <c r="S591" s="4" t="inlineStr">
        <is>
          <t>A6</t>
        </is>
      </c>
      <c r="T591" s="7">
        <f>HYPERLINK("#'"&amp;R591&amp;"'!"&amp;S591,"➜ פתח")</f>
        <v/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inlineStr">
        <is>
          <t>Join</t>
        </is>
      </c>
      <c r="O592" s="6" t="inlineStr">
        <is>
          <t>FROM MEAN JOIN MARA ON MEAN.MATNR = MARA.MATNR</t>
        </is>
      </c>
      <c r="P592" s="4" t="inlineStr">
        <is>
          <t>ברקודים / EAN לחומר</t>
        </is>
      </c>
      <c r="Q592" s="4" t="inlineStr"/>
      <c r="R592" s="4" t="inlineStr">
        <is>
          <t>ER - Join Map</t>
        </is>
      </c>
      <c r="S592" s="4" t="inlineStr">
        <is>
          <t>A7</t>
        </is>
      </c>
      <c r="T592" s="7">
        <f>HYPERLINK("#'"&amp;R592&amp;"'!"&amp;S592,"➜ פתח")</f>
        <v/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inlineStr">
        <is>
          <t>Join</t>
        </is>
      </c>
      <c r="O593" s="6" t="inlineStr">
        <is>
          <t>FROM MBEW JOIN MARA ON MBEW.MATNR = MARA.MATNR</t>
        </is>
      </c>
      <c r="P593" s="4" t="inlineStr">
        <is>
          <t>הערכת חומר (Valuation)</t>
        </is>
      </c>
      <c r="Q593" s="4" t="inlineStr"/>
      <c r="R593" s="4" t="inlineStr">
        <is>
          <t>ER - Join Map</t>
        </is>
      </c>
      <c r="S593" s="4" t="inlineStr">
        <is>
          <t>A8</t>
        </is>
      </c>
      <c r="T593" s="7">
        <f>HYPERLINK("#'"&amp;R593&amp;"'!"&amp;S593,"➜ פתח")</f>
        <v/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inlineStr">
        <is>
          <t>Join</t>
        </is>
      </c>
      <c r="O594" s="6" t="inlineStr">
        <is>
          <t>FROM MVKE JOIN MARA ON MVKE.MATNR = MARA.MATNR</t>
        </is>
      </c>
      <c r="P594" s="4" t="inlineStr">
        <is>
          <t>נתוני חומר ברמת מכירות</t>
        </is>
      </c>
      <c r="Q594" s="4" t="inlineStr"/>
      <c r="R594" s="4" t="inlineStr">
        <is>
          <t>ER - Join Map</t>
        </is>
      </c>
      <c r="S594" s="4" t="inlineStr">
        <is>
          <t>A9</t>
        </is>
      </c>
      <c r="T594" s="7">
        <f>HYPERLINK("#'"&amp;R594&amp;"'!"&amp;S594,"➜ פתח")</f>
        <v/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inlineStr">
        <is>
          <t>Join</t>
        </is>
      </c>
      <c r="O595" s="6" t="inlineStr">
        <is>
          <t>FROM MLAN JOIN MARA ON MLAN.MATNR = MARA.MATNR</t>
        </is>
      </c>
      <c r="P595" s="4" t="inlineStr">
        <is>
          <t>נתוני מס לחומר (לפי מדינה)</t>
        </is>
      </c>
      <c r="Q595" s="4" t="inlineStr"/>
      <c r="R595" s="4" t="inlineStr">
        <is>
          <t>ER - Join Map</t>
        </is>
      </c>
      <c r="S595" s="4" t="inlineStr">
        <is>
          <t>A10</t>
        </is>
      </c>
      <c r="T595" s="7">
        <f>HYPERLINK("#'"&amp;R595&amp;"'!"&amp;S595,"➜ פתח")</f>
        <v/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inlineStr">
        <is>
          <t>Join</t>
        </is>
      </c>
      <c r="O596" s="6" t="inlineStr">
        <is>
          <t>FROM MLGN JOIN MARA ON MLGN.MATNR = MARA.MATNR</t>
        </is>
      </c>
      <c r="P596" s="4" t="inlineStr">
        <is>
          <t>נתוני חומר ברמת מחסן (WM)</t>
        </is>
      </c>
      <c r="Q596" s="4" t="inlineStr"/>
      <c r="R596" s="4" t="inlineStr">
        <is>
          <t>ER - Join Map</t>
        </is>
      </c>
      <c r="S596" s="4" t="inlineStr">
        <is>
          <t>A11</t>
        </is>
      </c>
      <c r="T596" s="7">
        <f>HYPERLINK("#'"&amp;R596&amp;"'!"&amp;S596,"➜ פתח")</f>
        <v/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inlineStr">
        <is>
          <t>Join</t>
        </is>
      </c>
      <c r="O597" s="6" t="inlineStr">
        <is>
          <t>FROM MLGT JOIN MLGN ON MLGT.MATNR = MLGN.MATNR AND MLGT.LGNUM = MLGN.LGNUM</t>
        </is>
      </c>
      <c r="P597" s="4" t="inlineStr">
        <is>
          <t>נתוני חומר לפי טיפוס אחסון</t>
        </is>
      </c>
      <c r="Q597" s="4" t="inlineStr"/>
      <c r="R597" s="4" t="inlineStr">
        <is>
          <t>ER - Join Map</t>
        </is>
      </c>
      <c r="S597" s="4" t="inlineStr">
        <is>
          <t>A12</t>
        </is>
      </c>
      <c r="T597" s="7">
        <f>HYPERLINK("#'"&amp;R597&amp;"'!"&amp;S597,"➜ פתח")</f>
        <v/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inlineStr">
        <is>
          <t>Join</t>
        </is>
      </c>
      <c r="O598" s="6" t="inlineStr">
        <is>
          <t>FROM MDMA JOIN MARC ON MDMA.MATNR = MARC.MATNR AND MDMA.WERKS = MARC.WERKS</t>
        </is>
      </c>
      <c r="P598" s="4" t="inlineStr">
        <is>
          <t>אזורי MRP לחומר</t>
        </is>
      </c>
      <c r="Q598" s="4" t="inlineStr"/>
      <c r="R598" s="4" t="inlineStr">
        <is>
          <t>ER - Join Map</t>
        </is>
      </c>
      <c r="S598" s="4" t="inlineStr">
        <is>
          <t>A13</t>
        </is>
      </c>
      <c r="T598" s="7">
        <f>HYPERLINK("#'"&amp;R598&amp;"'!"&amp;S598,"➜ פתח")</f>
        <v/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inlineStr">
        <is>
          <t>Join</t>
        </is>
      </c>
      <c r="O599" s="6" t="inlineStr">
        <is>
          <t>FROM QMAT JOIN MARC ON QMAT.MATNR = MARC.MATNR AND QMAT.WERKS = MARC.WERKS</t>
        </is>
      </c>
      <c r="P599" s="4" t="inlineStr">
        <is>
          <t>הגדרות בדיקת איכות לחומר</t>
        </is>
      </c>
      <c r="Q599" s="4" t="inlineStr"/>
      <c r="R599" s="4" t="inlineStr">
        <is>
          <t>ER - Join Map</t>
        </is>
      </c>
      <c r="S599" s="4" t="inlineStr">
        <is>
          <t>A14</t>
        </is>
      </c>
      <c r="T599" s="7">
        <f>HYPERLINK("#'"&amp;R599&amp;"'!"&amp;S599,"➜ פתח")</f>
        <v/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inlineStr">
        <is>
          <t>Join</t>
        </is>
      </c>
      <c r="O600" s="6" t="inlineStr">
        <is>
          <t>FROM MCH1 JOIN MARA ON MCH1.MATNR = MARA.MATNR</t>
        </is>
      </c>
      <c r="P600" s="4" t="inlineStr">
        <is>
          <t>אצוות חומר (Batches)</t>
        </is>
      </c>
      <c r="Q600" s="4" t="inlineStr"/>
      <c r="R600" s="4" t="inlineStr">
        <is>
          <t>ER - Join Map</t>
        </is>
      </c>
      <c r="S600" s="4" t="inlineStr">
        <is>
          <t>A15</t>
        </is>
      </c>
      <c r="T600" s="7">
        <f>HYPERLINK("#'"&amp;R600&amp;"'!"&amp;S600,"➜ פתח")</f>
        <v/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inlineStr">
        <is>
          <t>Join</t>
        </is>
      </c>
      <c r="O601" s="6" t="inlineStr">
        <is>
          <t>FROM MCHA JOIN MCH1 ON MCHA.MATNR = MCH1.MATNR AND MCHA.CHARG = MCH1.CHARG</t>
        </is>
      </c>
      <c r="P601" s="4" t="inlineStr">
        <is>
          <t>אצוות חומר ברמת מפעל</t>
        </is>
      </c>
      <c r="Q601" s="4" t="inlineStr"/>
      <c r="R601" s="4" t="inlineStr">
        <is>
          <t>ER - Join Map</t>
        </is>
      </c>
      <c r="S601" s="4" t="inlineStr">
        <is>
          <t>A16</t>
        </is>
      </c>
      <c r="T601" s="7">
        <f>HYPERLINK("#'"&amp;R601&amp;"'!"&amp;S601,"➜ פתח")</f>
        <v/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inlineStr">
        <is>
          <t>Join</t>
        </is>
      </c>
      <c r="O602" s="6" t="inlineStr">
        <is>
          <t>FROM MARM JOIN T006 ON MARM.MEINH = T006.MSEHI</t>
        </is>
      </c>
      <c r="P602" s="4" t="inlineStr">
        <is>
          <t>יחידות מידה (Customizing)</t>
        </is>
      </c>
      <c r="Q602" s="4" t="inlineStr"/>
      <c r="R602" s="4" t="inlineStr">
        <is>
          <t>ER - Join Map</t>
        </is>
      </c>
      <c r="S602" s="4" t="inlineStr">
        <is>
          <t>A17</t>
        </is>
      </c>
      <c r="T602" s="7">
        <f>HYPERLINK("#'"&amp;R602&amp;"'!"&amp;S602,"➜ פתח")</f>
        <v/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inlineStr">
        <is>
          <t>Join</t>
        </is>
      </c>
      <c r="O603" s="6" t="inlineStr">
        <is>
          <t>FROM MAST JOIN MARA ON MAST.MATNR = MARA.MATNR</t>
        </is>
      </c>
      <c r="P603" s="4" t="inlineStr">
        <is>
          <t>קישור חומר לעץ מוצר</t>
        </is>
      </c>
      <c r="Q603" s="4" t="inlineStr"/>
      <c r="R603" s="4" t="inlineStr">
        <is>
          <t>ER - Join Map</t>
        </is>
      </c>
      <c r="S603" s="4" t="inlineStr">
        <is>
          <t>A18</t>
        </is>
      </c>
      <c r="T603" s="7">
        <f>HYPERLINK("#'"&amp;R603&amp;"'!"&amp;S603,"➜ פתח")</f>
        <v/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inlineStr">
        <is>
          <t>Join</t>
        </is>
      </c>
      <c r="O604" s="6" t="inlineStr">
        <is>
          <t>FROM STKO JOIN MAST ON STKO.STLNR = MAST.STLNR</t>
        </is>
      </c>
      <c r="P604" s="4" t="inlineStr">
        <is>
          <t>כותרת עץ מוצר</t>
        </is>
      </c>
      <c r="Q604" s="4" t="inlineStr"/>
      <c r="R604" s="4" t="inlineStr">
        <is>
          <t>ER - Join Map</t>
        </is>
      </c>
      <c r="S604" s="4" t="inlineStr">
        <is>
          <t>A19</t>
        </is>
      </c>
      <c r="T604" s="7">
        <f>HYPERLINK("#'"&amp;R604&amp;"'!"&amp;S604,"➜ פתח")</f>
        <v/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inlineStr">
        <is>
          <t>Join</t>
        </is>
      </c>
      <c r="O605" s="6" t="inlineStr">
        <is>
          <t>FROM STPO JOIN STKO ON STPO.STLNR = STKO.STLNR AND STPO.STLTY = STKO.STLTY</t>
        </is>
      </c>
      <c r="P605" s="4" t="inlineStr">
        <is>
          <t>פריטי עץ מוצר (רכיבים)</t>
        </is>
      </c>
      <c r="Q605" s="4" t="inlineStr"/>
      <c r="R605" s="4" t="inlineStr">
        <is>
          <t>ER - Join Map</t>
        </is>
      </c>
      <c r="S605" s="4" t="inlineStr">
        <is>
          <t>A20</t>
        </is>
      </c>
      <c r="T605" s="7">
        <f>HYPERLINK("#'"&amp;R605&amp;"'!"&amp;S605,"➜ פתח")</f>
        <v/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inlineStr">
        <is>
          <t>Join</t>
        </is>
      </c>
      <c r="O606" s="6" t="inlineStr">
        <is>
          <t>FROM STAS JOIN STKO ON STAS.STLNR = STKO.STLNR</t>
        </is>
      </c>
      <c r="P606" s="4" t="inlineStr">
        <is>
          <t>בחירת פריטי עץ מוצר</t>
        </is>
      </c>
      <c r="Q606" s="4" t="inlineStr"/>
      <c r="R606" s="4" t="inlineStr">
        <is>
          <t>ER - Join Map</t>
        </is>
      </c>
      <c r="S606" s="4" t="inlineStr">
        <is>
          <t>A21</t>
        </is>
      </c>
      <c r="T606" s="7">
        <f>HYPERLINK("#'"&amp;R606&amp;"'!"&amp;S606,"➜ פתח")</f>
        <v/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inlineStr">
        <is>
          <t>Join</t>
        </is>
      </c>
      <c r="O607" s="6" t="inlineStr">
        <is>
          <t>FROM STZU JOIN STKO ON STZU.STLNR = STKO.STLNR</t>
        </is>
      </c>
      <c r="P607" s="4" t="inlineStr">
        <is>
          <t>טבלת היסטוריה/קישור לעץ מוצר</t>
        </is>
      </c>
      <c r="Q607" s="4" t="inlineStr"/>
      <c r="R607" s="4" t="inlineStr">
        <is>
          <t>ER - Join Map</t>
        </is>
      </c>
      <c r="S607" s="4" t="inlineStr">
        <is>
          <t>A22</t>
        </is>
      </c>
      <c r="T607" s="7">
        <f>HYPERLINK("#'"&amp;R607&amp;"'!"&amp;S607,"➜ פתח")</f>
        <v/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inlineStr">
        <is>
          <t>Join</t>
        </is>
      </c>
      <c r="O608" s="6" t="inlineStr">
        <is>
          <t>FROM STPU JOIN STPO ON STPU.STLKN = STPO.STLKN</t>
        </is>
      </c>
      <c r="P608" s="4" t="inlineStr">
        <is>
          <t>טקסטים ארוכים לפריט עץ מוצר</t>
        </is>
      </c>
      <c r="Q608" s="4" t="inlineStr"/>
      <c r="R608" s="4" t="inlineStr">
        <is>
          <t>ER - Join Map</t>
        </is>
      </c>
      <c r="S608" s="4" t="inlineStr">
        <is>
          <t>A23</t>
        </is>
      </c>
      <c r="T608" s="7">
        <f>HYPERLINK("#'"&amp;R608&amp;"'!"&amp;S608,"➜ פתח")</f>
        <v/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inlineStr">
        <is>
          <t>Join</t>
        </is>
      </c>
      <c r="O609" s="6" t="inlineStr">
        <is>
          <t>FROM KDST JOIN MAST ON KDST.MATNR = MAST.MATNR</t>
        </is>
      </c>
      <c r="P609" s="4" t="inlineStr">
        <is>
          <t>שימוש עץ מוצר בהזמנת לקוח</t>
        </is>
      </c>
      <c r="Q609" s="4" t="inlineStr"/>
      <c r="R609" s="4" t="inlineStr">
        <is>
          <t>ER - Join Map</t>
        </is>
      </c>
      <c r="S609" s="4" t="inlineStr">
        <is>
          <t>A24</t>
        </is>
      </c>
      <c r="T609" s="7">
        <f>HYPERLINK("#'"&amp;R609&amp;"'!"&amp;S609,"➜ פתח")</f>
        <v/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inlineStr">
        <is>
          <t>Join</t>
        </is>
      </c>
      <c r="O610" s="6" t="inlineStr">
        <is>
          <t>FROM PLKO JOIN MAPL ON PLKO.PLNTY = MAPL.PLNTY AND PLKO.PLNNR = MAPL.PLNNR</t>
        </is>
      </c>
      <c r="P610" s="4" t="inlineStr">
        <is>
          <t>כותרת מתכון ייצור / רשימת פעולות</t>
        </is>
      </c>
      <c r="Q610" s="4" t="inlineStr"/>
      <c r="R610" s="4" t="inlineStr">
        <is>
          <t>ER - Join Map</t>
        </is>
      </c>
      <c r="S610" s="4" t="inlineStr">
        <is>
          <t>A25</t>
        </is>
      </c>
      <c r="T610" s="7">
        <f>HYPERLINK("#'"&amp;R610&amp;"'!"&amp;S610,"➜ פתח")</f>
        <v/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inlineStr">
        <is>
          <t>Join</t>
        </is>
      </c>
      <c r="O611" s="6" t="inlineStr">
        <is>
          <t>FROM PLPO JOIN PLAS ON PLPO.PLNTY = PLAS.PLNTY AND PLPO.PLNNR = PLAS.PLNNR AND PLPO.PLNKN = PLAS.PLNKN</t>
        </is>
      </c>
      <c r="P611" s="4" t="inlineStr">
        <is>
          <t>פעולות/פאזות במתכון</t>
        </is>
      </c>
      <c r="Q611" s="4" t="inlineStr"/>
      <c r="R611" s="4" t="inlineStr">
        <is>
          <t>ER - Join Map</t>
        </is>
      </c>
      <c r="S611" s="4" t="inlineStr">
        <is>
          <t>A26</t>
        </is>
      </c>
      <c r="T611" s="7">
        <f>HYPERLINK("#'"&amp;R611&amp;"'!"&amp;S611,"➜ פתח")</f>
        <v/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inlineStr">
        <is>
          <t>Join</t>
        </is>
      </c>
      <c r="O612" s="6" t="inlineStr">
        <is>
          <t>FROM PLAS JOIN PLKO ON PLAS.PLNTY = PLKO.PLNTY AND PLAS.PLNNR = PLKO.PLNNR</t>
        </is>
      </c>
      <c r="P612" s="4" t="inlineStr">
        <is>
          <t>שיוך/בחירת פעולות לרשימה</t>
        </is>
      </c>
      <c r="Q612" s="4" t="inlineStr"/>
      <c r="R612" s="4" t="inlineStr">
        <is>
          <t>ER - Join Map</t>
        </is>
      </c>
      <c r="S612" s="4" t="inlineStr">
        <is>
          <t>A27</t>
        </is>
      </c>
      <c r="T612" s="7">
        <f>HYPERLINK("#'"&amp;R612&amp;"'!"&amp;S612,"➜ פתח")</f>
        <v/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inlineStr">
        <is>
          <t>Join</t>
        </is>
      </c>
      <c r="O613" s="6" t="inlineStr">
        <is>
          <t>FROM PLFL JOIN PLKO ON PLFL.PLNNR = PLKO.PLNNR</t>
        </is>
      </c>
      <c r="P613" s="4" t="inlineStr">
        <is>
          <t>רצפים במתכון</t>
        </is>
      </c>
      <c r="Q613" s="4" t="inlineStr"/>
      <c r="R613" s="4" t="inlineStr">
        <is>
          <t>ER - Join Map</t>
        </is>
      </c>
      <c r="S613" s="4" t="inlineStr">
        <is>
          <t>A28</t>
        </is>
      </c>
      <c r="T613" s="7">
        <f>HYPERLINK("#'"&amp;R613&amp;"'!"&amp;S613,"➜ פתח")</f>
        <v/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inlineStr">
        <is>
          <t>Join</t>
        </is>
      </c>
      <c r="O614" s="6" t="inlineStr">
        <is>
          <t>FROM PLMZ JOIN PLPO ON PLMZ.PLNKN = PLPO.PLNKN</t>
        </is>
      </c>
      <c r="P614" s="4" t="inlineStr">
        <is>
          <t>שיוך רכיבים לפעולות</t>
        </is>
      </c>
      <c r="Q614" s="4" t="inlineStr"/>
      <c r="R614" s="4" t="inlineStr">
        <is>
          <t>ER - Join Map</t>
        </is>
      </c>
      <c r="S614" s="4" t="inlineStr">
        <is>
          <t>A29</t>
        </is>
      </c>
      <c r="T614" s="7">
        <f>HYPERLINK("#'"&amp;R614&amp;"'!"&amp;S614,"➜ פתח")</f>
        <v/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inlineStr">
        <is>
          <t>Join</t>
        </is>
      </c>
      <c r="O615" s="6" t="inlineStr">
        <is>
          <t>FROM PLMK JOIN PLPO ON PLMK.PLNKN = PLPO.PLNKN</t>
        </is>
      </c>
      <c r="P615" s="4" t="inlineStr">
        <is>
          <t>מאפייני בדיקה במתכון</t>
        </is>
      </c>
      <c r="Q615" s="4" t="inlineStr"/>
      <c r="R615" s="4" t="inlineStr">
        <is>
          <t>ER - Join Map</t>
        </is>
      </c>
      <c r="S615" s="4" t="inlineStr">
        <is>
          <t>A30</t>
        </is>
      </c>
      <c r="T615" s="7">
        <f>HYPERLINK("#'"&amp;R615&amp;"'!"&amp;S615,"➜ פתח")</f>
        <v/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inlineStr">
        <is>
          <t>Join</t>
        </is>
      </c>
      <c r="O616" s="6" t="inlineStr">
        <is>
          <t>FROM MAPL JOIN MARC ON MAPL.MATNR = MARC.MATNR AND MAPL.WERKS = MARC.WERKS</t>
        </is>
      </c>
      <c r="P616" s="4" t="inlineStr">
        <is>
          <t>שיוך חומר למתכון/רשימת פעולות</t>
        </is>
      </c>
      <c r="Q616" s="4" t="inlineStr"/>
      <c r="R616" s="4" t="inlineStr">
        <is>
          <t>ER - Join Map</t>
        </is>
      </c>
      <c r="S616" s="4" t="inlineStr">
        <is>
          <t>A31</t>
        </is>
      </c>
      <c r="T616" s="7">
        <f>HYPERLINK("#'"&amp;R616&amp;"'!"&amp;S616,"➜ פתח")</f>
        <v/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inlineStr">
        <is>
          <t>Join</t>
        </is>
      </c>
      <c r="O617" s="6" t="inlineStr">
        <is>
          <t>FROM FHMI JOIN PLPO ON FHMI.PLNKN = PLPO.PLNKN</t>
        </is>
      </c>
      <c r="P617" s="4" t="inlineStr">
        <is>
          <t>שיוך כלי עזר ייצור (PRT) לפעולה</t>
        </is>
      </c>
      <c r="Q617" s="4" t="inlineStr"/>
      <c r="R617" s="4" t="inlineStr">
        <is>
          <t>ER - Join Map</t>
        </is>
      </c>
      <c r="S617" s="4" t="inlineStr">
        <is>
          <t>A32</t>
        </is>
      </c>
      <c r="T617" s="7">
        <f>HYPERLINK("#'"&amp;R617&amp;"'!"&amp;S617,"➜ פתח")</f>
        <v/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inlineStr">
        <is>
          <t>Join</t>
        </is>
      </c>
      <c r="O618" s="6" t="inlineStr">
        <is>
          <t>FROM PLZU JOIN PLKO ON PLZU.PLNNR = PLKO.PLNNR</t>
        </is>
      </c>
      <c r="P618" s="4" t="inlineStr">
        <is>
          <t>קישור היסטוריית רשימת פעולות</t>
        </is>
      </c>
      <c r="Q618" s="4" t="inlineStr"/>
      <c r="R618" s="4" t="inlineStr">
        <is>
          <t>ER - Join Map</t>
        </is>
      </c>
      <c r="S618" s="4" t="inlineStr">
        <is>
          <t>A33</t>
        </is>
      </c>
      <c r="T618" s="7">
        <f>HYPERLINK("#'"&amp;R618&amp;"'!"&amp;S618,"➜ פתח")</f>
        <v/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inlineStr">
        <is>
          <t>Join</t>
        </is>
      </c>
      <c r="O619" s="6" t="inlineStr">
        <is>
          <t>FROM PLPO JOIN TC60 ON PLPO.STEUS = TC60.STEUS</t>
        </is>
      </c>
      <c r="P619" s="4" t="inlineStr">
        <is>
          <t>מאפייני הוראות תהליך (PI)</t>
        </is>
      </c>
      <c r="Q619" s="4" t="inlineStr"/>
      <c r="R619" s="4" t="inlineStr">
        <is>
          <t>ER - Join Map</t>
        </is>
      </c>
      <c r="S619" s="4" t="inlineStr">
        <is>
          <t>A34</t>
        </is>
      </c>
      <c r="T619" s="7">
        <f>HYPERLINK("#'"&amp;R619&amp;"'!"&amp;S619,"➜ פתח")</f>
        <v/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inlineStr">
        <is>
          <t>Join</t>
        </is>
      </c>
      <c r="O620" s="6" t="inlineStr">
        <is>
          <t>FROM PLKO JOIN TCA01 ON PLKO.PROFIDNETZ = TCA01.PROFIDNETZ</t>
        </is>
      </c>
      <c r="P620" s="4" t="inlineStr">
        <is>
          <t>פרופיל רשימת פעולות (Customizing)</t>
        </is>
      </c>
      <c r="Q620" s="4" t="inlineStr"/>
      <c r="R620" s="4" t="inlineStr">
        <is>
          <t>ER - Join Map</t>
        </is>
      </c>
      <c r="S620" s="4" t="inlineStr">
        <is>
          <t>A35</t>
        </is>
      </c>
      <c r="T620" s="7">
        <f>HYPERLINK("#'"&amp;R620&amp;"'!"&amp;S620,"➜ פתח")</f>
        <v/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inlineStr">
        <is>
          <t>Join</t>
        </is>
      </c>
      <c r="O621" s="6" t="inlineStr">
        <is>
          <t>FROM MKAL JOIN MARC ON MKAL.MATNR = MARC.MATNR AND MKAL.WERKS = MARC.WERKS</t>
        </is>
      </c>
      <c r="P621" s="4" t="inlineStr">
        <is>
          <t>גרסאות ייצור לחומר</t>
        </is>
      </c>
      <c r="Q621" s="4" t="inlineStr"/>
      <c r="R621" s="4" t="inlineStr">
        <is>
          <t>ER - Join Map</t>
        </is>
      </c>
      <c r="S621" s="4" t="inlineStr">
        <is>
          <t>A36</t>
        </is>
      </c>
      <c r="T621" s="7">
        <f>HYPERLINK("#'"&amp;R621&amp;"'!"&amp;S621,"➜ פתח")</f>
        <v/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inlineStr">
        <is>
          <t>Join</t>
        </is>
      </c>
      <c r="O622" s="6" t="inlineStr">
        <is>
          <t>FROM CRTX JOIN CRHD ON CRTX.OBJID = CRHD.OBJID AND CRTX.OBJTY = CRHD.OBJTY</t>
        </is>
      </c>
      <c r="P622" s="4" t="inlineStr">
        <is>
          <t>טקסטים של משאב</t>
        </is>
      </c>
      <c r="Q622" s="4" t="inlineStr"/>
      <c r="R622" s="4" t="inlineStr">
        <is>
          <t>ER - Join Map</t>
        </is>
      </c>
      <c r="S622" s="4" t="inlineStr">
        <is>
          <t>A37</t>
        </is>
      </c>
      <c r="T622" s="7">
        <f>HYPERLINK("#'"&amp;R622&amp;"'!"&amp;S622,"➜ פתח")</f>
        <v/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inlineStr">
        <is>
          <t>Join</t>
        </is>
      </c>
      <c r="O623" s="6" t="inlineStr">
        <is>
          <t>FROM CRCO JOIN CRHD ON CRCO.OBJID = CRHD.OBJID AND CRCO.OBJTY = CRHD.OBJTY</t>
        </is>
      </c>
      <c r="P623" s="4" t="inlineStr">
        <is>
          <t>שיוך משאב למרכז עלות</t>
        </is>
      </c>
      <c r="Q623" s="4" t="inlineStr"/>
      <c r="R623" s="4" t="inlineStr">
        <is>
          <t>ER - Join Map</t>
        </is>
      </c>
      <c r="S623" s="4" t="inlineStr">
        <is>
          <t>A38</t>
        </is>
      </c>
      <c r="T623" s="7">
        <f>HYPERLINK("#'"&amp;R623&amp;"'!"&amp;S623,"➜ פתח")</f>
        <v/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inlineStr">
        <is>
          <t>Join</t>
        </is>
      </c>
      <c r="O624" s="6" t="inlineStr">
        <is>
          <t>FROM CRCA JOIN CRHD ON CRCA.OBJID = CRHD.OBJID AND CRCA.OBJTY = CRHD.OBJTY</t>
        </is>
      </c>
      <c r="P624" s="4" t="inlineStr">
        <is>
          <t>הקצאת קיבולת למשאב</t>
        </is>
      </c>
      <c r="Q624" s="4" t="inlineStr"/>
      <c r="R624" s="4" t="inlineStr">
        <is>
          <t>ER - Join Map</t>
        </is>
      </c>
      <c r="S624" s="4" t="inlineStr">
        <is>
          <t>A39</t>
        </is>
      </c>
      <c r="T624" s="7">
        <f>HYPERLINK("#'"&amp;R624&amp;"'!"&amp;S624,"➜ פתח")</f>
        <v/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inlineStr">
        <is>
          <t>Join</t>
        </is>
      </c>
      <c r="O625" s="6" t="inlineStr">
        <is>
          <t>FROM KAKO JOIN CRCA ON KAKO.KAPID = CRCA.KAPID</t>
        </is>
      </c>
      <c r="P625" s="4" t="inlineStr">
        <is>
          <t>כותרת קיבולת</t>
        </is>
      </c>
      <c r="Q625" s="4" t="inlineStr"/>
      <c r="R625" s="4" t="inlineStr">
        <is>
          <t>ER - Join Map</t>
        </is>
      </c>
      <c r="S625" s="4" t="inlineStr">
        <is>
          <t>A40</t>
        </is>
      </c>
      <c r="T625" s="7">
        <f>HYPERLINK("#'"&amp;R625&amp;"'!"&amp;S625,"➜ פתח")</f>
        <v/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inlineStr">
        <is>
          <t>Join</t>
        </is>
      </c>
      <c r="O626" s="6" t="inlineStr">
        <is>
          <t>FROM FHMI JOIN CRFH ON FHMI.FHMNR = CRFH.FHMNR</t>
        </is>
      </c>
      <c r="P626" s="4" t="inlineStr">
        <is>
          <t>אב כלי עזר ייצור (PRT)</t>
        </is>
      </c>
      <c r="Q626" s="4" t="inlineStr"/>
      <c r="R626" s="4" t="inlineStr">
        <is>
          <t>ER - Join Map</t>
        </is>
      </c>
      <c r="S626" s="4" t="inlineStr">
        <is>
          <t>A41</t>
        </is>
      </c>
      <c r="T626" s="7">
        <f>HYPERLINK("#'"&amp;R626&amp;"'!"&amp;S626,"➜ פתח")</f>
        <v/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inlineStr">
        <is>
          <t>Join</t>
        </is>
      </c>
      <c r="O627" s="6" t="inlineStr">
        <is>
          <t>FROM CRVD_A JOIN CRHD ON CRVD_A.OBJID = CRHD.OBJID</t>
        </is>
      </c>
      <c r="P627" s="4" t="inlineStr">
        <is>
          <t>ברירות מחדל למשאב (PI)</t>
        </is>
      </c>
      <c r="Q627" s="4" t="inlineStr"/>
      <c r="R627" s="4" t="inlineStr">
        <is>
          <t>ER - Join Map</t>
        </is>
      </c>
      <c r="S627" s="4" t="inlineStr">
        <is>
          <t>A42</t>
        </is>
      </c>
      <c r="T627" s="7">
        <f>HYPERLINK("#'"&amp;R627&amp;"'!"&amp;S627,"➜ פתח")</f>
        <v/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inlineStr">
        <is>
          <t>Join</t>
        </is>
      </c>
      <c r="O628" s="6" t="inlineStr">
        <is>
          <t>FROM CSLA JOIN CRCO ON CSLA.LSTAR = CRCO.LSTAR</t>
        </is>
      </c>
      <c r="P628" s="4" t="inlineStr">
        <is>
          <t>סוגי פעילות למרכז עבודה</t>
        </is>
      </c>
      <c r="Q628" s="4" t="inlineStr"/>
      <c r="R628" s="4" t="inlineStr">
        <is>
          <t>ER - Join Map</t>
        </is>
      </c>
      <c r="S628" s="4" t="inlineStr">
        <is>
          <t>A43</t>
        </is>
      </c>
      <c r="T628" s="7">
        <f>HYPERLINK("#'"&amp;R628&amp;"'!"&amp;S628,"➜ פתח")</f>
        <v/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inlineStr">
        <is>
          <t>Join</t>
        </is>
      </c>
      <c r="O629" s="6" t="inlineStr">
        <is>
          <t>FROM KAZT JOIN KAKO ON KAZT.KAPID = KAKO.KAPID</t>
        </is>
      </c>
      <c r="P629" s="4" t="inlineStr">
        <is>
          <t>מרווחי קיבולת זמינה</t>
        </is>
      </c>
      <c r="Q629" s="4" t="inlineStr"/>
      <c r="R629" s="4" t="inlineStr">
        <is>
          <t>ER - Join Map</t>
        </is>
      </c>
      <c r="S629" s="4" t="inlineStr">
        <is>
          <t>A44</t>
        </is>
      </c>
      <c r="T629" s="7">
        <f>HYPERLINK("#'"&amp;R629&amp;"'!"&amp;S629,"➜ פתח")</f>
        <v/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inlineStr">
        <is>
          <t>Join</t>
        </is>
      </c>
      <c r="O630" s="6" t="inlineStr">
        <is>
          <t>FROM AFKO JOIN AUFK ON AFKO.AUFNR = AUFK.AUFNR</t>
        </is>
      </c>
      <c r="P630" s="4" t="inlineStr">
        <is>
          <t>כותרת פקודת ייצור</t>
        </is>
      </c>
      <c r="Q630" s="4" t="inlineStr"/>
      <c r="R630" s="4" t="inlineStr">
        <is>
          <t>ER - Join Map</t>
        </is>
      </c>
      <c r="S630" s="4" t="inlineStr">
        <is>
          <t>A45</t>
        </is>
      </c>
      <c r="T630" s="7">
        <f>HYPERLINK("#'"&amp;R630&amp;"'!"&amp;S630,"➜ פתח")</f>
        <v/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inlineStr">
        <is>
          <t>Join</t>
        </is>
      </c>
      <c r="O631" s="6" t="inlineStr">
        <is>
          <t>FROM AFPO JOIN AFKO ON AFPO.AUFNR = AFKO.AUFNR</t>
        </is>
      </c>
      <c r="P631" s="4" t="inlineStr">
        <is>
          <t>פריט פקודת ייצור</t>
        </is>
      </c>
      <c r="Q631" s="4" t="inlineStr"/>
      <c r="R631" s="4" t="inlineStr">
        <is>
          <t>ER - Join Map</t>
        </is>
      </c>
      <c r="S631" s="4" t="inlineStr">
        <is>
          <t>A46</t>
        </is>
      </c>
      <c r="T631" s="7">
        <f>HYPERLINK("#'"&amp;R631&amp;"'!"&amp;S631,"➜ פתח")</f>
        <v/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inlineStr">
        <is>
          <t>Join</t>
        </is>
      </c>
      <c r="O632" s="6" t="inlineStr">
        <is>
          <t>FROM AFVC JOIN AFKO ON AFVC.AUFPL = AFKO.AUFPL</t>
        </is>
      </c>
      <c r="P632" s="4" t="inlineStr">
        <is>
          <t>פעולות פקודת הייצור</t>
        </is>
      </c>
      <c r="Q632" s="4" t="inlineStr"/>
      <c r="R632" s="4" t="inlineStr">
        <is>
          <t>ER - Join Map</t>
        </is>
      </c>
      <c r="S632" s="4" t="inlineStr">
        <is>
          <t>A47</t>
        </is>
      </c>
      <c r="T632" s="7">
        <f>HYPERLINK("#'"&amp;R632&amp;"'!"&amp;S632,"➜ פתח")</f>
        <v/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inlineStr">
        <is>
          <t>Join</t>
        </is>
      </c>
      <c r="O633" s="6" t="inlineStr">
        <is>
          <t>FROM RESB JOIN AFKO ON RESB.AUFNR = AFKO.AUFNR</t>
        </is>
      </c>
      <c r="P633" s="4" t="inlineStr">
        <is>
          <t>הזמנת רכיבים לפק"ע</t>
        </is>
      </c>
      <c r="Q633" s="4" t="inlineStr"/>
      <c r="R633" s="4" t="inlineStr">
        <is>
          <t>ER - Join Map</t>
        </is>
      </c>
      <c r="S633" s="4" t="inlineStr">
        <is>
          <t>A48</t>
        </is>
      </c>
      <c r="T633" s="7">
        <f>HYPERLINK("#'"&amp;R633&amp;"'!"&amp;S633,"➜ פתח")</f>
        <v/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inlineStr">
        <is>
          <t>Join</t>
        </is>
      </c>
      <c r="O634" s="6" t="inlineStr">
        <is>
          <t>FROM AFRU JOIN AFKO ON AFRU.AUFNR = AFKO.AUFNR</t>
        </is>
      </c>
      <c r="P634" s="4" t="inlineStr">
        <is>
          <t>דיווחי ביצוע פק"ע</t>
        </is>
      </c>
      <c r="Q634" s="4" t="inlineStr"/>
      <c r="R634" s="4" t="inlineStr">
        <is>
          <t>ER - Join Map</t>
        </is>
      </c>
      <c r="S634" s="4" t="inlineStr">
        <is>
          <t>A49</t>
        </is>
      </c>
      <c r="T634" s="7">
        <f>HYPERLINK("#'"&amp;R634&amp;"'!"&amp;S634,"➜ פתח")</f>
        <v/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inlineStr">
        <is>
          <t>Join</t>
        </is>
      </c>
      <c r="O635" s="6" t="inlineStr">
        <is>
          <t>FROM AFFH JOIN AFKO ON AFFH.AUFPL = AFKO.AUFPL</t>
        </is>
      </c>
      <c r="P635" s="4" t="inlineStr">
        <is>
          <t>שיוך PRT לפק"ע</t>
        </is>
      </c>
      <c r="Q635" s="4" t="inlineStr"/>
      <c r="R635" s="4" t="inlineStr">
        <is>
          <t>ER - Join Map</t>
        </is>
      </c>
      <c r="S635" s="4" t="inlineStr">
        <is>
          <t>A50</t>
        </is>
      </c>
      <c r="T635" s="7">
        <f>HYPERLINK("#'"&amp;R635&amp;"'!"&amp;S635,"➜ פתח")</f>
        <v/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inlineStr">
        <is>
          <t>Join</t>
        </is>
      </c>
      <c r="O636" s="6" t="inlineStr">
        <is>
          <t>FROM AFFL JOIN AFKO ON AFFL.AUFPL = AFKO.AUFPL</t>
        </is>
      </c>
      <c r="P636" s="4" t="inlineStr">
        <is>
          <t>רצפי פעולות בפק"ע</t>
        </is>
      </c>
      <c r="Q636" s="4" t="inlineStr"/>
      <c r="R636" s="4" t="inlineStr">
        <is>
          <t>ER - Join Map</t>
        </is>
      </c>
      <c r="S636" s="4" t="inlineStr">
        <is>
          <t>A51</t>
        </is>
      </c>
      <c r="T636" s="7">
        <f>HYPERLINK("#'"&amp;R636&amp;"'!"&amp;S636,"➜ פתח")</f>
        <v/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inlineStr">
        <is>
          <t>Join</t>
        </is>
      </c>
      <c r="O637" s="6" t="inlineStr">
        <is>
          <t>FROM MARA JOIN T134 ON MARA.MTART = T134.MTART</t>
        </is>
      </c>
      <c r="P637" s="4" t="inlineStr">
        <is>
          <t>סוגי חומר (Customizing)</t>
        </is>
      </c>
      <c r="Q637" s="4" t="inlineStr"/>
      <c r="R637" s="4" t="inlineStr">
        <is>
          <t>ER - Join Map</t>
        </is>
      </c>
      <c r="S637" s="4" t="inlineStr">
        <is>
          <t>A52</t>
        </is>
      </c>
      <c r="T637" s="7">
        <f>HYPERLINK("#'"&amp;R637&amp;"'!"&amp;S637,"➜ פתח")</f>
        <v/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inlineStr">
        <is>
          <t>Join</t>
        </is>
      </c>
      <c r="O638" s="6" t="inlineStr">
        <is>
          <t>FROM T134T JOIN T134 ON T134T.MTART = T134.MTART</t>
        </is>
      </c>
      <c r="P638" s="4" t="inlineStr">
        <is>
          <t>טקסטים לסוגי חומר</t>
        </is>
      </c>
      <c r="Q638" s="4" t="inlineStr"/>
      <c r="R638" s="4" t="inlineStr">
        <is>
          <t>ER - Join Map</t>
        </is>
      </c>
      <c r="S638" s="4" t="inlineStr">
        <is>
          <t>A53</t>
        </is>
      </c>
      <c r="T638" s="7">
        <f>HYPERLINK("#'"&amp;R638&amp;"'!"&amp;S638,"➜ פתח")</f>
        <v/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inlineStr">
        <is>
          <t>Join</t>
        </is>
      </c>
      <c r="O639" s="6" t="inlineStr">
        <is>
          <t>FROM MARA JOIN T023 ON MARA.MATKL = T023.MATKL</t>
        </is>
      </c>
      <c r="P639" s="4" t="inlineStr">
        <is>
          <t>קבוצות חומר (Customizing)</t>
        </is>
      </c>
      <c r="Q639" s="4" t="inlineStr"/>
      <c r="R639" s="4" t="inlineStr">
        <is>
          <t>ER - Join Map</t>
        </is>
      </c>
      <c r="S639" s="4" t="inlineStr">
        <is>
          <t>A54</t>
        </is>
      </c>
      <c r="T639" s="7">
        <f>HYPERLINK("#'"&amp;R639&amp;"'!"&amp;S639,"➜ פתח")</f>
        <v/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inlineStr">
        <is>
          <t>Join</t>
        </is>
      </c>
      <c r="O640" s="6" t="inlineStr">
        <is>
          <t>FROM T023T JOIN T023 ON T023T.MATKL = T023.MATKL</t>
        </is>
      </c>
      <c r="P640" s="4" t="inlineStr">
        <is>
          <t>טקסטים לקבוצות חומר</t>
        </is>
      </c>
      <c r="Q640" s="4" t="inlineStr"/>
      <c r="R640" s="4" t="inlineStr">
        <is>
          <t>ER - Join Map</t>
        </is>
      </c>
      <c r="S640" s="4" t="inlineStr">
        <is>
          <t>A55</t>
        </is>
      </c>
      <c r="T640" s="7">
        <f>HYPERLINK("#'"&amp;R640&amp;"'!"&amp;S640,"➜ פתח")</f>
        <v/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inlineStr">
        <is>
          <t>Join</t>
        </is>
      </c>
      <c r="O641" s="6" t="inlineStr">
        <is>
          <t>FROM AUFK JOIN T399X ON AUFK.WERKS = T399X.WERKS AND AUFK.AUART = T399X.AUART</t>
        </is>
      </c>
      <c r="P641" s="4" t="inlineStr">
        <is>
          <t>פרמטרי בקרת ייצור למפעל</t>
        </is>
      </c>
      <c r="Q641" s="4" t="inlineStr"/>
      <c r="R641" s="4" t="inlineStr">
        <is>
          <t>ER - Join Map</t>
        </is>
      </c>
      <c r="S641" s="4" t="inlineStr">
        <is>
          <t>A56</t>
        </is>
      </c>
      <c r="T641" s="7">
        <f>HYPERLINK("#'"&amp;R641&amp;"'!"&amp;S641,"➜ פתח")</f>
        <v/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inlineStr">
        <is>
          <t>Join</t>
        </is>
      </c>
      <c r="O642" s="6" t="inlineStr">
        <is>
          <t>FROM T399X JOIN TCK03 ON T399X.KLVARP = TCK03.KLVAR</t>
        </is>
      </c>
      <c r="P642" s="4" t="inlineStr">
        <is>
          <t>וריאנט תמחיר (Costing Variant)</t>
        </is>
      </c>
      <c r="Q642" s="4" t="inlineStr"/>
      <c r="R642" s="4" t="inlineStr">
        <is>
          <t>ER - Join Map</t>
        </is>
      </c>
      <c r="S642" s="4" t="inlineStr">
        <is>
          <t>A57</t>
        </is>
      </c>
      <c r="T642" s="7">
        <f>HYPERLINK("#'"&amp;R642&amp;"'!"&amp;S642,"➜ פתח")</f>
        <v/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inlineStr">
        <is>
          <t>Join</t>
        </is>
      </c>
      <c r="O643" s="6" t="inlineStr">
        <is>
          <t>FROM MARC JOIN T438M ON MARC.DISMM = T438M.DISMM</t>
        </is>
      </c>
      <c r="P643" s="4" t="inlineStr">
        <is>
          <t>פרמטרי MRP לחומר/מפעל</t>
        </is>
      </c>
      <c r="Q643" s="4" t="inlineStr"/>
      <c r="R643" s="4" t="inlineStr">
        <is>
          <t>ER - Join Map</t>
        </is>
      </c>
      <c r="S643" s="4" t="inlineStr">
        <is>
          <t>A58</t>
        </is>
      </c>
      <c r="T643" s="7">
        <f>HYPERLINK("#'"&amp;R643&amp;"'!"&amp;S643,"➜ פתח")</f>
        <v/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inlineStr">
        <is>
          <t>Join</t>
        </is>
      </c>
      <c r="O644" s="6" t="inlineStr">
        <is>
          <t>FROM AUFK JOIN T003O ON AUFK.AUART = T003O.AUART</t>
        </is>
      </c>
      <c r="P644" s="4" t="inlineStr">
        <is>
          <t>סוגי פקודת ייצור (Process Order Types)</t>
        </is>
      </c>
      <c r="Q644" s="4" t="inlineStr"/>
      <c r="R644" s="4" t="inlineStr">
        <is>
          <t>ER - Join Map</t>
        </is>
      </c>
      <c r="S644" s="4" t="inlineStr">
        <is>
          <t>A59</t>
        </is>
      </c>
      <c r="T644" s="7">
        <f>HYPERLINK("#'"&amp;R644&amp;"'!"&amp;S644,"➜ פתח")</f>
        <v/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inlineStr">
        <is>
          <t>Join</t>
        </is>
      </c>
      <c r="O645" s="6" t="inlineStr">
        <is>
          <t>FROM TCO01 JOIN T003O ON TCO01.AUART = T003O.AUART</t>
        </is>
      </c>
      <c r="P645" s="4" t="inlineStr">
        <is>
          <t>פרמטרים תלויי סוג פק"ע (Order Profile)</t>
        </is>
      </c>
      <c r="Q645" s="4" t="inlineStr"/>
      <c r="R645" s="4" t="inlineStr">
        <is>
          <t>ER - Join Map</t>
        </is>
      </c>
      <c r="S645" s="4" t="inlineStr">
        <is>
          <t>A60</t>
        </is>
      </c>
      <c r="T645" s="7">
        <f>HYPERLINK("#'"&amp;R645&amp;"'!"&amp;S645,"➜ פתח")</f>
        <v/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inlineStr">
        <is>
          <t>Join</t>
        </is>
      </c>
      <c r="O646" s="6" t="inlineStr">
        <is>
          <t>FROM JEST JOIN TJ30 ON JEST.STAT = TJ30.ESTAT</t>
        </is>
      </c>
      <c r="P646" s="4" t="inlineStr">
        <is>
          <t>סטטוסי משתמש בפרופיל (User Status)</t>
        </is>
      </c>
      <c r="Q646" s="4" t="inlineStr"/>
      <c r="R646" s="4" t="inlineStr">
        <is>
          <t>ER - Join Map</t>
        </is>
      </c>
      <c r="S646" s="4" t="inlineStr">
        <is>
          <t>A61</t>
        </is>
      </c>
      <c r="T646" s="7">
        <f>HYPERLINK("#'"&amp;R646&amp;"'!"&amp;S646,"➜ פתח")</f>
        <v/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inlineStr">
        <is>
          <t>Join</t>
        </is>
      </c>
      <c r="O647" s="6" t="inlineStr">
        <is>
          <t>FROM TJ30T JOIN TJ30 ON TJ30T.STSMA = TJ30.STSMA AND TJ30T.ESTAT = TJ30.ESTAT</t>
        </is>
      </c>
      <c r="P647" s="4" t="inlineStr">
        <is>
          <t>טקסטים לסטטוסי משתמש</t>
        </is>
      </c>
      <c r="Q647" s="4" t="inlineStr"/>
      <c r="R647" s="4" t="inlineStr">
        <is>
          <t>ER - Join Map</t>
        </is>
      </c>
      <c r="S647" s="4" t="inlineStr">
        <is>
          <t>A62</t>
        </is>
      </c>
      <c r="T647" s="7">
        <f>HYPERLINK("#'"&amp;R647&amp;"'!"&amp;S647,"➜ פתח")</f>
        <v/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inlineStr">
        <is>
          <t>Join</t>
        </is>
      </c>
      <c r="O648" s="6" t="inlineStr">
        <is>
          <t>FROM EKKO JOIN BUT000 ON EKKO.LIFNR = BUT000.PARTNER</t>
        </is>
      </c>
      <c r="P648" s="4" t="inlineStr">
        <is>
          <t>שותף עסקי (BP - השפעת מעבר S/4)</t>
        </is>
      </c>
      <c r="Q648" s="4" t="inlineStr"/>
      <c r="R648" s="4" t="inlineStr">
        <is>
          <t>ER - Join Map</t>
        </is>
      </c>
      <c r="S648" s="4" t="inlineStr">
        <is>
          <t>A63</t>
        </is>
      </c>
      <c r="T648" s="7">
        <f>HYPERLINK("#'"&amp;R648&amp;"'!"&amp;S648,"➜ פתח")</f>
        <v/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inlineStr">
        <is>
          <t>Join</t>
        </is>
      </c>
      <c r="O649" s="6" t="inlineStr">
        <is>
          <t>FROM PLPO JOIN TC22 ON PLPO.STEUS = TC22.STEUS</t>
        </is>
      </c>
      <c r="P649" s="4" t="inlineStr">
        <is>
          <t>מפתחות בקרת תהליך/פעולה (PI Control)</t>
        </is>
      </c>
      <c r="Q649" s="4" t="inlineStr"/>
      <c r="R649" s="4" t="inlineStr">
        <is>
          <t>ER - Join Map</t>
        </is>
      </c>
      <c r="S649" s="4" t="inlineStr">
        <is>
          <t>A64</t>
        </is>
      </c>
      <c r="T649" s="7">
        <f>HYPERLINK("#'"&amp;R649&amp;"'!"&amp;S649,"➜ פתח")</f>
        <v/>
      </c>
    </row>
  </sheetData>
  <mergeCells count="17">
    <mergeCell ref="F13:F14"/>
    <mergeCell ref="J2:M3"/>
    <mergeCell ref="D10:D11"/>
    <mergeCell ref="H13:H14"/>
    <mergeCell ref="B9:H9"/>
    <mergeCell ref="B24:F24"/>
    <mergeCell ref="F10:F11"/>
    <mergeCell ref="B13:B14"/>
    <mergeCell ref="D13:D14"/>
    <mergeCell ref="B56:H59"/>
    <mergeCell ref="B2:H2"/>
    <mergeCell ref="B16:B17"/>
    <mergeCell ref="C25:F25"/>
    <mergeCell ref="B10:B11"/>
    <mergeCell ref="B3:H3"/>
    <mergeCell ref="B5:H5"/>
    <mergeCell ref="H10:H11"/>
  </mergeCells>
  <hyperlinks>
    <hyperlink xmlns:r="http://schemas.openxmlformats.org/officeDocument/2006/relationships" ref="B10" r:id="rId1"/>
    <hyperlink xmlns:r="http://schemas.openxmlformats.org/officeDocument/2006/relationships" ref="D10" r:id="rId2"/>
    <hyperlink xmlns:r="http://schemas.openxmlformats.org/officeDocument/2006/relationships" ref="F10" r:id="rId3"/>
    <hyperlink xmlns:r="http://schemas.openxmlformats.org/officeDocument/2006/relationships" ref="H10" r:id="rId4"/>
    <hyperlink xmlns:r="http://schemas.openxmlformats.org/officeDocument/2006/relationships" ref="B13" r:id="rId5"/>
    <hyperlink xmlns:r="http://schemas.openxmlformats.org/officeDocument/2006/relationships" ref="D13" r:id="rId6"/>
    <hyperlink xmlns:r="http://schemas.openxmlformats.org/officeDocument/2006/relationships" ref="F13" r:id="rId7"/>
    <hyperlink xmlns:r="http://schemas.openxmlformats.org/officeDocument/2006/relationships" ref="H13" r:id="rId8"/>
    <hyperlink xmlns:r="http://schemas.openxmlformats.org/officeDocument/2006/relationships" ref="B16" r:id="rId9"/>
  </hyperlinks>
  <pageMargins left="0.75" right="0.75" top="1" bottom="1" header="0.5" footer="0.5"/>
  <headerFooter>
    <oddHeader/>
    <oddFooter>&amp;C&amp;"Segoe UI"&amp;8&amp;K6B7280CBC NEO  -  PP-PI Migration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L133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1. נתוני אב חומר ויחידות מידה (Material &amp; UoM)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MM01 / MM02 / MM03</t>
        </is>
      </c>
      <c r="B6" s="4" t="n"/>
      <c r="C6" s="4" t="n"/>
      <c r="D6" s="41" t="inlineStr">
        <is>
          <t>Manage Product Master Data</t>
        </is>
      </c>
      <c r="E6" s="4" t="n"/>
      <c r="F6" s="4" t="n"/>
      <c r="G6" s="4" t="n"/>
      <c r="H6" s="4" t="n"/>
      <c r="I6" s="42" t="inlineStr">
        <is>
          <t>F1602A</t>
        </is>
      </c>
      <c r="J6" s="4" t="n"/>
      <c r="K6" s="4" t="n"/>
      <c r="L6" s="4" t="n"/>
    </row>
    <row r="7" ht="18" customHeight="1">
      <c r="A7" s="40" t="inlineStr">
        <is>
          <t>MM50 (extend views)</t>
        </is>
      </c>
      <c r="B7" s="4" t="n"/>
      <c r="C7" s="4" t="n"/>
      <c r="D7" s="41" t="inlineStr">
        <is>
          <t>Manage Product Master Data</t>
        </is>
      </c>
      <c r="E7" s="4" t="n"/>
      <c r="F7" s="4" t="n"/>
      <c r="G7" s="4" t="n"/>
      <c r="H7" s="4" t="n"/>
      <c r="I7" s="42" t="inlineStr">
        <is>
          <t>F1602A</t>
        </is>
      </c>
      <c r="J7" s="4" t="n"/>
      <c r="K7" s="4" t="n"/>
      <c r="L7" s="4" t="n"/>
    </row>
    <row r="8" ht="18" customHeight="1">
      <c r="A8" s="40" t="inlineStr">
        <is>
          <t>MMSC (ext. storage loc.)</t>
        </is>
      </c>
      <c r="B8" s="4" t="n"/>
      <c r="C8" s="4" t="n"/>
      <c r="D8" s="41" t="inlineStr">
        <is>
          <t>Mass Maintenance - Products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40" t="inlineStr">
        <is>
          <t>CUNI (UoM config)</t>
        </is>
      </c>
      <c r="B9" s="4" t="n"/>
      <c r="C9" s="4" t="n"/>
      <c r="D9" s="41" t="inlineStr">
        <is>
          <t>Configure Units of Measure (SPRO)</t>
        </is>
      </c>
      <c r="E9" s="4" t="n"/>
      <c r="F9" s="4" t="n"/>
      <c r="G9" s="4" t="n"/>
      <c r="H9" s="4" t="n"/>
      <c r="I9" s="43" t="inlineStr">
        <is>
          <t>-</t>
        </is>
      </c>
      <c r="J9" s="4" t="n"/>
      <c r="K9" s="4" t="n"/>
      <c r="L9" s="4" t="n"/>
    </row>
    <row r="10" ht="18" customHeight="1">
      <c r="A10" s="38" t="inlineStr">
        <is>
          <t xml:space="preserve">    ממשקים ובלוקים פונקציונליים: BAPIs / IDocs / RFCs (Extraction &amp; Messaging)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" customHeight="1">
      <c r="A11" s="39" t="inlineStr">
        <is>
          <t>Type</t>
        </is>
      </c>
      <c r="B11" s="4" t="n"/>
      <c r="C11" s="39" t="inlineStr">
        <is>
          <t>Name</t>
        </is>
      </c>
      <c r="D11" s="4" t="n"/>
      <c r="E11" s="4" t="n"/>
      <c r="F11" s="4" t="n"/>
      <c r="G11" s="39" t="inlineStr">
        <is>
          <t>תיאור / Description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BAPI</t>
        </is>
      </c>
      <c r="B12" s="4" t="n"/>
      <c r="C12" s="45" t="inlineStr">
        <is>
          <t>BAPI_MATERIAL_SAVEDATA</t>
        </is>
      </c>
      <c r="D12" s="4" t="n"/>
      <c r="E12" s="4" t="n"/>
      <c r="F12" s="4" t="n"/>
      <c r="G12" s="41" t="inlineStr">
        <is>
          <t>יצירה/עדכון אב חומר - ליבת הטעינה ההמונית והממשקים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BAPI</t>
        </is>
      </c>
      <c r="B13" s="4" t="n"/>
      <c r="C13" s="45" t="inlineStr">
        <is>
          <t>BAPI_MATERIAL_GET_DETAIL</t>
        </is>
      </c>
      <c r="D13" s="4" t="n"/>
      <c r="E13" s="4" t="n"/>
      <c r="F13" s="4" t="n"/>
      <c r="G13" s="41" t="inlineStr">
        <is>
          <t>שליפת נתוני חומר לדוחות/ממשקים</t>
        </is>
      </c>
      <c r="H13" s="4" t="n"/>
      <c r="I13" s="4" t="n"/>
      <c r="J13" s="4" t="n"/>
      <c r="K13" s="4" t="n"/>
      <c r="L13" s="4" t="n"/>
    </row>
    <row r="14" ht="18" customHeight="1">
      <c r="A14" s="44" t="inlineStr">
        <is>
          <t>IDoc</t>
        </is>
      </c>
      <c r="B14" s="4" t="n"/>
      <c r="C14" s="45" t="inlineStr">
        <is>
          <t>MATMAS (MATMAS05)</t>
        </is>
      </c>
      <c r="D14" s="4" t="n"/>
      <c r="E14" s="4" t="n"/>
      <c r="F14" s="4" t="n"/>
      <c r="G14" s="41" t="inlineStr">
        <is>
          <t>הפצת אב חומר ל/מ-מערכות חיצוניות (Zetes/Daymax)</t>
        </is>
      </c>
      <c r="H14" s="4" t="n"/>
      <c r="I14" s="4" t="n"/>
      <c r="J14" s="4" t="n"/>
      <c r="K14" s="4" t="n"/>
      <c r="L14" s="4" t="n"/>
    </row>
    <row r="15" ht="18" customHeight="1">
      <c r="A15" s="44" t="inlineStr">
        <is>
          <t>RFC</t>
        </is>
      </c>
      <c r="B15" s="4" t="n"/>
      <c r="C15" s="45" t="inlineStr">
        <is>
          <t>MARA_SINGLE_READ / MARC_SINGLE_READ</t>
        </is>
      </c>
      <c r="D15" s="4" t="n"/>
      <c r="E15" s="4" t="n"/>
      <c r="F15" s="4" t="n"/>
      <c r="G15" s="41" t="inlineStr">
        <is>
          <t>קריאת חומר/מפעל בודד</t>
        </is>
      </c>
      <c r="H15" s="4" t="n"/>
      <c r="I15" s="4" t="n"/>
      <c r="J15" s="4" t="n"/>
      <c r="K15" s="4" t="n"/>
      <c r="L15" s="4" t="n"/>
    </row>
    <row r="16" ht="18" customHeight="1">
      <c r="A16" s="38" t="inlineStr">
        <is>
          <t xml:space="preserve">    תוכניות רקע ודוחות סטנדרטיים (Background Programs / Reports)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39" t="inlineStr">
        <is>
          <t>Program / Report</t>
        </is>
      </c>
      <c r="B17" s="4" t="n"/>
      <c r="C17" s="4" t="n"/>
      <c r="D17" s="4" t="n"/>
      <c r="E17" s="39" t="inlineStr">
        <is>
          <t>תיאור ומטרה / Usage &amp; Trigger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RMMG2000</t>
        </is>
      </c>
      <c r="B18" s="4" t="n"/>
      <c r="C18" s="4" t="n"/>
      <c r="D18" s="4" t="n"/>
      <c r="E18" s="41" t="inlineStr">
        <is>
          <t>טעינה/עדכון חומר המוני (Direct Input)</t>
        </is>
      </c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5" t="inlineStr">
        <is>
          <t>RMDATIND</t>
        </is>
      </c>
      <c r="B19" s="4" t="n"/>
      <c r="C19" s="4" t="n"/>
      <c r="D19" s="4" t="n"/>
      <c r="E19" s="41" t="inlineStr">
        <is>
          <t>Direct Input לאב חומר מממשק</t>
        </is>
      </c>
      <c r="F19" s="4" t="n"/>
      <c r="G19" s="4" t="n"/>
      <c r="H19" s="4" t="n"/>
      <c r="I19" s="4" t="n"/>
      <c r="J19" s="4" t="n"/>
      <c r="K19" s="4" t="n"/>
      <c r="L19" s="4" t="n"/>
    </row>
    <row r="20" ht="18" customHeight="1">
      <c r="A20" s="45" t="inlineStr">
        <is>
          <t>RMMM00B0 / MM60</t>
        </is>
      </c>
      <c r="B20" s="4" t="n"/>
      <c r="C20" s="4" t="n"/>
      <c r="D20" s="4" t="n"/>
      <c r="E20" s="41" t="inlineStr">
        <is>
          <t>דוח רשימת חומרים</t>
        </is>
      </c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2" customHeight="1">
      <c r="A22" s="46" t="inlineStr">
        <is>
          <t xml:space="preserve">  ◆ טבלה MARA  -  נתוני אב חומר כלליים  (General material data)   |   T-codes: MM01/MM02/MM03; MM50, MMSC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6" customHeight="1">
      <c r="A23" s="47" t="n">
        <v>1</v>
      </c>
      <c r="B23" s="48" t="inlineStr">
        <is>
          <t>MARA</t>
        </is>
      </c>
      <c r="C23" s="49" t="inlineStr">
        <is>
          <t>MATNR</t>
        </is>
      </c>
      <c r="D23" s="50" t="inlineStr">
        <is>
          <t>CHAR</t>
        </is>
      </c>
      <c r="E23" s="50" t="inlineStr">
        <is>
          <t>18-&gt;40</t>
        </is>
      </c>
      <c r="F23" s="51" t="inlineStr">
        <is>
          <t>PK</t>
        </is>
      </c>
      <c r="G23" s="52" t="inlineStr">
        <is>
          <t>Material number</t>
        </is>
      </c>
      <c r="H23" s="53" t="inlineStr">
        <is>
          <t>מספר חומר</t>
        </is>
      </c>
      <c r="I23" s="54" t="inlineStr">
        <is>
          <t>(header - root of material model)</t>
        </is>
      </c>
      <c r="J23" s="55" t="inlineStr">
        <is>
          <t>טבלת הליבה של כל חומר ב-CBC (חומרי גלם, תרכיזים, חומרי אריזה, מוצרים מוגמרים). מפתח MATNR מורחב מ-18 ל-40 תווים ב-S/4HANA - קריטי לממשקי IDoc ל-Zetes/Daymax ולברקודים. כל פעולת ייצור (COR1/COR2) נשענת על רשומת חומר תקינה.</t>
        </is>
      </c>
      <c r="K23" s="56" t="inlineStr">
        <is>
          <t>MATNR מורחב 18-&gt;40 (SAP Note 2267140); בדוק ממשקים, ברקודים והמרות EAN.</t>
        </is>
      </c>
      <c r="L23" s="57" t="inlineStr">
        <is>
          <t>SAP Help - Material Master</t>
        </is>
      </c>
    </row>
    <row r="24" ht="26" customHeight="1">
      <c r="A24" s="58" t="n">
        <v>2</v>
      </c>
      <c r="B24" s="59" t="n"/>
      <c r="C24" s="60" t="inlineStr">
        <is>
          <t>MTART</t>
        </is>
      </c>
      <c r="D24" s="61" t="inlineStr">
        <is>
          <t>CHAR</t>
        </is>
      </c>
      <c r="E24" s="61" t="inlineStr">
        <is>
          <t>4</t>
        </is>
      </c>
      <c r="F24" s="62" t="inlineStr">
        <is>
          <t>FK</t>
        </is>
      </c>
      <c r="G24" s="63" t="inlineStr">
        <is>
          <t>Material type</t>
        </is>
      </c>
      <c r="H24" s="64" t="inlineStr">
        <is>
          <t>סוג חומר</t>
        </is>
      </c>
      <c r="I24" s="59" t="n"/>
      <c r="J24" s="59" t="n"/>
      <c r="K24" s="59" t="n"/>
      <c r="L24" s="59" t="n"/>
    </row>
    <row r="25" ht="26" customHeight="1">
      <c r="A25" s="47" t="n">
        <v>3</v>
      </c>
      <c r="B25" s="59" t="n"/>
      <c r="C25" s="49" t="inlineStr">
        <is>
          <t>MEINS</t>
        </is>
      </c>
      <c r="D25" s="50" t="inlineStr">
        <is>
          <t>UNIT</t>
        </is>
      </c>
      <c r="E25" s="50" t="inlineStr">
        <is>
          <t>3</t>
        </is>
      </c>
      <c r="F25" s="62" t="inlineStr">
        <is>
          <t>FK</t>
        </is>
      </c>
      <c r="G25" s="52" t="inlineStr">
        <is>
          <t>Base unit of measure</t>
        </is>
      </c>
      <c r="H25" s="53" t="inlineStr">
        <is>
          <t>יחידת מידה בסיסית</t>
        </is>
      </c>
      <c r="I25" s="59" t="n"/>
      <c r="J25" s="59" t="n"/>
      <c r="K25" s="59" t="n"/>
      <c r="L25" s="59" t="n"/>
    </row>
    <row r="26" ht="26" customHeight="1">
      <c r="A26" s="58" t="n">
        <v>4</v>
      </c>
      <c r="B26" s="59" t="n"/>
      <c r="C26" s="60" t="inlineStr">
        <is>
          <t>MATKL</t>
        </is>
      </c>
      <c r="D26" s="61" t="inlineStr">
        <is>
          <t>CHAR</t>
        </is>
      </c>
      <c r="E26" s="61" t="inlineStr">
        <is>
          <t>9</t>
        </is>
      </c>
      <c r="F26" s="62" t="inlineStr">
        <is>
          <t>FK</t>
        </is>
      </c>
      <c r="G26" s="63" t="inlineStr">
        <is>
          <t>Material group</t>
        </is>
      </c>
      <c r="H26" s="64" t="inlineStr">
        <is>
          <t>קבוצת חומר</t>
        </is>
      </c>
      <c r="I26" s="59" t="n"/>
      <c r="J26" s="59" t="n"/>
      <c r="K26" s="59" t="n"/>
      <c r="L26" s="59" t="n"/>
    </row>
    <row r="27" ht="26" customHeight="1">
      <c r="A27" s="47" t="n">
        <v>5</v>
      </c>
      <c r="B27" s="59" t="n"/>
      <c r="C27" s="49" t="inlineStr">
        <is>
          <t>GROES</t>
        </is>
      </c>
      <c r="D27" s="50" t="inlineStr">
        <is>
          <t>CHAR</t>
        </is>
      </c>
      <c r="E27" s="50" t="inlineStr">
        <is>
          <t>32</t>
        </is>
      </c>
      <c r="F27" s="65" t="inlineStr">
        <is>
          <t>-</t>
        </is>
      </c>
      <c r="G27" s="52" t="inlineStr">
        <is>
          <t>Size / dimensions</t>
        </is>
      </c>
      <c r="H27" s="53" t="inlineStr">
        <is>
          <t>גודל / מידות</t>
        </is>
      </c>
      <c r="I27" s="59" t="n"/>
      <c r="J27" s="59" t="n"/>
      <c r="K27" s="59" t="n"/>
      <c r="L27" s="59" t="n"/>
    </row>
    <row r="28" ht="26" customHeight="1">
      <c r="A28" s="58" t="n">
        <v>6</v>
      </c>
      <c r="B28" s="59" t="n"/>
      <c r="C28" s="60" t="inlineStr">
        <is>
          <t>BRGEW</t>
        </is>
      </c>
      <c r="D28" s="61" t="inlineStr">
        <is>
          <t>QUAN</t>
        </is>
      </c>
      <c r="E28" s="61" t="inlineStr">
        <is>
          <t>13</t>
        </is>
      </c>
      <c r="F28" s="65" t="inlineStr">
        <is>
          <t>-</t>
        </is>
      </c>
      <c r="G28" s="63" t="inlineStr">
        <is>
          <t>Gross weight</t>
        </is>
      </c>
      <c r="H28" s="64" t="inlineStr">
        <is>
          <t>משקל ברוטו</t>
        </is>
      </c>
      <c r="I28" s="59" t="n"/>
      <c r="J28" s="59" t="n"/>
      <c r="K28" s="59" t="n"/>
      <c r="L28" s="59" t="n"/>
    </row>
    <row r="29" ht="26" customHeight="1">
      <c r="A29" s="47" t="n">
        <v>7</v>
      </c>
      <c r="B29" s="59" t="n"/>
      <c r="C29" s="49" t="inlineStr">
        <is>
          <t>NTGEW</t>
        </is>
      </c>
      <c r="D29" s="50" t="inlineStr">
        <is>
          <t>QUAN</t>
        </is>
      </c>
      <c r="E29" s="50" t="inlineStr">
        <is>
          <t>13</t>
        </is>
      </c>
      <c r="F29" s="65" t="inlineStr">
        <is>
          <t>-</t>
        </is>
      </c>
      <c r="G29" s="52" t="inlineStr">
        <is>
          <t>Net weight</t>
        </is>
      </c>
      <c r="H29" s="53" t="inlineStr">
        <is>
          <t>משקל נטו</t>
        </is>
      </c>
      <c r="I29" s="59" t="n"/>
      <c r="J29" s="59" t="n"/>
      <c r="K29" s="59" t="n"/>
      <c r="L29" s="59" t="n"/>
    </row>
    <row r="30" ht="26" customHeight="1">
      <c r="A30" s="58" t="n">
        <v>8</v>
      </c>
      <c r="B30" s="66" t="n"/>
      <c r="C30" s="60" t="inlineStr">
        <is>
          <t>XCHPF</t>
        </is>
      </c>
      <c r="D30" s="61" t="inlineStr">
        <is>
          <t>CHAR</t>
        </is>
      </c>
      <c r="E30" s="61" t="inlineStr">
        <is>
          <t>1</t>
        </is>
      </c>
      <c r="F30" s="65" t="inlineStr">
        <is>
          <t>-</t>
        </is>
      </c>
      <c r="G30" s="63" t="inlineStr">
        <is>
          <t>Batch management indicator</t>
        </is>
      </c>
      <c r="H30" s="64" t="inlineStr">
        <is>
          <t>ניהול אצוות</t>
        </is>
      </c>
      <c r="I30" s="66" t="n"/>
      <c r="J30" s="66" t="n"/>
      <c r="K30" s="66" t="n"/>
      <c r="L30" s="66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22" customHeight="1">
      <c r="A32" s="46" t="inlineStr">
        <is>
          <t xml:space="preserve">  ◆ טבלה MAKT  -  תיאורי חומר (טקסטים)  (Material descriptions)   |   T-codes: MM01/MM02/MM03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6" customHeight="1">
      <c r="A33" s="47" t="n">
        <v>9</v>
      </c>
      <c r="B33" s="48" t="inlineStr">
        <is>
          <t>MAKT</t>
        </is>
      </c>
      <c r="C33" s="49" t="inlineStr">
        <is>
          <t>MATNR</t>
        </is>
      </c>
      <c r="D33" s="50" t="inlineStr">
        <is>
          <t>CHAR</t>
        </is>
      </c>
      <c r="E33" s="50" t="inlineStr">
        <is>
          <t>18-&gt;40</t>
        </is>
      </c>
      <c r="F33" s="67" t="inlineStr">
        <is>
          <t>PK/FK</t>
        </is>
      </c>
      <c r="G33" s="52" t="inlineStr">
        <is>
          <t>Material number</t>
        </is>
      </c>
      <c r="H33" s="53" t="inlineStr">
        <is>
          <t>מספר חומר</t>
        </is>
      </c>
      <c r="I33" s="54" t="inlineStr">
        <is>
          <t>FROM MAKT JOIN MARA ON MAKT.MATNR = MARA.MATNR</t>
        </is>
      </c>
      <c r="J33" s="55" t="inlineStr">
        <is>
          <t>תיאורי החומר הרב-לשוניים (עברית/אנגלית) המוצגים בפק"ע, בתעודות ובממשקי הלוגיסטיקה. חיוני לתצוגה דו-לשונית במסופי Zetes.</t>
        </is>
      </c>
      <c r="K33" s="56" t="inlineStr">
        <is>
          <t>ללא שינוי; MATNR מורחב משפיע על המפתח.</t>
        </is>
      </c>
      <c r="L33" s="57" t="inlineStr">
        <is>
          <t>SAP Help - Material Master</t>
        </is>
      </c>
    </row>
    <row r="34" ht="26" customHeight="1">
      <c r="A34" s="58" t="n">
        <v>10</v>
      </c>
      <c r="B34" s="59" t="n"/>
      <c r="C34" s="60" t="inlineStr">
        <is>
          <t>SPRAS</t>
        </is>
      </c>
      <c r="D34" s="61" t="inlineStr">
        <is>
          <t>LANG</t>
        </is>
      </c>
      <c r="E34" s="61" t="inlineStr">
        <is>
          <t>1</t>
        </is>
      </c>
      <c r="F34" s="51" t="inlineStr">
        <is>
          <t>PK</t>
        </is>
      </c>
      <c r="G34" s="63" t="inlineStr">
        <is>
          <t>Language key</t>
        </is>
      </c>
      <c r="H34" s="64" t="inlineStr">
        <is>
          <t>שפה</t>
        </is>
      </c>
      <c r="I34" s="59" t="n"/>
      <c r="J34" s="59" t="n"/>
      <c r="K34" s="59" t="n"/>
      <c r="L34" s="59" t="n"/>
    </row>
    <row r="35" ht="26" customHeight="1">
      <c r="A35" s="47" t="n">
        <v>11</v>
      </c>
      <c r="B35" s="59" t="n"/>
      <c r="C35" s="49" t="inlineStr">
        <is>
          <t>MAKTX</t>
        </is>
      </c>
      <c r="D35" s="50" t="inlineStr">
        <is>
          <t>CHAR</t>
        </is>
      </c>
      <c r="E35" s="50" t="inlineStr">
        <is>
          <t>40</t>
        </is>
      </c>
      <c r="F35" s="65" t="inlineStr">
        <is>
          <t>-</t>
        </is>
      </c>
      <c r="G35" s="52" t="inlineStr">
        <is>
          <t>Material description</t>
        </is>
      </c>
      <c r="H35" s="53" t="inlineStr">
        <is>
          <t>תיאור חומר</t>
        </is>
      </c>
      <c r="I35" s="59" t="n"/>
      <c r="J35" s="59" t="n"/>
      <c r="K35" s="59" t="n"/>
      <c r="L35" s="59" t="n"/>
    </row>
    <row r="36" ht="26" customHeight="1">
      <c r="A36" s="58" t="n">
        <v>12</v>
      </c>
      <c r="B36" s="66" t="n"/>
      <c r="C36" s="60" t="inlineStr">
        <is>
          <t>MAKTG</t>
        </is>
      </c>
      <c r="D36" s="61" t="inlineStr">
        <is>
          <t>CHAR</t>
        </is>
      </c>
      <c r="E36" s="61" t="inlineStr">
        <is>
          <t>40</t>
        </is>
      </c>
      <c r="F36" s="65" t="inlineStr">
        <is>
          <t>-</t>
        </is>
      </c>
      <c r="G36" s="63" t="inlineStr">
        <is>
          <t>Description (upper case)</t>
        </is>
      </c>
      <c r="H36" s="64" t="inlineStr">
        <is>
          <t>תיאור (אותיות גדולות)</t>
        </is>
      </c>
      <c r="I36" s="66" t="n"/>
      <c r="J36" s="66" t="n"/>
      <c r="K36" s="66" t="n"/>
      <c r="L36" s="66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22" customHeight="1">
      <c r="A38" s="46" t="inlineStr">
        <is>
          <t xml:space="preserve">  ◆ טבלה MARC  -  נתוני חומר ברמת מפעל  (Plant data for material)   |   T-codes: MM01/MM02; MD04, CO09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26" customHeight="1">
      <c r="A39" s="47" t="n">
        <v>13</v>
      </c>
      <c r="B39" s="48" t="inlineStr">
        <is>
          <t>MARC</t>
        </is>
      </c>
      <c r="C39" s="49" t="inlineStr">
        <is>
          <t>MATNR</t>
        </is>
      </c>
      <c r="D39" s="50" t="inlineStr">
        <is>
          <t>CHAR</t>
        </is>
      </c>
      <c r="E39" s="50" t="inlineStr">
        <is>
          <t>18-&gt;40</t>
        </is>
      </c>
      <c r="F39" s="67" t="inlineStr">
        <is>
          <t>PK/FK</t>
        </is>
      </c>
      <c r="G39" s="52" t="inlineStr">
        <is>
          <t>Material number</t>
        </is>
      </c>
      <c r="H39" s="53" t="inlineStr">
        <is>
          <t>מספר חומר</t>
        </is>
      </c>
      <c r="I39" s="54" t="inlineStr">
        <is>
          <t>FROM MARC JOIN MARA ON MARC.MATNR = MARA.MATNR</t>
        </is>
      </c>
      <c r="J39" s="55" t="inlineStr">
        <is>
          <t>פרמטרי התכנון והייצור של החומר במפעל CBC הספציפי: סוג רכש, MRP, אופק תכנון, גרסת ייצור ברירת מחדל. שדה SBDKZ/SFCPF שולט בזרימת הייצור (Process Order).</t>
        </is>
      </c>
      <c r="K39" s="56" t="inlineStr">
        <is>
          <t>MRP Live מחליף MRP קלאסי; שדות תכנון נשמרים אך הביצוע ב-MATDOC/ACDOCA.</t>
        </is>
      </c>
      <c r="L39" s="57" t="inlineStr">
        <is>
          <t>SAP Help - Plant Data</t>
        </is>
      </c>
    </row>
    <row r="40" ht="26" customHeight="1">
      <c r="A40" s="58" t="n">
        <v>14</v>
      </c>
      <c r="B40" s="59" t="n"/>
      <c r="C40" s="60" t="inlineStr">
        <is>
          <t>WERKS</t>
        </is>
      </c>
      <c r="D40" s="61" t="inlineStr">
        <is>
          <t>CHAR</t>
        </is>
      </c>
      <c r="E40" s="61" t="inlineStr">
        <is>
          <t>4</t>
        </is>
      </c>
      <c r="F40" s="51" t="inlineStr">
        <is>
          <t>PK</t>
        </is>
      </c>
      <c r="G40" s="63" t="inlineStr">
        <is>
          <t>Plant</t>
        </is>
      </c>
      <c r="H40" s="64" t="inlineStr">
        <is>
          <t>מפעל</t>
        </is>
      </c>
      <c r="I40" s="59" t="n"/>
      <c r="J40" s="59" t="n"/>
      <c r="K40" s="59" t="n"/>
      <c r="L40" s="59" t="n"/>
    </row>
    <row r="41" ht="26" customHeight="1">
      <c r="A41" s="47" t="n">
        <v>15</v>
      </c>
      <c r="B41" s="59" t="n"/>
      <c r="C41" s="49" t="inlineStr">
        <is>
          <t>DISPO</t>
        </is>
      </c>
      <c r="D41" s="50" t="inlineStr">
        <is>
          <t>CHAR</t>
        </is>
      </c>
      <c r="E41" s="50" t="inlineStr">
        <is>
          <t>3</t>
        </is>
      </c>
      <c r="F41" s="62" t="inlineStr">
        <is>
          <t>FK</t>
        </is>
      </c>
      <c r="G41" s="52" t="inlineStr">
        <is>
          <t>MRP controller</t>
        </is>
      </c>
      <c r="H41" s="53" t="inlineStr">
        <is>
          <t>אחראי MRP</t>
        </is>
      </c>
      <c r="I41" s="59" t="n"/>
      <c r="J41" s="59" t="n"/>
      <c r="K41" s="59" t="n"/>
      <c r="L41" s="59" t="n"/>
    </row>
    <row r="42" ht="26" customHeight="1">
      <c r="A42" s="58" t="n">
        <v>16</v>
      </c>
      <c r="B42" s="59" t="n"/>
      <c r="C42" s="60" t="inlineStr">
        <is>
          <t>DISMM</t>
        </is>
      </c>
      <c r="D42" s="61" t="inlineStr">
        <is>
          <t>CHAR</t>
        </is>
      </c>
      <c r="E42" s="61" t="inlineStr">
        <is>
          <t>2</t>
        </is>
      </c>
      <c r="F42" s="65" t="inlineStr">
        <is>
          <t>-</t>
        </is>
      </c>
      <c r="G42" s="63" t="inlineStr">
        <is>
          <t>MRP type</t>
        </is>
      </c>
      <c r="H42" s="64" t="inlineStr">
        <is>
          <t>סוג MRP</t>
        </is>
      </c>
      <c r="I42" s="59" t="n"/>
      <c r="J42" s="59" t="n"/>
      <c r="K42" s="59" t="n"/>
      <c r="L42" s="59" t="n"/>
    </row>
    <row r="43" ht="26" customHeight="1">
      <c r="A43" s="47" t="n">
        <v>17</v>
      </c>
      <c r="B43" s="59" t="n"/>
      <c r="C43" s="49" t="inlineStr">
        <is>
          <t>BESKZ</t>
        </is>
      </c>
      <c r="D43" s="50" t="inlineStr">
        <is>
          <t>CHAR</t>
        </is>
      </c>
      <c r="E43" s="50" t="inlineStr">
        <is>
          <t>1</t>
        </is>
      </c>
      <c r="F43" s="65" t="inlineStr">
        <is>
          <t>-</t>
        </is>
      </c>
      <c r="G43" s="52" t="inlineStr">
        <is>
          <t>Procurement type</t>
        </is>
      </c>
      <c r="H43" s="53" t="inlineStr">
        <is>
          <t>סוג רכש</t>
        </is>
      </c>
      <c r="I43" s="59" t="n"/>
      <c r="J43" s="59" t="n"/>
      <c r="K43" s="59" t="n"/>
      <c r="L43" s="59" t="n"/>
    </row>
    <row r="44" ht="26" customHeight="1">
      <c r="A44" s="58" t="n">
        <v>18</v>
      </c>
      <c r="B44" s="59" t="n"/>
      <c r="C44" s="60" t="inlineStr">
        <is>
          <t>SOBSL</t>
        </is>
      </c>
      <c r="D44" s="61" t="inlineStr">
        <is>
          <t>CHAR</t>
        </is>
      </c>
      <c r="E44" s="61" t="inlineStr">
        <is>
          <t>2</t>
        </is>
      </c>
      <c r="F44" s="65" t="inlineStr">
        <is>
          <t>-</t>
        </is>
      </c>
      <c r="G44" s="63" t="inlineStr">
        <is>
          <t>Special procurement</t>
        </is>
      </c>
      <c r="H44" s="64" t="inlineStr">
        <is>
          <t>רכש מיוחד</t>
        </is>
      </c>
      <c r="I44" s="59" t="n"/>
      <c r="J44" s="59" t="n"/>
      <c r="K44" s="59" t="n"/>
      <c r="L44" s="59" t="n"/>
    </row>
    <row r="45" ht="26" customHeight="1">
      <c r="A45" s="47" t="n">
        <v>19</v>
      </c>
      <c r="B45" s="59" t="n"/>
      <c r="C45" s="49" t="inlineStr">
        <is>
          <t>FEVOR</t>
        </is>
      </c>
      <c r="D45" s="50" t="inlineStr">
        <is>
          <t>CHAR</t>
        </is>
      </c>
      <c r="E45" s="50" t="inlineStr">
        <is>
          <t>3</t>
        </is>
      </c>
      <c r="F45" s="62" t="inlineStr">
        <is>
          <t>FK</t>
        </is>
      </c>
      <c r="G45" s="52" t="inlineStr">
        <is>
          <t>Production scheduler</t>
        </is>
      </c>
      <c r="H45" s="53" t="inlineStr">
        <is>
          <t>מתזמן ייצור</t>
        </is>
      </c>
      <c r="I45" s="59" t="n"/>
      <c r="J45" s="59" t="n"/>
      <c r="K45" s="59" t="n"/>
      <c r="L45" s="59" t="n"/>
    </row>
    <row r="46" ht="26" customHeight="1">
      <c r="A46" s="58" t="n">
        <v>20</v>
      </c>
      <c r="B46" s="66" t="n"/>
      <c r="C46" s="60" t="inlineStr">
        <is>
          <t>SERNP</t>
        </is>
      </c>
      <c r="D46" s="61" t="inlineStr">
        <is>
          <t>CHAR</t>
        </is>
      </c>
      <c r="E46" s="61" t="inlineStr">
        <is>
          <t>4</t>
        </is>
      </c>
      <c r="F46" s="65" t="inlineStr">
        <is>
          <t>-</t>
        </is>
      </c>
      <c r="G46" s="63" t="inlineStr">
        <is>
          <t>Serial number profile</t>
        </is>
      </c>
      <c r="H46" s="64" t="inlineStr">
        <is>
          <t>פרופיל מספר סידורי</t>
        </is>
      </c>
      <c r="I46" s="66" t="n"/>
      <c r="J46" s="66" t="n"/>
      <c r="K46" s="66" t="n"/>
      <c r="L46" s="66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2" customHeight="1">
      <c r="A48" s="46" t="inlineStr">
        <is>
          <t xml:space="preserve">  ◆ טבלה MARD  -  נתוני חומר ברמת מחסן/מלאי  (Storage location / stock data)   |   T-codes: MMBE; MB52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6" customHeight="1">
      <c r="A49" s="47" t="n">
        <v>21</v>
      </c>
      <c r="B49" s="48" t="inlineStr">
        <is>
          <t>MARD</t>
        </is>
      </c>
      <c r="C49" s="49" t="inlineStr">
        <is>
          <t>MATNR</t>
        </is>
      </c>
      <c r="D49" s="50" t="inlineStr">
        <is>
          <t>CHAR</t>
        </is>
      </c>
      <c r="E49" s="50" t="inlineStr">
        <is>
          <t>18-&gt;40</t>
        </is>
      </c>
      <c r="F49" s="67" t="inlineStr">
        <is>
          <t>PK/FK</t>
        </is>
      </c>
      <c r="G49" s="52" t="inlineStr">
        <is>
          <t>Material number</t>
        </is>
      </c>
      <c r="H49" s="53" t="inlineStr">
        <is>
          <t>מספר חומר</t>
        </is>
      </c>
      <c r="I49" s="54" t="inlineStr">
        <is>
          <t>FROM MARD JOIN MARC ON MARD.MATNR = MARC.MATNR AND MARD.WERKS = MARC.WERKS</t>
        </is>
      </c>
      <c r="J49" s="55" t="inlineStr">
        <is>
          <t>מלאי החומר לפי מחסן במפעל. בסיס לפליטת חומרי גלם לפק"ע ולקליטת מוצר מוגמר; מסונכרן עם מסופי Zetes/Daymax בזמן אמת.</t>
        </is>
      </c>
      <c r="K49" s="56" t="inlineStr">
        <is>
          <t>מלאי מנוהל ב-MATDOC; MARD הופך ל-Aggregate/View.</t>
        </is>
      </c>
      <c r="L49" s="57" t="inlineStr">
        <is>
          <t>SAP Help - Inventory</t>
        </is>
      </c>
    </row>
    <row r="50" ht="26" customHeight="1">
      <c r="A50" s="58" t="n">
        <v>22</v>
      </c>
      <c r="B50" s="59" t="n"/>
      <c r="C50" s="60" t="inlineStr">
        <is>
          <t>WERKS</t>
        </is>
      </c>
      <c r="D50" s="61" t="inlineStr">
        <is>
          <t>CHAR</t>
        </is>
      </c>
      <c r="E50" s="61" t="inlineStr">
        <is>
          <t>4</t>
        </is>
      </c>
      <c r="F50" s="67" t="inlineStr">
        <is>
          <t>PK/FK</t>
        </is>
      </c>
      <c r="G50" s="63" t="inlineStr">
        <is>
          <t>Plant</t>
        </is>
      </c>
      <c r="H50" s="64" t="inlineStr">
        <is>
          <t>מפעל</t>
        </is>
      </c>
      <c r="I50" s="59" t="n"/>
      <c r="J50" s="59" t="n"/>
      <c r="K50" s="59" t="n"/>
      <c r="L50" s="59" t="n"/>
    </row>
    <row r="51" ht="26" customHeight="1">
      <c r="A51" s="47" t="n">
        <v>23</v>
      </c>
      <c r="B51" s="59" t="n"/>
      <c r="C51" s="49" t="inlineStr">
        <is>
          <t>LGORT</t>
        </is>
      </c>
      <c r="D51" s="50" t="inlineStr">
        <is>
          <t>CHAR</t>
        </is>
      </c>
      <c r="E51" s="50" t="inlineStr">
        <is>
          <t>4</t>
        </is>
      </c>
      <c r="F51" s="51" t="inlineStr">
        <is>
          <t>PK</t>
        </is>
      </c>
      <c r="G51" s="52" t="inlineStr">
        <is>
          <t>Storage location</t>
        </is>
      </c>
      <c r="H51" s="53" t="inlineStr">
        <is>
          <t>מחסן</t>
        </is>
      </c>
      <c r="I51" s="59" t="n"/>
      <c r="J51" s="59" t="n"/>
      <c r="K51" s="59" t="n"/>
      <c r="L51" s="59" t="n"/>
    </row>
    <row r="52" ht="26" customHeight="1">
      <c r="A52" s="58" t="n">
        <v>24</v>
      </c>
      <c r="B52" s="59" t="n"/>
      <c r="C52" s="60" t="inlineStr">
        <is>
          <t>LABST</t>
        </is>
      </c>
      <c r="D52" s="61" t="inlineStr">
        <is>
          <t>QUAN</t>
        </is>
      </c>
      <c r="E52" s="61" t="inlineStr">
        <is>
          <t>13</t>
        </is>
      </c>
      <c r="F52" s="65" t="inlineStr">
        <is>
          <t>-</t>
        </is>
      </c>
      <c r="G52" s="63" t="inlineStr">
        <is>
          <t>Unrestricted stock</t>
        </is>
      </c>
      <c r="H52" s="64" t="inlineStr">
        <is>
          <t>מלאי פנוי</t>
        </is>
      </c>
      <c r="I52" s="59" t="n"/>
      <c r="J52" s="59" t="n"/>
      <c r="K52" s="59" t="n"/>
      <c r="L52" s="59" t="n"/>
    </row>
    <row r="53" ht="26" customHeight="1">
      <c r="A53" s="47" t="n">
        <v>25</v>
      </c>
      <c r="B53" s="66" t="n"/>
      <c r="C53" s="49" t="inlineStr">
        <is>
          <t>INSME</t>
        </is>
      </c>
      <c r="D53" s="50" t="inlineStr">
        <is>
          <t>QUAN</t>
        </is>
      </c>
      <c r="E53" s="50" t="inlineStr">
        <is>
          <t>13</t>
        </is>
      </c>
      <c r="F53" s="65" t="inlineStr">
        <is>
          <t>-</t>
        </is>
      </c>
      <c r="G53" s="52" t="inlineStr">
        <is>
          <t>Stock in quality inspection</t>
        </is>
      </c>
      <c r="H53" s="53" t="inlineStr">
        <is>
          <t>מלאי בבדיקת איכות</t>
        </is>
      </c>
      <c r="I53" s="66" t="n"/>
      <c r="J53" s="66" t="n"/>
      <c r="K53" s="66" t="n"/>
      <c r="L53" s="66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2" customHeight="1">
      <c r="A55" s="46" t="inlineStr">
        <is>
          <t xml:space="preserve">  ◆ טבלה MARM  -  המרות יחידות מידה חלופיות  (Units of measure conversions)   |   T-codes: MM02 (תצוגת UoM)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6" customHeight="1">
      <c r="A56" s="58" t="n">
        <v>26</v>
      </c>
      <c r="B56" s="68" t="inlineStr">
        <is>
          <t>MARM</t>
        </is>
      </c>
      <c r="C56" s="60" t="inlineStr">
        <is>
          <t>MATNR</t>
        </is>
      </c>
      <c r="D56" s="61" t="inlineStr">
        <is>
          <t>CHAR</t>
        </is>
      </c>
      <c r="E56" s="61" t="inlineStr">
        <is>
          <t>18-&gt;40</t>
        </is>
      </c>
      <c r="F56" s="67" t="inlineStr">
        <is>
          <t>PK/FK</t>
        </is>
      </c>
      <c r="G56" s="63" t="inlineStr">
        <is>
          <t>Material number</t>
        </is>
      </c>
      <c r="H56" s="64" t="inlineStr">
        <is>
          <t>מספר חומר</t>
        </is>
      </c>
      <c r="I56" s="69" t="inlineStr">
        <is>
          <t>FROM MARM JOIN MARA ON MARM.MATNR = MARA.MATNR</t>
        </is>
      </c>
      <c r="J56" s="70" t="inlineStr">
        <is>
          <t>מקדמי המרה בין יחידות (UMREZ מונה / UMREN מכנה) - לדוגמה ארגז=24 בקבוקים, משטח=ארגזים. קריטי לבקרת פחת ייצור של 1%: עיגול שגוי במקדם גורם לסטיית מלאי. EAN11 לברקוד.</t>
        </is>
      </c>
      <c r="K56" s="71" t="inlineStr">
        <is>
          <t>ללא שינוי מבני; אמת מקדמי עיגול (rounding) למניעת סטיות מלאי.</t>
        </is>
      </c>
      <c r="L56" s="72" t="inlineStr">
        <is>
          <t>SAP Help - Units of Measure</t>
        </is>
      </c>
    </row>
    <row r="57" ht="26" customHeight="1">
      <c r="A57" s="47" t="n">
        <v>27</v>
      </c>
      <c r="B57" s="59" t="n"/>
      <c r="C57" s="49" t="inlineStr">
        <is>
          <t>MEINH</t>
        </is>
      </c>
      <c r="D57" s="50" t="inlineStr">
        <is>
          <t>UNIT</t>
        </is>
      </c>
      <c r="E57" s="50" t="inlineStr">
        <is>
          <t>3</t>
        </is>
      </c>
      <c r="F57" s="51" t="inlineStr">
        <is>
          <t>PK</t>
        </is>
      </c>
      <c r="G57" s="52" t="inlineStr">
        <is>
          <t>Alternative unit of measure</t>
        </is>
      </c>
      <c r="H57" s="53" t="inlineStr">
        <is>
          <t>יחידת מידה חלופית</t>
        </is>
      </c>
      <c r="I57" s="59" t="n"/>
      <c r="J57" s="59" t="n"/>
      <c r="K57" s="59" t="n"/>
      <c r="L57" s="59" t="n"/>
    </row>
    <row r="58" ht="26" customHeight="1">
      <c r="A58" s="58" t="n">
        <v>28</v>
      </c>
      <c r="B58" s="59" t="n"/>
      <c r="C58" s="60" t="inlineStr">
        <is>
          <t>UMREZ</t>
        </is>
      </c>
      <c r="D58" s="61" t="inlineStr">
        <is>
          <t>DEC</t>
        </is>
      </c>
      <c r="E58" s="61" t="inlineStr">
        <is>
          <t>5</t>
        </is>
      </c>
      <c r="F58" s="65" t="inlineStr">
        <is>
          <t>-</t>
        </is>
      </c>
      <c r="G58" s="63" t="inlineStr">
        <is>
          <t>Numerator for conversion</t>
        </is>
      </c>
      <c r="H58" s="64" t="inlineStr">
        <is>
          <t>מונה להמרה</t>
        </is>
      </c>
      <c r="I58" s="59" t="n"/>
      <c r="J58" s="59" t="n"/>
      <c r="K58" s="59" t="n"/>
      <c r="L58" s="59" t="n"/>
    </row>
    <row r="59" ht="26" customHeight="1">
      <c r="A59" s="47" t="n">
        <v>29</v>
      </c>
      <c r="B59" s="59" t="n"/>
      <c r="C59" s="49" t="inlineStr">
        <is>
          <t>UMREN</t>
        </is>
      </c>
      <c r="D59" s="50" t="inlineStr">
        <is>
          <t>DEC</t>
        </is>
      </c>
      <c r="E59" s="50" t="inlineStr">
        <is>
          <t>5</t>
        </is>
      </c>
      <c r="F59" s="65" t="inlineStr">
        <is>
          <t>-</t>
        </is>
      </c>
      <c r="G59" s="52" t="inlineStr">
        <is>
          <t>Denominator for conversion</t>
        </is>
      </c>
      <c r="H59" s="53" t="inlineStr">
        <is>
          <t>מכנה להמרה</t>
        </is>
      </c>
      <c r="I59" s="59" t="n"/>
      <c r="J59" s="59" t="n"/>
      <c r="K59" s="59" t="n"/>
      <c r="L59" s="59" t="n"/>
    </row>
    <row r="60" ht="26" customHeight="1">
      <c r="A60" s="58" t="n">
        <v>30</v>
      </c>
      <c r="B60" s="59" t="n"/>
      <c r="C60" s="60" t="inlineStr">
        <is>
          <t>EAN11</t>
        </is>
      </c>
      <c r="D60" s="61" t="inlineStr">
        <is>
          <t>CHAR</t>
        </is>
      </c>
      <c r="E60" s="61" t="inlineStr">
        <is>
          <t>18</t>
        </is>
      </c>
      <c r="F60" s="65" t="inlineStr">
        <is>
          <t>-</t>
        </is>
      </c>
      <c r="G60" s="63" t="inlineStr">
        <is>
          <t>International article number (EAN/UPC)</t>
        </is>
      </c>
      <c r="H60" s="64" t="inlineStr">
        <is>
          <t>ברקוד בינלאומי</t>
        </is>
      </c>
      <c r="I60" s="59" t="n"/>
      <c r="J60" s="59" t="n"/>
      <c r="K60" s="59" t="n"/>
      <c r="L60" s="59" t="n"/>
    </row>
    <row r="61" ht="26" customHeight="1">
      <c r="A61" s="47" t="n">
        <v>31</v>
      </c>
      <c r="B61" s="66" t="n"/>
      <c r="C61" s="49" t="inlineStr">
        <is>
          <t>MESUB</t>
        </is>
      </c>
      <c r="D61" s="50" t="inlineStr">
        <is>
          <t>UNIT</t>
        </is>
      </c>
      <c r="E61" s="50" t="inlineStr">
        <is>
          <t>3</t>
        </is>
      </c>
      <c r="F61" s="65" t="inlineStr">
        <is>
          <t>-</t>
        </is>
      </c>
      <c r="G61" s="52" t="inlineStr">
        <is>
          <t>Lowest level UoM</t>
        </is>
      </c>
      <c r="H61" s="53" t="inlineStr">
        <is>
          <t>יחידה ברמה הנמוכה</t>
        </is>
      </c>
      <c r="I61" s="66" t="n"/>
      <c r="J61" s="66" t="n"/>
      <c r="K61" s="66" t="n"/>
      <c r="L61" s="66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22" customHeight="1">
      <c r="A63" s="46" t="inlineStr">
        <is>
          <t xml:space="preserve">  ◆ טבלה MEAN  -  ברקודים / EAN לחומר  (International article numbers (EANs))   |   T-codes: MM02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26" customHeight="1">
      <c r="A64" s="58" t="n">
        <v>32</v>
      </c>
      <c r="B64" s="68" t="inlineStr">
        <is>
          <t>MEAN</t>
        </is>
      </c>
      <c r="C64" s="60" t="inlineStr">
        <is>
          <t>MATNR</t>
        </is>
      </c>
      <c r="D64" s="61" t="inlineStr">
        <is>
          <t>CHAR</t>
        </is>
      </c>
      <c r="E64" s="61" t="inlineStr">
        <is>
          <t>18-&gt;40</t>
        </is>
      </c>
      <c r="F64" s="67" t="inlineStr">
        <is>
          <t>PK/FK</t>
        </is>
      </c>
      <c r="G64" s="63" t="inlineStr">
        <is>
          <t>Material number</t>
        </is>
      </c>
      <c r="H64" s="64" t="inlineStr">
        <is>
          <t>מספר חומר</t>
        </is>
      </c>
      <c r="I64" s="69" t="inlineStr">
        <is>
          <t>FROM MEAN JOIN MARA ON MEAN.MATNR = MARA.MATNR</t>
        </is>
      </c>
      <c r="J64" s="70" t="inlineStr">
        <is>
          <t>ניהול ברקודים מרובים לחומר (EAN13, UPC, GTIN) לפי יחידת מידה. מקור הסריקה במסופי Zetes בקליטה ובמשלוח.</t>
        </is>
      </c>
      <c r="K64" s="71" t="inlineStr">
        <is>
          <t>ללא שינוי.</t>
        </is>
      </c>
      <c r="L64" s="72" t="inlineStr">
        <is>
          <t>SAP Help - EAN</t>
        </is>
      </c>
    </row>
    <row r="65" ht="26" customHeight="1">
      <c r="A65" s="47" t="n">
        <v>33</v>
      </c>
      <c r="B65" s="59" t="n"/>
      <c r="C65" s="49" t="inlineStr">
        <is>
          <t>MEINH</t>
        </is>
      </c>
      <c r="D65" s="50" t="inlineStr">
        <is>
          <t>UNIT</t>
        </is>
      </c>
      <c r="E65" s="50" t="inlineStr">
        <is>
          <t>3</t>
        </is>
      </c>
      <c r="F65" s="51" t="inlineStr">
        <is>
          <t>PK</t>
        </is>
      </c>
      <c r="G65" s="52" t="inlineStr">
        <is>
          <t>Unit of measure</t>
        </is>
      </c>
      <c r="H65" s="53" t="inlineStr">
        <is>
          <t>יחידת מידה</t>
        </is>
      </c>
      <c r="I65" s="59" t="n"/>
      <c r="J65" s="59" t="n"/>
      <c r="K65" s="59" t="n"/>
      <c r="L65" s="59" t="n"/>
    </row>
    <row r="66" ht="26" customHeight="1">
      <c r="A66" s="58" t="n">
        <v>34</v>
      </c>
      <c r="B66" s="59" t="n"/>
      <c r="C66" s="60" t="inlineStr">
        <is>
          <t>EAN11</t>
        </is>
      </c>
      <c r="D66" s="61" t="inlineStr">
        <is>
          <t>CHAR</t>
        </is>
      </c>
      <c r="E66" s="61" t="inlineStr">
        <is>
          <t>18</t>
        </is>
      </c>
      <c r="F66" s="51" t="inlineStr">
        <is>
          <t>PK</t>
        </is>
      </c>
      <c r="G66" s="63" t="inlineStr">
        <is>
          <t>EAN / barcode</t>
        </is>
      </c>
      <c r="H66" s="64" t="inlineStr">
        <is>
          <t>ברקוד EAN</t>
        </is>
      </c>
      <c r="I66" s="59" t="n"/>
      <c r="J66" s="59" t="n"/>
      <c r="K66" s="59" t="n"/>
      <c r="L66" s="59" t="n"/>
    </row>
    <row r="67" ht="26" customHeight="1">
      <c r="A67" s="47" t="n">
        <v>35</v>
      </c>
      <c r="B67" s="59" t="n"/>
      <c r="C67" s="49" t="inlineStr">
        <is>
          <t>EANTP</t>
        </is>
      </c>
      <c r="D67" s="50" t="inlineStr">
        <is>
          <t>CHAR</t>
        </is>
      </c>
      <c r="E67" s="50" t="inlineStr">
        <is>
          <t>2</t>
        </is>
      </c>
      <c r="F67" s="65" t="inlineStr">
        <is>
          <t>-</t>
        </is>
      </c>
      <c r="G67" s="52" t="inlineStr">
        <is>
          <t>EAN category</t>
        </is>
      </c>
      <c r="H67" s="53" t="inlineStr">
        <is>
          <t>סוג EAN</t>
        </is>
      </c>
      <c r="I67" s="59" t="n"/>
      <c r="J67" s="59" t="n"/>
      <c r="K67" s="59" t="n"/>
      <c r="L67" s="59" t="n"/>
    </row>
    <row r="68" ht="26" customHeight="1">
      <c r="A68" s="58" t="n">
        <v>36</v>
      </c>
      <c r="B68" s="66" t="n"/>
      <c r="C68" s="60" t="inlineStr">
        <is>
          <t>HPEAN</t>
        </is>
      </c>
      <c r="D68" s="61" t="inlineStr">
        <is>
          <t>CHAR</t>
        </is>
      </c>
      <c r="E68" s="61" t="inlineStr">
        <is>
          <t>1</t>
        </is>
      </c>
      <c r="F68" s="65" t="inlineStr">
        <is>
          <t>-</t>
        </is>
      </c>
      <c r="G68" s="63" t="inlineStr">
        <is>
          <t>Main EAN indicator</t>
        </is>
      </c>
      <c r="H68" s="64" t="inlineStr">
        <is>
          <t>ברקוד ראשי</t>
        </is>
      </c>
      <c r="I68" s="66" t="n"/>
      <c r="J68" s="66" t="n"/>
      <c r="K68" s="66" t="n"/>
      <c r="L68" s="66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22" customHeight="1">
      <c r="A70" s="46" t="inlineStr">
        <is>
          <t xml:space="preserve">  ◆ טבלה MBEW  -  הערכת חומר (Valuation)  (Material valuation)   |   T-codes: MM02; MR21, CKM3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26" customHeight="1">
      <c r="A71" s="47" t="n">
        <v>37</v>
      </c>
      <c r="B71" s="48" t="inlineStr">
        <is>
          <t>MBEW</t>
        </is>
      </c>
      <c r="C71" s="49" t="inlineStr">
        <is>
          <t>MATNR</t>
        </is>
      </c>
      <c r="D71" s="50" t="inlineStr">
        <is>
          <t>CHAR</t>
        </is>
      </c>
      <c r="E71" s="50" t="inlineStr">
        <is>
          <t>18-&gt;40</t>
        </is>
      </c>
      <c r="F71" s="67" t="inlineStr">
        <is>
          <t>PK/FK</t>
        </is>
      </c>
      <c r="G71" s="52" t="inlineStr">
        <is>
          <t>Material number</t>
        </is>
      </c>
      <c r="H71" s="53" t="inlineStr">
        <is>
          <t>מספר חומר</t>
        </is>
      </c>
      <c r="I71" s="54" t="inlineStr">
        <is>
          <t>FROM MBEW JOIN MARA ON MBEW.MATNR = MARA.MATNR</t>
        </is>
      </c>
      <c r="J71" s="55" t="inlineStr">
        <is>
          <t>מחיר התקן/ממוצע נע של החומר לתמחיר ייצור והתחשבנות פק"ע. ב-CBC משמש לחישוב עלות תרכיז/מוצר מוגמר.</t>
        </is>
      </c>
      <c r="K71" s="56" t="inlineStr">
        <is>
          <t>Material Ledger חובה ב-S/4HANA; הערכה ב-ACDOCA/ACDOCC.</t>
        </is>
      </c>
      <c r="L71" s="57" t="inlineStr">
        <is>
          <t>SAP Note - Material Ledger</t>
        </is>
      </c>
    </row>
    <row r="72" ht="26" customHeight="1">
      <c r="A72" s="58" t="n">
        <v>38</v>
      </c>
      <c r="B72" s="59" t="n"/>
      <c r="C72" s="60" t="inlineStr">
        <is>
          <t>BWKEY</t>
        </is>
      </c>
      <c r="D72" s="61" t="inlineStr">
        <is>
          <t>CHAR</t>
        </is>
      </c>
      <c r="E72" s="61" t="inlineStr">
        <is>
          <t>4</t>
        </is>
      </c>
      <c r="F72" s="51" t="inlineStr">
        <is>
          <t>PK</t>
        </is>
      </c>
      <c r="G72" s="63" t="inlineStr">
        <is>
          <t>Valuation area</t>
        </is>
      </c>
      <c r="H72" s="64" t="inlineStr">
        <is>
          <t>אזור הערכה</t>
        </is>
      </c>
      <c r="I72" s="59" t="n"/>
      <c r="J72" s="59" t="n"/>
      <c r="K72" s="59" t="n"/>
      <c r="L72" s="59" t="n"/>
    </row>
    <row r="73" ht="26" customHeight="1">
      <c r="A73" s="47" t="n">
        <v>39</v>
      </c>
      <c r="B73" s="59" t="n"/>
      <c r="C73" s="49" t="inlineStr">
        <is>
          <t>BWTAR</t>
        </is>
      </c>
      <c r="D73" s="50" t="inlineStr">
        <is>
          <t>CHAR</t>
        </is>
      </c>
      <c r="E73" s="50" t="inlineStr">
        <is>
          <t>10</t>
        </is>
      </c>
      <c r="F73" s="51" t="inlineStr">
        <is>
          <t>PK</t>
        </is>
      </c>
      <c r="G73" s="52" t="inlineStr">
        <is>
          <t>Valuation type</t>
        </is>
      </c>
      <c r="H73" s="53" t="inlineStr">
        <is>
          <t>סוג הערכה</t>
        </is>
      </c>
      <c r="I73" s="59" t="n"/>
      <c r="J73" s="59" t="n"/>
      <c r="K73" s="59" t="n"/>
      <c r="L73" s="59" t="n"/>
    </row>
    <row r="74" ht="26" customHeight="1">
      <c r="A74" s="58" t="n">
        <v>40</v>
      </c>
      <c r="B74" s="59" t="n"/>
      <c r="C74" s="60" t="inlineStr">
        <is>
          <t>VPRSV</t>
        </is>
      </c>
      <c r="D74" s="61" t="inlineStr">
        <is>
          <t>CHAR</t>
        </is>
      </c>
      <c r="E74" s="61" t="inlineStr">
        <is>
          <t>1</t>
        </is>
      </c>
      <c r="F74" s="65" t="inlineStr">
        <is>
          <t>-</t>
        </is>
      </c>
      <c r="G74" s="63" t="inlineStr">
        <is>
          <t>Price control (S/V)</t>
        </is>
      </c>
      <c r="H74" s="64" t="inlineStr">
        <is>
          <t>בקרת מחיר</t>
        </is>
      </c>
      <c r="I74" s="59" t="n"/>
      <c r="J74" s="59" t="n"/>
      <c r="K74" s="59" t="n"/>
      <c r="L74" s="59" t="n"/>
    </row>
    <row r="75" ht="26" customHeight="1">
      <c r="A75" s="47" t="n">
        <v>41</v>
      </c>
      <c r="B75" s="59" t="n"/>
      <c r="C75" s="49" t="inlineStr">
        <is>
          <t>STPRS</t>
        </is>
      </c>
      <c r="D75" s="50" t="inlineStr">
        <is>
          <t>CURR</t>
        </is>
      </c>
      <c r="E75" s="50" t="inlineStr">
        <is>
          <t>11</t>
        </is>
      </c>
      <c r="F75" s="65" t="inlineStr">
        <is>
          <t>-</t>
        </is>
      </c>
      <c r="G75" s="52" t="inlineStr">
        <is>
          <t>Standard price</t>
        </is>
      </c>
      <c r="H75" s="53" t="inlineStr">
        <is>
          <t>מחיר תקן</t>
        </is>
      </c>
      <c r="I75" s="59" t="n"/>
      <c r="J75" s="59" t="n"/>
      <c r="K75" s="59" t="n"/>
      <c r="L75" s="59" t="n"/>
    </row>
    <row r="76" ht="26" customHeight="1">
      <c r="A76" s="58" t="n">
        <v>42</v>
      </c>
      <c r="B76" s="66" t="n"/>
      <c r="C76" s="60" t="inlineStr">
        <is>
          <t>PEINH</t>
        </is>
      </c>
      <c r="D76" s="61" t="inlineStr">
        <is>
          <t>DEC</t>
        </is>
      </c>
      <c r="E76" s="61" t="inlineStr">
        <is>
          <t>5</t>
        </is>
      </c>
      <c r="F76" s="65" t="inlineStr">
        <is>
          <t>-</t>
        </is>
      </c>
      <c r="G76" s="63" t="inlineStr">
        <is>
          <t>Price unit</t>
        </is>
      </c>
      <c r="H76" s="64" t="inlineStr">
        <is>
          <t>יחידת מחיר</t>
        </is>
      </c>
      <c r="I76" s="66" t="n"/>
      <c r="J76" s="66" t="n"/>
      <c r="K76" s="66" t="n"/>
      <c r="L76" s="66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22" customHeight="1">
      <c r="A78" s="46" t="inlineStr">
        <is>
          <t xml:space="preserve">  ◆ טבלה MVKE  -  נתוני חומר ברמת מכירות  (Sales data for material)   |   T-codes: MM01/MM02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26" customHeight="1">
      <c r="A79" s="47" t="n">
        <v>43</v>
      </c>
      <c r="B79" s="48" t="inlineStr">
        <is>
          <t>MVKE</t>
        </is>
      </c>
      <c r="C79" s="49" t="inlineStr">
        <is>
          <t>MATNR</t>
        </is>
      </c>
      <c r="D79" s="50" t="inlineStr">
        <is>
          <t>CHAR</t>
        </is>
      </c>
      <c r="E79" s="50" t="inlineStr">
        <is>
          <t>18-&gt;40</t>
        </is>
      </c>
      <c r="F79" s="67" t="inlineStr">
        <is>
          <t>PK/FK</t>
        </is>
      </c>
      <c r="G79" s="52" t="inlineStr">
        <is>
          <t>Material number</t>
        </is>
      </c>
      <c r="H79" s="53" t="inlineStr">
        <is>
          <t>מספר חומר</t>
        </is>
      </c>
      <c r="I79" s="54" t="inlineStr">
        <is>
          <t>FROM MVKE JOIN MARA ON MVKE.MATNR = MARA.MATNR</t>
        </is>
      </c>
      <c r="J79" s="55" t="inlineStr">
        <is>
          <t>נתוני מכירה של מוצר מוגמר (ארגון מכירות, ערוץ הפצה) - מחבר את הייצור לשרשרת ההפצה של CBC.</t>
        </is>
      </c>
      <c r="K79" s="56" t="inlineStr">
        <is>
          <t>ללא שינוי; לקוחות דרך Business Partner.</t>
        </is>
      </c>
      <c r="L79" s="57" t="inlineStr">
        <is>
          <t>SAP Help - Sales Data</t>
        </is>
      </c>
    </row>
    <row r="80" ht="26" customHeight="1">
      <c r="A80" s="58" t="n">
        <v>44</v>
      </c>
      <c r="B80" s="59" t="n"/>
      <c r="C80" s="60" t="inlineStr">
        <is>
          <t>VKORG</t>
        </is>
      </c>
      <c r="D80" s="61" t="inlineStr">
        <is>
          <t>CHAR</t>
        </is>
      </c>
      <c r="E80" s="61" t="inlineStr">
        <is>
          <t>4</t>
        </is>
      </c>
      <c r="F80" s="51" t="inlineStr">
        <is>
          <t>PK</t>
        </is>
      </c>
      <c r="G80" s="63" t="inlineStr">
        <is>
          <t>Sales organization</t>
        </is>
      </c>
      <c r="H80" s="64" t="inlineStr">
        <is>
          <t>ארגון מכירות</t>
        </is>
      </c>
      <c r="I80" s="59" t="n"/>
      <c r="J80" s="59" t="n"/>
      <c r="K80" s="59" t="n"/>
      <c r="L80" s="59" t="n"/>
    </row>
    <row r="81" ht="26" customHeight="1">
      <c r="A81" s="47" t="n">
        <v>45</v>
      </c>
      <c r="B81" s="59" t="n"/>
      <c r="C81" s="49" t="inlineStr">
        <is>
          <t>VTWEG</t>
        </is>
      </c>
      <c r="D81" s="50" t="inlineStr">
        <is>
          <t>CHAR</t>
        </is>
      </c>
      <c r="E81" s="50" t="inlineStr">
        <is>
          <t>2</t>
        </is>
      </c>
      <c r="F81" s="51" t="inlineStr">
        <is>
          <t>PK</t>
        </is>
      </c>
      <c r="G81" s="52" t="inlineStr">
        <is>
          <t>Distribution channel</t>
        </is>
      </c>
      <c r="H81" s="53" t="inlineStr">
        <is>
          <t>ערוץ הפצה</t>
        </is>
      </c>
      <c r="I81" s="59" t="n"/>
      <c r="J81" s="59" t="n"/>
      <c r="K81" s="59" t="n"/>
      <c r="L81" s="59" t="n"/>
    </row>
    <row r="82" ht="26" customHeight="1">
      <c r="A82" s="58" t="n">
        <v>46</v>
      </c>
      <c r="B82" s="66" t="n"/>
      <c r="C82" s="60" t="inlineStr">
        <is>
          <t>MTPOS</t>
        </is>
      </c>
      <c r="D82" s="61" t="inlineStr">
        <is>
          <t>CHAR</t>
        </is>
      </c>
      <c r="E82" s="61" t="inlineStr">
        <is>
          <t>4</t>
        </is>
      </c>
      <c r="F82" s="65" t="inlineStr">
        <is>
          <t>-</t>
        </is>
      </c>
      <c r="G82" s="63" t="inlineStr">
        <is>
          <t>Item category group</t>
        </is>
      </c>
      <c r="H82" s="64" t="inlineStr">
        <is>
          <t>קבוצת קטגוריית פריט</t>
        </is>
      </c>
      <c r="I82" s="66" t="n"/>
      <c r="J82" s="66" t="n"/>
      <c r="K82" s="66" t="n"/>
      <c r="L82" s="66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22" customHeight="1">
      <c r="A84" s="46" t="inlineStr">
        <is>
          <t xml:space="preserve">  ◆ טבלה MLAN  -  נתוני מס לחומר (לפי מדינה)  (Material tax data)   |   T-codes: MM01/MM02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26" customHeight="1">
      <c r="A85" s="47" t="n">
        <v>47</v>
      </c>
      <c r="B85" s="48" t="inlineStr">
        <is>
          <t>MLAN</t>
        </is>
      </c>
      <c r="C85" s="49" t="inlineStr">
        <is>
          <t>MATNR</t>
        </is>
      </c>
      <c r="D85" s="50" t="inlineStr">
        <is>
          <t>CHAR</t>
        </is>
      </c>
      <c r="E85" s="50" t="inlineStr">
        <is>
          <t>18-&gt;40</t>
        </is>
      </c>
      <c r="F85" s="67" t="inlineStr">
        <is>
          <t>PK/FK</t>
        </is>
      </c>
      <c r="G85" s="52" t="inlineStr">
        <is>
          <t>Material number</t>
        </is>
      </c>
      <c r="H85" s="53" t="inlineStr">
        <is>
          <t>מספר חומר</t>
        </is>
      </c>
      <c r="I85" s="54" t="inlineStr">
        <is>
          <t>FROM MLAN JOIN MARA ON MLAN.MATNR = MARA.MATNR</t>
        </is>
      </c>
      <c r="J85" s="55" t="inlineStr">
        <is>
          <t>סיווג מס (מע"מ/בלו) לחומר לפי מדינה - רלוונטי למשקאות החייבים בבלו/מס בריאות בישראל.</t>
        </is>
      </c>
      <c r="K85" s="56" t="inlineStr">
        <is>
          <t>ללא שינוי.</t>
        </is>
      </c>
      <c r="L85" s="57" t="inlineStr">
        <is>
          <t>SAP Help - Tax Classification</t>
        </is>
      </c>
    </row>
    <row r="86" ht="26" customHeight="1">
      <c r="A86" s="58" t="n">
        <v>48</v>
      </c>
      <c r="B86" s="59" t="n"/>
      <c r="C86" s="60" t="inlineStr">
        <is>
          <t>ALAND</t>
        </is>
      </c>
      <c r="D86" s="61" t="inlineStr">
        <is>
          <t>CHAR</t>
        </is>
      </c>
      <c r="E86" s="61" t="inlineStr">
        <is>
          <t>3</t>
        </is>
      </c>
      <c r="F86" s="51" t="inlineStr">
        <is>
          <t>PK</t>
        </is>
      </c>
      <c r="G86" s="63" t="inlineStr">
        <is>
          <t>Departure country</t>
        </is>
      </c>
      <c r="H86" s="64" t="inlineStr">
        <is>
          <t>מדינת מקור</t>
        </is>
      </c>
      <c r="I86" s="59" t="n"/>
      <c r="J86" s="59" t="n"/>
      <c r="K86" s="59" t="n"/>
      <c r="L86" s="59" t="n"/>
    </row>
    <row r="87" ht="26" customHeight="1">
      <c r="A87" s="47" t="n">
        <v>49</v>
      </c>
      <c r="B87" s="66" t="n"/>
      <c r="C87" s="49" t="inlineStr">
        <is>
          <t>TAXM1</t>
        </is>
      </c>
      <c r="D87" s="50" t="inlineStr">
        <is>
          <t>CHAR</t>
        </is>
      </c>
      <c r="E87" s="50" t="inlineStr">
        <is>
          <t>1</t>
        </is>
      </c>
      <c r="F87" s="65" t="inlineStr">
        <is>
          <t>-</t>
        </is>
      </c>
      <c r="G87" s="52" t="inlineStr">
        <is>
          <t>Tax classification</t>
        </is>
      </c>
      <c r="H87" s="53" t="inlineStr">
        <is>
          <t>סיווג מס</t>
        </is>
      </c>
      <c r="I87" s="66" t="n"/>
      <c r="J87" s="66" t="n"/>
      <c r="K87" s="66" t="n"/>
      <c r="L87" s="66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22" customHeight="1">
      <c r="A89" s="46" t="inlineStr">
        <is>
          <t xml:space="preserve">  ◆ טבלה MLGN  -  נתוני חומר ברמת מחסן (WM)  (Material data for warehouse number)   |   T-codes: MM01/MM02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26" customHeight="1">
      <c r="A90" s="58" t="n">
        <v>50</v>
      </c>
      <c r="B90" s="68" t="inlineStr">
        <is>
          <t>MLGN</t>
        </is>
      </c>
      <c r="C90" s="60" t="inlineStr">
        <is>
          <t>MATNR</t>
        </is>
      </c>
      <c r="D90" s="61" t="inlineStr">
        <is>
          <t>CHAR</t>
        </is>
      </c>
      <c r="E90" s="61" t="inlineStr">
        <is>
          <t>18-&gt;40</t>
        </is>
      </c>
      <c r="F90" s="67" t="inlineStr">
        <is>
          <t>PK/FK</t>
        </is>
      </c>
      <c r="G90" s="63" t="inlineStr">
        <is>
          <t>Material number</t>
        </is>
      </c>
      <c r="H90" s="64" t="inlineStr">
        <is>
          <t>מספר חומר</t>
        </is>
      </c>
      <c r="I90" s="69" t="inlineStr">
        <is>
          <t>FROM MLGN JOIN MARA ON MLGN.MATNR = MARA.MATNR</t>
        </is>
      </c>
      <c r="J90" s="70" t="inlineStr">
        <is>
          <t>פרמטרי ניהול מחסן (WM/EWM) של החומר - יחידת בסיס לאחסון, אסטרטגיית העלאה/הורדה. ממשק למסופי Zetes.</t>
        </is>
      </c>
      <c r="K90" s="71" t="inlineStr">
        <is>
          <t>EWM אסטרטגי; LE-WM קלאסי נתמך עם הגבלות.</t>
        </is>
      </c>
      <c r="L90" s="72" t="inlineStr">
        <is>
          <t>SAP Help - Warehouse</t>
        </is>
      </c>
    </row>
    <row r="91" ht="26" customHeight="1">
      <c r="A91" s="47" t="n">
        <v>51</v>
      </c>
      <c r="B91" s="59" t="n"/>
      <c r="C91" s="49" t="inlineStr">
        <is>
          <t>LGNUM</t>
        </is>
      </c>
      <c r="D91" s="50" t="inlineStr">
        <is>
          <t>CHAR</t>
        </is>
      </c>
      <c r="E91" s="50" t="inlineStr">
        <is>
          <t>3</t>
        </is>
      </c>
      <c r="F91" s="51" t="inlineStr">
        <is>
          <t>PK</t>
        </is>
      </c>
      <c r="G91" s="52" t="inlineStr">
        <is>
          <t>Warehouse number</t>
        </is>
      </c>
      <c r="H91" s="53" t="inlineStr">
        <is>
          <t>מספר מחסן</t>
        </is>
      </c>
      <c r="I91" s="59" t="n"/>
      <c r="J91" s="59" t="n"/>
      <c r="K91" s="59" t="n"/>
      <c r="L91" s="59" t="n"/>
    </row>
    <row r="92" ht="26" customHeight="1">
      <c r="A92" s="58" t="n">
        <v>52</v>
      </c>
      <c r="B92" s="59" t="n"/>
      <c r="C92" s="60" t="inlineStr">
        <is>
          <t>LTKZA</t>
        </is>
      </c>
      <c r="D92" s="61" t="inlineStr">
        <is>
          <t>CHAR</t>
        </is>
      </c>
      <c r="E92" s="61" t="inlineStr">
        <is>
          <t>3</t>
        </is>
      </c>
      <c r="F92" s="65" t="inlineStr">
        <is>
          <t>-</t>
        </is>
      </c>
      <c r="G92" s="63" t="inlineStr">
        <is>
          <t>Stock removal strategy</t>
        </is>
      </c>
      <c r="H92" s="64" t="inlineStr">
        <is>
          <t>אסטרטגיית הורדה</t>
        </is>
      </c>
      <c r="I92" s="59" t="n"/>
      <c r="J92" s="59" t="n"/>
      <c r="K92" s="59" t="n"/>
      <c r="L92" s="59" t="n"/>
    </row>
    <row r="93" ht="26" customHeight="1">
      <c r="A93" s="47" t="n">
        <v>53</v>
      </c>
      <c r="B93" s="66" t="n"/>
      <c r="C93" s="49" t="inlineStr">
        <is>
          <t>LTKZE</t>
        </is>
      </c>
      <c r="D93" s="50" t="inlineStr">
        <is>
          <t>CHAR</t>
        </is>
      </c>
      <c r="E93" s="50" t="inlineStr">
        <is>
          <t>3</t>
        </is>
      </c>
      <c r="F93" s="65" t="inlineStr">
        <is>
          <t>-</t>
        </is>
      </c>
      <c r="G93" s="52" t="inlineStr">
        <is>
          <t>Stock placement strategy</t>
        </is>
      </c>
      <c r="H93" s="53" t="inlineStr">
        <is>
          <t>אסטרטגיית העלאה</t>
        </is>
      </c>
      <c r="I93" s="66" t="n"/>
      <c r="J93" s="66" t="n"/>
      <c r="K93" s="66" t="n"/>
      <c r="L93" s="66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22" customHeight="1">
      <c r="A95" s="46" t="inlineStr">
        <is>
          <t xml:space="preserve">  ◆ טבלה MLGT  -  נתוני חומר לפי טיפוס אחסון  (Material data for storage type)   |   T-codes: MM01/MM02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26" customHeight="1">
      <c r="A96" s="58" t="n">
        <v>54</v>
      </c>
      <c r="B96" s="68" t="inlineStr">
        <is>
          <t>MLGT</t>
        </is>
      </c>
      <c r="C96" s="60" t="inlineStr">
        <is>
          <t>MATNR</t>
        </is>
      </c>
      <c r="D96" s="61" t="inlineStr">
        <is>
          <t>CHAR</t>
        </is>
      </c>
      <c r="E96" s="61" t="inlineStr">
        <is>
          <t>18-&gt;40</t>
        </is>
      </c>
      <c r="F96" s="67" t="inlineStr">
        <is>
          <t>PK/FK</t>
        </is>
      </c>
      <c r="G96" s="63" t="inlineStr">
        <is>
          <t>Material number</t>
        </is>
      </c>
      <c r="H96" s="64" t="inlineStr">
        <is>
          <t>מספר חומר</t>
        </is>
      </c>
      <c r="I96" s="69" t="inlineStr">
        <is>
          <t>FROM MLGT JOIN MLGN ON MLGT.MATNR = MLGN.MATNR AND MLGT.LGNUM = MLGN.LGNUM</t>
        </is>
      </c>
      <c r="J96" s="70" t="inlineStr">
        <is>
          <t>כמויות/אזורי אחסון לפי טיפוס במחסן - בקרת מיקום אצווה במחסן הקירור/יבש.</t>
        </is>
      </c>
      <c r="K96" s="71" t="inlineStr">
        <is>
          <t>EWM אסטרטגי.</t>
        </is>
      </c>
      <c r="L96" s="72" t="inlineStr">
        <is>
          <t>SAP Help - Storage Type</t>
        </is>
      </c>
    </row>
    <row r="97" ht="26" customHeight="1">
      <c r="A97" s="47" t="n">
        <v>55</v>
      </c>
      <c r="B97" s="59" t="n"/>
      <c r="C97" s="49" t="inlineStr">
        <is>
          <t>LGNUM</t>
        </is>
      </c>
      <c r="D97" s="50" t="inlineStr">
        <is>
          <t>CHAR</t>
        </is>
      </c>
      <c r="E97" s="50" t="inlineStr">
        <is>
          <t>3</t>
        </is>
      </c>
      <c r="F97" s="67" t="inlineStr">
        <is>
          <t>PK/FK</t>
        </is>
      </c>
      <c r="G97" s="52" t="inlineStr">
        <is>
          <t>Warehouse number</t>
        </is>
      </c>
      <c r="H97" s="53" t="inlineStr">
        <is>
          <t>מספר מחסן</t>
        </is>
      </c>
      <c r="I97" s="59" t="n"/>
      <c r="J97" s="59" t="n"/>
      <c r="K97" s="59" t="n"/>
      <c r="L97" s="59" t="n"/>
    </row>
    <row r="98" ht="26" customHeight="1">
      <c r="A98" s="58" t="n">
        <v>56</v>
      </c>
      <c r="B98" s="59" t="n"/>
      <c r="C98" s="60" t="inlineStr">
        <is>
          <t>LGTYP</t>
        </is>
      </c>
      <c r="D98" s="61" t="inlineStr">
        <is>
          <t>CHAR</t>
        </is>
      </c>
      <c r="E98" s="61" t="inlineStr">
        <is>
          <t>3</t>
        </is>
      </c>
      <c r="F98" s="51" t="inlineStr">
        <is>
          <t>PK</t>
        </is>
      </c>
      <c r="G98" s="63" t="inlineStr">
        <is>
          <t>Storage type</t>
        </is>
      </c>
      <c r="H98" s="64" t="inlineStr">
        <is>
          <t>טיפוס אחסון</t>
        </is>
      </c>
      <c r="I98" s="59" t="n"/>
      <c r="J98" s="59" t="n"/>
      <c r="K98" s="59" t="n"/>
      <c r="L98" s="59" t="n"/>
    </row>
    <row r="99" ht="26" customHeight="1">
      <c r="A99" s="47" t="n">
        <v>57</v>
      </c>
      <c r="B99" s="66" t="n"/>
      <c r="C99" s="49" t="inlineStr">
        <is>
          <t>LPMAX</t>
        </is>
      </c>
      <c r="D99" s="50" t="inlineStr">
        <is>
          <t>QUAN</t>
        </is>
      </c>
      <c r="E99" s="50" t="inlineStr">
        <is>
          <t>13</t>
        </is>
      </c>
      <c r="F99" s="65" t="inlineStr">
        <is>
          <t>-</t>
        </is>
      </c>
      <c r="G99" s="52" t="inlineStr">
        <is>
          <t>Maximum bin quantity</t>
        </is>
      </c>
      <c r="H99" s="53" t="inlineStr">
        <is>
          <t>כמות תא מקסימלית</t>
        </is>
      </c>
      <c r="I99" s="66" t="n"/>
      <c r="J99" s="66" t="n"/>
      <c r="K99" s="66" t="n"/>
      <c r="L99" s="66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22" customHeight="1">
      <c r="A101" s="46" t="inlineStr">
        <is>
          <t xml:space="preserve">  ◆ טבלה MDMA  -  אזורי MRP לחומר  (MRP areas for material)   |   T-codes: MM02; MDLV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26" customHeight="1">
      <c r="A102" s="58" t="n">
        <v>58</v>
      </c>
      <c r="B102" s="68" t="inlineStr">
        <is>
          <t>MDMA</t>
        </is>
      </c>
      <c r="C102" s="60" t="inlineStr">
        <is>
          <t>MATNR</t>
        </is>
      </c>
      <c r="D102" s="61" t="inlineStr">
        <is>
          <t>CHAR</t>
        </is>
      </c>
      <c r="E102" s="61" t="inlineStr">
        <is>
          <t>18-&gt;40</t>
        </is>
      </c>
      <c r="F102" s="67" t="inlineStr">
        <is>
          <t>PK/FK</t>
        </is>
      </c>
      <c r="G102" s="63" t="inlineStr">
        <is>
          <t>Material number</t>
        </is>
      </c>
      <c r="H102" s="64" t="inlineStr">
        <is>
          <t>מספר חומר</t>
        </is>
      </c>
      <c r="I102" s="69" t="inlineStr">
        <is>
          <t>FROM MDMA JOIN MARC ON MDMA.MATNR = MARC.MATNR AND MDMA.WERKS = MARC.WERKS</t>
        </is>
      </c>
      <c r="J102" s="70" t="inlineStr">
        <is>
          <t>הפרדת תכנון לאזורי MRP (קו ייצור/מחסן) בתוך המפעל - מאפשר תכנון נפרד לקו בקבוק מול קו פחית.</t>
        </is>
      </c>
      <c r="K102" s="71" t="inlineStr">
        <is>
          <t>אזורי MRP פעילים כברירת מחדל ב-MRP Live.</t>
        </is>
      </c>
      <c r="L102" s="72" t="inlineStr">
        <is>
          <t>SAP Help - MRP Areas</t>
        </is>
      </c>
    </row>
    <row r="103" ht="26" customHeight="1">
      <c r="A103" s="47" t="n">
        <v>59</v>
      </c>
      <c r="B103" s="59" t="n"/>
      <c r="C103" s="49" t="inlineStr">
        <is>
          <t>WERKS</t>
        </is>
      </c>
      <c r="D103" s="50" t="inlineStr">
        <is>
          <t>CHAR</t>
        </is>
      </c>
      <c r="E103" s="50" t="inlineStr">
        <is>
          <t>4</t>
        </is>
      </c>
      <c r="F103" s="67" t="inlineStr">
        <is>
          <t>PK/FK</t>
        </is>
      </c>
      <c r="G103" s="52" t="inlineStr">
        <is>
          <t>Plant</t>
        </is>
      </c>
      <c r="H103" s="53" t="inlineStr">
        <is>
          <t>מפעל</t>
        </is>
      </c>
      <c r="I103" s="59" t="n"/>
      <c r="J103" s="59" t="n"/>
      <c r="K103" s="59" t="n"/>
      <c r="L103" s="59" t="n"/>
    </row>
    <row r="104" ht="26" customHeight="1">
      <c r="A104" s="58" t="n">
        <v>60</v>
      </c>
      <c r="B104" s="59" t="n"/>
      <c r="C104" s="60" t="inlineStr">
        <is>
          <t>BERID</t>
        </is>
      </c>
      <c r="D104" s="61" t="inlineStr">
        <is>
          <t>CHAR</t>
        </is>
      </c>
      <c r="E104" s="61" t="inlineStr">
        <is>
          <t>10</t>
        </is>
      </c>
      <c r="F104" s="51" t="inlineStr">
        <is>
          <t>PK</t>
        </is>
      </c>
      <c r="G104" s="63" t="inlineStr">
        <is>
          <t>MRP area</t>
        </is>
      </c>
      <c r="H104" s="64" t="inlineStr">
        <is>
          <t>אזור MRP</t>
        </is>
      </c>
      <c r="I104" s="59" t="n"/>
      <c r="J104" s="59" t="n"/>
      <c r="K104" s="59" t="n"/>
      <c r="L104" s="59" t="n"/>
    </row>
    <row r="105" ht="26" customHeight="1">
      <c r="A105" s="47" t="n">
        <v>61</v>
      </c>
      <c r="B105" s="66" t="n"/>
      <c r="C105" s="49" t="inlineStr">
        <is>
          <t>DISMM</t>
        </is>
      </c>
      <c r="D105" s="50" t="inlineStr">
        <is>
          <t>CHAR</t>
        </is>
      </c>
      <c r="E105" s="50" t="inlineStr">
        <is>
          <t>2</t>
        </is>
      </c>
      <c r="F105" s="65" t="inlineStr">
        <is>
          <t>-</t>
        </is>
      </c>
      <c r="G105" s="52" t="inlineStr">
        <is>
          <t>MRP type</t>
        </is>
      </c>
      <c r="H105" s="53" t="inlineStr">
        <is>
          <t>סוג MRP</t>
        </is>
      </c>
      <c r="I105" s="66" t="n"/>
      <c r="J105" s="66" t="n"/>
      <c r="K105" s="66" t="n"/>
      <c r="L105" s="66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22" customHeight="1">
      <c r="A107" s="46" t="inlineStr">
        <is>
          <t xml:space="preserve">  ◆ טבלה QMAT  -  הגדרות בדיקת איכות לחומר  (Inspection setup data for material)   |   T-codes: QA08; MM02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26" customHeight="1">
      <c r="A108" s="58" t="n">
        <v>62</v>
      </c>
      <c r="B108" s="68" t="inlineStr">
        <is>
          <t>QMAT</t>
        </is>
      </c>
      <c r="C108" s="60" t="inlineStr">
        <is>
          <t>MATNR</t>
        </is>
      </c>
      <c r="D108" s="61" t="inlineStr">
        <is>
          <t>CHAR</t>
        </is>
      </c>
      <c r="E108" s="61" t="inlineStr">
        <is>
          <t>18-&gt;40</t>
        </is>
      </c>
      <c r="F108" s="67" t="inlineStr">
        <is>
          <t>PK/FK</t>
        </is>
      </c>
      <c r="G108" s="63" t="inlineStr">
        <is>
          <t>Material number</t>
        </is>
      </c>
      <c r="H108" s="64" t="inlineStr">
        <is>
          <t>מספר חומר</t>
        </is>
      </c>
      <c r="I108" s="69" t="inlineStr">
        <is>
          <t>FROM QMAT JOIN MARC ON QMAT.MATNR = MARC.MATNR AND QMAT.WERKS = MARC.WERKS</t>
        </is>
      </c>
      <c r="J108" s="70" t="inlineStr">
        <is>
          <t>הפעלת סוגי בדיקה (קליטה/ייצור/שחרור) לחומר - מחבר את הייצור ל-QM. קריטי לשחרור אצווה לפני משלוח.</t>
        </is>
      </c>
      <c r="K108" s="71" t="inlineStr">
        <is>
          <t>ללא שינוי מבני.</t>
        </is>
      </c>
      <c r="L108" s="72" t="inlineStr">
        <is>
          <t>SAP Help - Quality Inspection</t>
        </is>
      </c>
    </row>
    <row r="109" ht="26" customHeight="1">
      <c r="A109" s="47" t="n">
        <v>63</v>
      </c>
      <c r="B109" s="59" t="n"/>
      <c r="C109" s="49" t="inlineStr">
        <is>
          <t>WERKS</t>
        </is>
      </c>
      <c r="D109" s="50" t="inlineStr">
        <is>
          <t>CHAR</t>
        </is>
      </c>
      <c r="E109" s="50" t="inlineStr">
        <is>
          <t>4</t>
        </is>
      </c>
      <c r="F109" s="67" t="inlineStr">
        <is>
          <t>PK/FK</t>
        </is>
      </c>
      <c r="G109" s="52" t="inlineStr">
        <is>
          <t>Plant</t>
        </is>
      </c>
      <c r="H109" s="53" t="inlineStr">
        <is>
          <t>מפעל</t>
        </is>
      </c>
      <c r="I109" s="59" t="n"/>
      <c r="J109" s="59" t="n"/>
      <c r="K109" s="59" t="n"/>
      <c r="L109" s="59" t="n"/>
    </row>
    <row r="110" ht="26" customHeight="1">
      <c r="A110" s="58" t="n">
        <v>64</v>
      </c>
      <c r="B110" s="59" t="n"/>
      <c r="C110" s="60" t="inlineStr">
        <is>
          <t>ART</t>
        </is>
      </c>
      <c r="D110" s="61" t="inlineStr">
        <is>
          <t>CHAR</t>
        </is>
      </c>
      <c r="E110" s="61" t="inlineStr">
        <is>
          <t>8</t>
        </is>
      </c>
      <c r="F110" s="51" t="inlineStr">
        <is>
          <t>PK</t>
        </is>
      </c>
      <c r="G110" s="63" t="inlineStr">
        <is>
          <t>Inspection type</t>
        </is>
      </c>
      <c r="H110" s="64" t="inlineStr">
        <is>
          <t>סוג בדיקה</t>
        </is>
      </c>
      <c r="I110" s="59" t="n"/>
      <c r="J110" s="59" t="n"/>
      <c r="K110" s="59" t="n"/>
      <c r="L110" s="59" t="n"/>
    </row>
    <row r="111" ht="26" customHeight="1">
      <c r="A111" s="47" t="n">
        <v>65</v>
      </c>
      <c r="B111" s="66" t="n"/>
      <c r="C111" s="49" t="inlineStr">
        <is>
          <t>AKTIV</t>
        </is>
      </c>
      <c r="D111" s="50" t="inlineStr">
        <is>
          <t>CHAR</t>
        </is>
      </c>
      <c r="E111" s="50" t="inlineStr">
        <is>
          <t>1</t>
        </is>
      </c>
      <c r="F111" s="65" t="inlineStr">
        <is>
          <t>-</t>
        </is>
      </c>
      <c r="G111" s="52" t="inlineStr">
        <is>
          <t>Active indicator</t>
        </is>
      </c>
      <c r="H111" s="53" t="inlineStr">
        <is>
          <t>פעיל</t>
        </is>
      </c>
      <c r="I111" s="66" t="n"/>
      <c r="J111" s="66" t="n"/>
      <c r="K111" s="66" t="n"/>
      <c r="L111" s="66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22" customHeight="1">
      <c r="A113" s="46" t="inlineStr">
        <is>
          <t xml:space="preserve">  ◆ טבלה MCH1  -  אצוות חומר (Batches)  (Batch master records)   |   T-codes: MSC1N/MSC2N/MSC3N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26" customHeight="1">
      <c r="A114" s="58" t="n">
        <v>66</v>
      </c>
      <c r="B114" s="68" t="inlineStr">
        <is>
          <t>MCH1</t>
        </is>
      </c>
      <c r="C114" s="60" t="inlineStr">
        <is>
          <t>MATNR</t>
        </is>
      </c>
      <c r="D114" s="61" t="inlineStr">
        <is>
          <t>CHAR</t>
        </is>
      </c>
      <c r="E114" s="61" t="inlineStr">
        <is>
          <t>18-&gt;40</t>
        </is>
      </c>
      <c r="F114" s="67" t="inlineStr">
        <is>
          <t>PK/FK</t>
        </is>
      </c>
      <c r="G114" s="63" t="inlineStr">
        <is>
          <t>Material number</t>
        </is>
      </c>
      <c r="H114" s="64" t="inlineStr">
        <is>
          <t>מספר חומר</t>
        </is>
      </c>
      <c r="I114" s="69" t="inlineStr">
        <is>
          <t>FROM MCH1 JOIN MARA ON MCH1.MATNR = MARA.MATNR</t>
        </is>
      </c>
      <c r="J114" s="70" t="inlineStr">
        <is>
          <t>רשומות האצווה של החומר - קריטי במשקאות לניהול תאריך תפוגה (VFDAT/BBD), תאריך ייצור ומעקב גנאלוגיה (Track &amp; Trace). כל פליטה/קליטה בקו מנוהלת לפי אצווה ומסונכרנת עם Zetes.</t>
        </is>
      </c>
      <c r="K114" s="71" t="inlineStr">
        <is>
          <t>ללא שינוי מבני; MATNR מורחב 18-&gt;40 במפתח.</t>
        </is>
      </c>
      <c r="L114" s="72" t="inlineStr">
        <is>
          <t>SAP Help - Batch Management</t>
        </is>
      </c>
    </row>
    <row r="115" ht="26" customHeight="1">
      <c r="A115" s="47" t="n">
        <v>67</v>
      </c>
      <c r="B115" s="59" t="n"/>
      <c r="C115" s="49" t="inlineStr">
        <is>
          <t>CHARG</t>
        </is>
      </c>
      <c r="D115" s="50" t="inlineStr">
        <is>
          <t>CHAR</t>
        </is>
      </c>
      <c r="E115" s="50" t="inlineStr">
        <is>
          <t>10</t>
        </is>
      </c>
      <c r="F115" s="51" t="inlineStr">
        <is>
          <t>PK</t>
        </is>
      </c>
      <c r="G115" s="52" t="inlineStr">
        <is>
          <t>Batch number</t>
        </is>
      </c>
      <c r="H115" s="53" t="inlineStr">
        <is>
          <t>מספר אצווה</t>
        </is>
      </c>
      <c r="I115" s="59" t="n"/>
      <c r="J115" s="59" t="n"/>
      <c r="K115" s="59" t="n"/>
      <c r="L115" s="59" t="n"/>
    </row>
    <row r="116" ht="26" customHeight="1">
      <c r="A116" s="58" t="n">
        <v>68</v>
      </c>
      <c r="B116" s="59" t="n"/>
      <c r="C116" s="60" t="inlineStr">
        <is>
          <t>ERSDA</t>
        </is>
      </c>
      <c r="D116" s="61" t="inlineStr">
        <is>
          <t>DATS</t>
        </is>
      </c>
      <c r="E116" s="61" t="inlineStr">
        <is>
          <t>8</t>
        </is>
      </c>
      <c r="F116" s="65" t="inlineStr">
        <is>
          <t>-</t>
        </is>
      </c>
      <c r="G116" s="63" t="inlineStr">
        <is>
          <t>Creation date</t>
        </is>
      </c>
      <c r="H116" s="64" t="inlineStr">
        <is>
          <t>תאריך יצירה</t>
        </is>
      </c>
      <c r="I116" s="59" t="n"/>
      <c r="J116" s="59" t="n"/>
      <c r="K116" s="59" t="n"/>
      <c r="L116" s="59" t="n"/>
    </row>
    <row r="117" ht="26" customHeight="1">
      <c r="A117" s="47" t="n">
        <v>69</v>
      </c>
      <c r="B117" s="59" t="n"/>
      <c r="C117" s="49" t="inlineStr">
        <is>
          <t>VFDAT</t>
        </is>
      </c>
      <c r="D117" s="50" t="inlineStr">
        <is>
          <t>DATS</t>
        </is>
      </c>
      <c r="E117" s="50" t="inlineStr">
        <is>
          <t>8</t>
        </is>
      </c>
      <c r="F117" s="65" t="inlineStr">
        <is>
          <t>-</t>
        </is>
      </c>
      <c r="G117" s="52" t="inlineStr">
        <is>
          <t>Shelf life expiration / BBD</t>
        </is>
      </c>
      <c r="H117" s="53" t="inlineStr">
        <is>
          <t>תאריך תפוגה</t>
        </is>
      </c>
      <c r="I117" s="59" t="n"/>
      <c r="J117" s="59" t="n"/>
      <c r="K117" s="59" t="n"/>
      <c r="L117" s="59" t="n"/>
    </row>
    <row r="118" ht="26" customHeight="1">
      <c r="A118" s="58" t="n">
        <v>70</v>
      </c>
      <c r="B118" s="59" t="n"/>
      <c r="C118" s="60" t="inlineStr">
        <is>
          <t>HSDAT</t>
        </is>
      </c>
      <c r="D118" s="61" t="inlineStr">
        <is>
          <t>DATS</t>
        </is>
      </c>
      <c r="E118" s="61" t="inlineStr">
        <is>
          <t>8</t>
        </is>
      </c>
      <c r="F118" s="65" t="inlineStr">
        <is>
          <t>-</t>
        </is>
      </c>
      <c r="G118" s="63" t="inlineStr">
        <is>
          <t>Date of manufacture</t>
        </is>
      </c>
      <c r="H118" s="64" t="inlineStr">
        <is>
          <t>תאריך ייצור</t>
        </is>
      </c>
      <c r="I118" s="59" t="n"/>
      <c r="J118" s="59" t="n"/>
      <c r="K118" s="59" t="n"/>
      <c r="L118" s="59" t="n"/>
    </row>
    <row r="119" ht="26" customHeight="1">
      <c r="A119" s="47" t="n">
        <v>71</v>
      </c>
      <c r="B119" s="59" t="n"/>
      <c r="C119" s="49" t="inlineStr">
        <is>
          <t>LICHA</t>
        </is>
      </c>
      <c r="D119" s="50" t="inlineStr">
        <is>
          <t>CHAR</t>
        </is>
      </c>
      <c r="E119" s="50" t="inlineStr">
        <is>
          <t>15</t>
        </is>
      </c>
      <c r="F119" s="65" t="inlineStr">
        <is>
          <t>-</t>
        </is>
      </c>
      <c r="G119" s="52" t="inlineStr">
        <is>
          <t>Vendor batch</t>
        </is>
      </c>
      <c r="H119" s="53" t="inlineStr">
        <is>
          <t>אצוות ספק</t>
        </is>
      </c>
      <c r="I119" s="59" t="n"/>
      <c r="J119" s="59" t="n"/>
      <c r="K119" s="59" t="n"/>
      <c r="L119" s="59" t="n"/>
    </row>
    <row r="120" ht="26" customHeight="1">
      <c r="A120" s="58" t="n">
        <v>72</v>
      </c>
      <c r="B120" s="66" t="n"/>
      <c r="C120" s="60" t="inlineStr">
        <is>
          <t>ZUSTD</t>
        </is>
      </c>
      <c r="D120" s="61" t="inlineStr">
        <is>
          <t>CHAR</t>
        </is>
      </c>
      <c r="E120" s="61" t="inlineStr">
        <is>
          <t>1</t>
        </is>
      </c>
      <c r="F120" s="65" t="inlineStr">
        <is>
          <t>-</t>
        </is>
      </c>
      <c r="G120" s="63" t="inlineStr">
        <is>
          <t>Batch status (released/restricted)</t>
        </is>
      </c>
      <c r="H120" s="64" t="inlineStr">
        <is>
          <t>סטטוס אצווה</t>
        </is>
      </c>
      <c r="I120" s="66" t="n"/>
      <c r="J120" s="66" t="n"/>
      <c r="K120" s="66" t="n"/>
      <c r="L120" s="66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22" customHeight="1">
      <c r="A122" s="46" t="inlineStr">
        <is>
          <t xml:space="preserve">  ◆ טבלה MCHA  -  אצוות חומר ברמת מפעל  (Batch master at plant level)   |   T-codes: MSC2N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26" customHeight="1">
      <c r="A123" s="47" t="n">
        <v>73</v>
      </c>
      <c r="B123" s="48" t="inlineStr">
        <is>
          <t>MCHA</t>
        </is>
      </c>
      <c r="C123" s="49" t="inlineStr">
        <is>
          <t>MATNR</t>
        </is>
      </c>
      <c r="D123" s="50" t="inlineStr">
        <is>
          <t>CHAR</t>
        </is>
      </c>
      <c r="E123" s="50" t="inlineStr">
        <is>
          <t>18-&gt;40</t>
        </is>
      </c>
      <c r="F123" s="67" t="inlineStr">
        <is>
          <t>PK/FK</t>
        </is>
      </c>
      <c r="G123" s="52" t="inlineStr">
        <is>
          <t>Material number</t>
        </is>
      </c>
      <c r="H123" s="53" t="inlineStr">
        <is>
          <t>מספר חומר</t>
        </is>
      </c>
      <c r="I123" s="54" t="inlineStr">
        <is>
          <t>FROM MCHA JOIN MCH1 ON MCHA.MATNR = MCH1.MATNR AND MCHA.CHARG = MCH1.CHARG</t>
        </is>
      </c>
      <c r="J123" s="55" t="inlineStr">
        <is>
          <t>נתוני האצווה הספציפיים למפעל (סטטוס שחרור, מאפייני סיווג). מאפשר שחרור/חסימת אצווה לפי תוצאות בדיקת איכות לפני משלוח.</t>
        </is>
      </c>
      <c r="K123" s="56" t="inlineStr">
        <is>
          <t>ללא שינוי.</t>
        </is>
      </c>
      <c r="L123" s="57" t="inlineStr">
        <is>
          <t>SAP Help - Batch at Plant</t>
        </is>
      </c>
    </row>
    <row r="124" ht="26" customHeight="1">
      <c r="A124" s="58" t="n">
        <v>74</v>
      </c>
      <c r="B124" s="59" t="n"/>
      <c r="C124" s="60" t="inlineStr">
        <is>
          <t>WERKS</t>
        </is>
      </c>
      <c r="D124" s="61" t="inlineStr">
        <is>
          <t>CHAR</t>
        </is>
      </c>
      <c r="E124" s="61" t="inlineStr">
        <is>
          <t>4</t>
        </is>
      </c>
      <c r="F124" s="51" t="inlineStr">
        <is>
          <t>PK</t>
        </is>
      </c>
      <c r="G124" s="63" t="inlineStr">
        <is>
          <t>Plant</t>
        </is>
      </c>
      <c r="H124" s="64" t="inlineStr">
        <is>
          <t>מפעל</t>
        </is>
      </c>
      <c r="I124" s="59" t="n"/>
      <c r="J124" s="59" t="n"/>
      <c r="K124" s="59" t="n"/>
      <c r="L124" s="59" t="n"/>
    </row>
    <row r="125" ht="26" customHeight="1">
      <c r="A125" s="47" t="n">
        <v>75</v>
      </c>
      <c r="B125" s="59" t="n"/>
      <c r="C125" s="49" t="inlineStr">
        <is>
          <t>CHARG</t>
        </is>
      </c>
      <c r="D125" s="50" t="inlineStr">
        <is>
          <t>CHAR</t>
        </is>
      </c>
      <c r="E125" s="50" t="inlineStr">
        <is>
          <t>10</t>
        </is>
      </c>
      <c r="F125" s="67" t="inlineStr">
        <is>
          <t>PK/FK</t>
        </is>
      </c>
      <c r="G125" s="52" t="inlineStr">
        <is>
          <t>Batch number</t>
        </is>
      </c>
      <c r="H125" s="53" t="inlineStr">
        <is>
          <t>מספר אצווה</t>
        </is>
      </c>
      <c r="I125" s="59" t="n"/>
      <c r="J125" s="59" t="n"/>
      <c r="K125" s="59" t="n"/>
      <c r="L125" s="59" t="n"/>
    </row>
    <row r="126" ht="26" customHeight="1">
      <c r="A126" s="58" t="n">
        <v>76</v>
      </c>
      <c r="B126" s="66" t="n"/>
      <c r="C126" s="60" t="inlineStr">
        <is>
          <t>ZUSCH</t>
        </is>
      </c>
      <c r="D126" s="61" t="inlineStr">
        <is>
          <t>CHAR</t>
        </is>
      </c>
      <c r="E126" s="61" t="inlineStr">
        <is>
          <t>2</t>
        </is>
      </c>
      <c r="F126" s="65" t="inlineStr">
        <is>
          <t>-</t>
        </is>
      </c>
      <c r="G126" s="63" t="inlineStr">
        <is>
          <t>Batch status key</t>
        </is>
      </c>
      <c r="H126" s="64" t="inlineStr">
        <is>
          <t>מפתח סטטוס אצווה</t>
        </is>
      </c>
      <c r="I126" s="66" t="n"/>
      <c r="J126" s="66" t="n"/>
      <c r="K126" s="66" t="n"/>
      <c r="L126" s="66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22" customHeight="1">
      <c r="A128" s="46" t="inlineStr">
        <is>
          <t xml:space="preserve">  ◆ טבלה T006  -  יחידות מידה (Customizing)  (Units of measure)   |   T-codes: CUNI; SPRO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26" customHeight="1">
      <c r="A129" s="47" t="n">
        <v>77</v>
      </c>
      <c r="B129" s="48" t="inlineStr">
        <is>
          <t>T006</t>
        </is>
      </c>
      <c r="C129" s="49" t="inlineStr">
        <is>
          <t>MSEHI</t>
        </is>
      </c>
      <c r="D129" s="50" t="inlineStr">
        <is>
          <t>UNIT</t>
        </is>
      </c>
      <c r="E129" s="50" t="inlineStr">
        <is>
          <t>3</t>
        </is>
      </c>
      <c r="F129" s="51" t="inlineStr">
        <is>
          <t>PK</t>
        </is>
      </c>
      <c r="G129" s="52" t="inlineStr">
        <is>
          <t>Unit of measure</t>
        </is>
      </c>
      <c r="H129" s="53" t="inlineStr">
        <is>
          <t>יחידת מידה</t>
        </is>
      </c>
      <c r="I129" s="54" t="inlineStr">
        <is>
          <t>FROM MARM JOIN T006 ON MARM.MEINH = T006.MSEHI</t>
        </is>
      </c>
      <c r="J129" s="55" t="inlineStr">
        <is>
          <t>הגדרת יחידות המידה הגלובליות (מימד, מקדם ISO). בסיס לכל המרות ה-UoM ולעיגול בבקרת פחת.</t>
        </is>
      </c>
      <c r="K129" s="56" t="inlineStr">
        <is>
          <t>ללא שינוי (Customizing).</t>
        </is>
      </c>
      <c r="L129" s="57" t="inlineStr">
        <is>
          <t>SAP Help - CUNI</t>
        </is>
      </c>
    </row>
    <row r="130" ht="26" customHeight="1">
      <c r="A130" s="58" t="n">
        <v>78</v>
      </c>
      <c r="B130" s="59" t="n"/>
      <c r="C130" s="60" t="inlineStr">
        <is>
          <t>DIMID</t>
        </is>
      </c>
      <c r="D130" s="61" t="inlineStr">
        <is>
          <t>CHAR</t>
        </is>
      </c>
      <c r="E130" s="61" t="inlineStr">
        <is>
          <t>6</t>
        </is>
      </c>
      <c r="F130" s="62" t="inlineStr">
        <is>
          <t>FK</t>
        </is>
      </c>
      <c r="G130" s="63" t="inlineStr">
        <is>
          <t>Dimension key</t>
        </is>
      </c>
      <c r="H130" s="64" t="inlineStr">
        <is>
          <t>מפתח מימד</t>
        </is>
      </c>
      <c r="I130" s="59" t="n"/>
      <c r="J130" s="59" t="n"/>
      <c r="K130" s="59" t="n"/>
      <c r="L130" s="59" t="n"/>
    </row>
    <row r="131" ht="26" customHeight="1">
      <c r="A131" s="47" t="n">
        <v>79</v>
      </c>
      <c r="B131" s="59" t="n"/>
      <c r="C131" s="49" t="inlineStr">
        <is>
          <t>ZAEHL</t>
        </is>
      </c>
      <c r="D131" s="50" t="inlineStr">
        <is>
          <t>DEC</t>
        </is>
      </c>
      <c r="E131" s="50" t="inlineStr">
        <is>
          <t>5</t>
        </is>
      </c>
      <c r="F131" s="65" t="inlineStr">
        <is>
          <t>-</t>
        </is>
      </c>
      <c r="G131" s="52" t="inlineStr">
        <is>
          <t>Numerator (ISO)</t>
        </is>
      </c>
      <c r="H131" s="53" t="inlineStr">
        <is>
          <t>מונה ISO</t>
        </is>
      </c>
      <c r="I131" s="59" t="n"/>
      <c r="J131" s="59" t="n"/>
      <c r="K131" s="59" t="n"/>
      <c r="L131" s="59" t="n"/>
    </row>
    <row r="132" ht="26" customHeight="1">
      <c r="A132" s="58" t="n">
        <v>80</v>
      </c>
      <c r="B132" s="59" t="n"/>
      <c r="C132" s="60" t="inlineStr">
        <is>
          <t>NENNR</t>
        </is>
      </c>
      <c r="D132" s="61" t="inlineStr">
        <is>
          <t>DEC</t>
        </is>
      </c>
      <c r="E132" s="61" t="inlineStr">
        <is>
          <t>5</t>
        </is>
      </c>
      <c r="F132" s="65" t="inlineStr">
        <is>
          <t>-</t>
        </is>
      </c>
      <c r="G132" s="63" t="inlineStr">
        <is>
          <t>Denominator (ISO)</t>
        </is>
      </c>
      <c r="H132" s="64" t="inlineStr">
        <is>
          <t>מכנה ISO</t>
        </is>
      </c>
      <c r="I132" s="59" t="n"/>
      <c r="J132" s="59" t="n"/>
      <c r="K132" s="59" t="n"/>
      <c r="L132" s="59" t="n"/>
    </row>
    <row r="133" ht="26" customHeight="1">
      <c r="A133" s="47" t="n">
        <v>81</v>
      </c>
      <c r="B133" s="66" t="n"/>
      <c r="C133" s="49" t="inlineStr">
        <is>
          <t>DECAN</t>
        </is>
      </c>
      <c r="D133" s="50" t="inlineStr">
        <is>
          <t>NUMC</t>
        </is>
      </c>
      <c r="E133" s="50" t="inlineStr">
        <is>
          <t>1</t>
        </is>
      </c>
      <c r="F133" s="65" t="inlineStr">
        <is>
          <t>-</t>
        </is>
      </c>
      <c r="G133" s="52" t="inlineStr">
        <is>
          <t>Decimal places for rounding</t>
        </is>
      </c>
      <c r="H133" s="53" t="inlineStr">
        <is>
          <t>ספרות עשרוניות</t>
        </is>
      </c>
      <c r="I133" s="66" t="n"/>
      <c r="J133" s="66" t="n"/>
      <c r="K133" s="66" t="n"/>
      <c r="L133" s="66" t="n"/>
    </row>
  </sheetData>
  <mergeCells count="140">
    <mergeCell ref="E18:L18"/>
    <mergeCell ref="A15:B15"/>
    <mergeCell ref="L114:L120"/>
    <mergeCell ref="A128:L128"/>
    <mergeCell ref="J102:J105"/>
    <mergeCell ref="A20:D20"/>
    <mergeCell ref="K79:K82"/>
    <mergeCell ref="I64:I68"/>
    <mergeCell ref="A89:L89"/>
    <mergeCell ref="C13:F13"/>
    <mergeCell ref="A113:L113"/>
    <mergeCell ref="G14:L14"/>
    <mergeCell ref="C15:F15"/>
    <mergeCell ref="I33:I36"/>
    <mergeCell ref="I49:I53"/>
    <mergeCell ref="I56:I61"/>
    <mergeCell ref="I71:I76"/>
    <mergeCell ref="K49:K53"/>
    <mergeCell ref="K56:K61"/>
    <mergeCell ref="K71:K76"/>
    <mergeCell ref="A63:L63"/>
    <mergeCell ref="I123:I126"/>
    <mergeCell ref="D9:H9"/>
    <mergeCell ref="B79:B82"/>
    <mergeCell ref="J96:J99"/>
    <mergeCell ref="L96:L99"/>
    <mergeCell ref="A6:C6"/>
    <mergeCell ref="L64:L68"/>
    <mergeCell ref="B90:B93"/>
    <mergeCell ref="A78:L78"/>
    <mergeCell ref="A17:D17"/>
    <mergeCell ref="J39:J46"/>
    <mergeCell ref="A11:B11"/>
    <mergeCell ref="I108:I111"/>
    <mergeCell ref="K108:K111"/>
    <mergeCell ref="A19:D19"/>
    <mergeCell ref="A3:L3"/>
    <mergeCell ref="J23:J30"/>
    <mergeCell ref="A55:L55"/>
    <mergeCell ref="B49:B53"/>
    <mergeCell ref="B71:B76"/>
    <mergeCell ref="L33:L36"/>
    <mergeCell ref="E17:L17"/>
    <mergeCell ref="A95:L95"/>
    <mergeCell ref="L49:L53"/>
    <mergeCell ref="L71:L76"/>
    <mergeCell ref="A5:C5"/>
    <mergeCell ref="J114:J120"/>
    <mergeCell ref="J123:J126"/>
    <mergeCell ref="A32:L32"/>
    <mergeCell ref="I6:L6"/>
    <mergeCell ref="I96:I99"/>
    <mergeCell ref="E19:L19"/>
    <mergeCell ref="B85:B87"/>
    <mergeCell ref="K96:K99"/>
    <mergeCell ref="K90:K93"/>
    <mergeCell ref="L123:L126"/>
    <mergeCell ref="C14:F14"/>
    <mergeCell ref="A4:L4"/>
    <mergeCell ref="A38:L38"/>
    <mergeCell ref="I7:L7"/>
    <mergeCell ref="I129:I133"/>
    <mergeCell ref="K129:K133"/>
    <mergeCell ref="G12:L12"/>
    <mergeCell ref="K114:K120"/>
    <mergeCell ref="I23:I30"/>
    <mergeCell ref="B108:B111"/>
    <mergeCell ref="L108:L111"/>
    <mergeCell ref="D5:H5"/>
    <mergeCell ref="J85:J87"/>
    <mergeCell ref="A7:C7"/>
    <mergeCell ref="L85:L87"/>
    <mergeCell ref="A16:L16"/>
    <mergeCell ref="K123:K126"/>
    <mergeCell ref="B96:B99"/>
    <mergeCell ref="A84:L84"/>
    <mergeCell ref="A1:B1"/>
    <mergeCell ref="B64:B68"/>
    <mergeCell ref="B102:B105"/>
    <mergeCell ref="B56:B61"/>
    <mergeCell ref="I9:L9"/>
    <mergeCell ref="B129:B133"/>
    <mergeCell ref="A22:L22"/>
    <mergeCell ref="J64:J68"/>
    <mergeCell ref="A122:L122"/>
    <mergeCell ref="B114:B120"/>
    <mergeCell ref="A12:B12"/>
    <mergeCell ref="B23:B30"/>
    <mergeCell ref="D7:H7"/>
    <mergeCell ref="I102:I105"/>
    <mergeCell ref="K64:K68"/>
    <mergeCell ref="A14:B14"/>
    <mergeCell ref="C1:L1"/>
    <mergeCell ref="B123:B126"/>
    <mergeCell ref="I79:I82"/>
    <mergeCell ref="G11:L11"/>
    <mergeCell ref="D8:H8"/>
    <mergeCell ref="J49:J53"/>
    <mergeCell ref="J56:J61"/>
    <mergeCell ref="I39:I46"/>
    <mergeCell ref="L56:L61"/>
    <mergeCell ref="J90:J93"/>
    <mergeCell ref="K39:K46"/>
    <mergeCell ref="A107:L107"/>
    <mergeCell ref="C12:F12"/>
    <mergeCell ref="A70:L70"/>
    <mergeCell ref="I90:I93"/>
    <mergeCell ref="K23:K30"/>
    <mergeCell ref="K33:K36"/>
    <mergeCell ref="I8:L8"/>
    <mergeCell ref="G13:L13"/>
    <mergeCell ref="A101:L101"/>
    <mergeCell ref="G15:L15"/>
    <mergeCell ref="D6:H6"/>
    <mergeCell ref="E20:L20"/>
    <mergeCell ref="I114:I120"/>
    <mergeCell ref="A8:C8"/>
    <mergeCell ref="J108:J111"/>
    <mergeCell ref="L102:L105"/>
    <mergeCell ref="J129:J133"/>
    <mergeCell ref="J79:J82"/>
    <mergeCell ref="K102:K105"/>
    <mergeCell ref="L79:L82"/>
    <mergeCell ref="B39:B46"/>
    <mergeCell ref="A10:L10"/>
    <mergeCell ref="L39:L46"/>
    <mergeCell ref="A9:C9"/>
    <mergeCell ref="I85:I87"/>
    <mergeCell ref="B33:B36"/>
    <mergeCell ref="K85:K87"/>
    <mergeCell ref="L23:L30"/>
    <mergeCell ref="L90:L93"/>
    <mergeCell ref="A48:L48"/>
    <mergeCell ref="A18:D18"/>
    <mergeCell ref="A13:B13"/>
    <mergeCell ref="J33:J36"/>
    <mergeCell ref="C11:F11"/>
    <mergeCell ref="J71:J76"/>
    <mergeCell ref="L129:L133"/>
    <mergeCell ref="I5:L5"/>
  </mergeCell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L23" r:id="rId4"/>
    <hyperlink xmlns:r="http://schemas.openxmlformats.org/officeDocument/2006/relationships" ref="L33" r:id="rId5"/>
    <hyperlink xmlns:r="http://schemas.openxmlformats.org/officeDocument/2006/relationships" ref="L39" r:id="rId6"/>
    <hyperlink xmlns:r="http://schemas.openxmlformats.org/officeDocument/2006/relationships" ref="L49" r:id="rId7"/>
    <hyperlink xmlns:r="http://schemas.openxmlformats.org/officeDocument/2006/relationships" ref="L56" r:id="rId8"/>
    <hyperlink xmlns:r="http://schemas.openxmlformats.org/officeDocument/2006/relationships" ref="L64" r:id="rId9"/>
    <hyperlink xmlns:r="http://schemas.openxmlformats.org/officeDocument/2006/relationships" ref="L71" r:id="rId10"/>
    <hyperlink xmlns:r="http://schemas.openxmlformats.org/officeDocument/2006/relationships" ref="L79" r:id="rId11"/>
    <hyperlink xmlns:r="http://schemas.openxmlformats.org/officeDocument/2006/relationships" ref="L85" r:id="rId12"/>
    <hyperlink xmlns:r="http://schemas.openxmlformats.org/officeDocument/2006/relationships" ref="L90" r:id="rId13"/>
    <hyperlink xmlns:r="http://schemas.openxmlformats.org/officeDocument/2006/relationships" ref="L96" r:id="rId14"/>
    <hyperlink xmlns:r="http://schemas.openxmlformats.org/officeDocument/2006/relationships" ref="L102" r:id="rId15"/>
    <hyperlink xmlns:r="http://schemas.openxmlformats.org/officeDocument/2006/relationships" ref="L108" r:id="rId16"/>
    <hyperlink xmlns:r="http://schemas.openxmlformats.org/officeDocument/2006/relationships" ref="L114" r:id="rId17"/>
    <hyperlink xmlns:r="http://schemas.openxmlformats.org/officeDocument/2006/relationships" ref="L123" r:id="rId18"/>
    <hyperlink xmlns:r="http://schemas.openxmlformats.org/officeDocument/2006/relationships" ref="L129" r:id="rId19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L69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2. עץ מוצר (BOM)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CS01 / CS02 / CS03</t>
        </is>
      </c>
      <c r="B6" s="4" t="n"/>
      <c r="C6" s="4" t="n"/>
      <c r="D6" s="41" t="inlineStr">
        <is>
          <t>Maintain Bill of Material</t>
        </is>
      </c>
      <c r="E6" s="4" t="n"/>
      <c r="F6" s="4" t="n"/>
      <c r="G6" s="4" t="n"/>
      <c r="H6" s="4" t="n"/>
      <c r="I6" s="42" t="inlineStr">
        <is>
          <t>F1743</t>
        </is>
      </c>
      <c r="J6" s="4" t="n"/>
      <c r="K6" s="4" t="n"/>
      <c r="L6" s="4" t="n"/>
    </row>
    <row r="7" ht="18" customHeight="1">
      <c r="A7" s="40" t="inlineStr">
        <is>
          <t>CS11 / CS12 / CS15</t>
        </is>
      </c>
      <c r="B7" s="4" t="n"/>
      <c r="C7" s="4" t="n"/>
      <c r="D7" s="41" t="inlineStr">
        <is>
          <t>Manage Material BOMs</t>
        </is>
      </c>
      <c r="E7" s="4" t="n"/>
      <c r="F7" s="4" t="n"/>
      <c r="G7" s="4" t="n"/>
      <c r="H7" s="4" t="n"/>
      <c r="I7" s="42" t="inlineStr">
        <is>
          <t>F1813</t>
        </is>
      </c>
      <c r="J7" s="4" t="n"/>
      <c r="K7" s="4" t="n"/>
      <c r="L7" s="4" t="n"/>
    </row>
    <row r="8" ht="18" customHeight="1">
      <c r="A8" s="40" t="inlineStr">
        <is>
          <t>CEWB (eng. workbench)</t>
        </is>
      </c>
      <c r="B8" s="4" t="n"/>
      <c r="C8" s="4" t="n"/>
      <c r="D8" s="41" t="inlineStr">
        <is>
          <t>Manage Bill of Materials</t>
        </is>
      </c>
      <c r="E8" s="4" t="n"/>
      <c r="F8" s="4" t="n"/>
      <c r="G8" s="4" t="n"/>
      <c r="H8" s="4" t="n"/>
      <c r="I8" s="42" t="inlineStr">
        <is>
          <t>F1813</t>
        </is>
      </c>
      <c r="J8" s="4" t="n"/>
      <c r="K8" s="4" t="n"/>
      <c r="L8" s="4" t="n"/>
    </row>
    <row r="9" ht="18" customHeight="1">
      <c r="A9" s="38" t="inlineStr">
        <is>
          <t xml:space="preserve">    ממשקים ובלוקים פונקציונליים: BAPIs / IDocs / RFCs (Extraction &amp; Messaging)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39" t="inlineStr">
        <is>
          <t>Type</t>
        </is>
      </c>
      <c r="B10" s="4" t="n"/>
      <c r="C10" s="39" t="inlineStr">
        <is>
          <t>Name</t>
        </is>
      </c>
      <c r="D10" s="4" t="n"/>
      <c r="E10" s="4" t="n"/>
      <c r="F10" s="4" t="n"/>
      <c r="G10" s="39" t="inlineStr">
        <is>
          <t>תיאור / Description</t>
        </is>
      </c>
      <c r="H10" s="4" t="n"/>
      <c r="I10" s="4" t="n"/>
      <c r="J10" s="4" t="n"/>
      <c r="K10" s="4" t="n"/>
      <c r="L10" s="4" t="n"/>
    </row>
    <row r="11" ht="18" customHeight="1">
      <c r="A11" s="44" t="inlineStr">
        <is>
          <t>BAPI</t>
        </is>
      </c>
      <c r="B11" s="4" t="n"/>
      <c r="C11" s="45" t="inlineStr">
        <is>
          <t>BAPI_MATERIAL_BOM_GROUP_CREATE</t>
        </is>
      </c>
      <c r="D11" s="4" t="n"/>
      <c r="E11" s="4" t="n"/>
      <c r="F11" s="4" t="n"/>
      <c r="G11" s="41" t="inlineStr">
        <is>
          <t>יצירת עץ מוצר (S/4 BOM API)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FM</t>
        </is>
      </c>
      <c r="B12" s="4" t="n"/>
      <c r="C12" s="45" t="inlineStr">
        <is>
          <t>CSAP_MAT_BOM_MAINTAIN</t>
        </is>
      </c>
      <c r="D12" s="4" t="n"/>
      <c r="E12" s="4" t="n"/>
      <c r="F12" s="4" t="n"/>
      <c r="G12" s="41" t="inlineStr">
        <is>
          <t>תחזוקת עץ מוצר (ECC)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IDoc</t>
        </is>
      </c>
      <c r="B13" s="4" t="n"/>
      <c r="C13" s="45" t="inlineStr">
        <is>
          <t>BOMMAT</t>
        </is>
      </c>
      <c r="D13" s="4" t="n"/>
      <c r="E13" s="4" t="n"/>
      <c r="F13" s="4" t="n"/>
      <c r="G13" s="41" t="inlineStr">
        <is>
          <t>הפצת עץ מוצר חומר בין מערכות</t>
        </is>
      </c>
      <c r="H13" s="4" t="n"/>
      <c r="I13" s="4" t="n"/>
      <c r="J13" s="4" t="n"/>
      <c r="K13" s="4" t="n"/>
      <c r="L13" s="4" t="n"/>
    </row>
    <row r="14" ht="18" customHeight="1">
      <c r="A14" s="44" t="inlineStr">
        <is>
          <t>RFC</t>
        </is>
      </c>
      <c r="B14" s="4" t="n"/>
      <c r="C14" s="45" t="inlineStr">
        <is>
          <t>CS_BOM_EXPL_MAT_RC1</t>
        </is>
      </c>
      <c r="D14" s="4" t="n"/>
      <c r="E14" s="4" t="n"/>
      <c r="F14" s="4" t="n"/>
      <c r="G14" s="41" t="inlineStr">
        <is>
          <t>פיצוץ עץ מוצר לחומר</t>
        </is>
      </c>
      <c r="H14" s="4" t="n"/>
      <c r="I14" s="4" t="n"/>
      <c r="J14" s="4" t="n"/>
      <c r="K14" s="4" t="n"/>
      <c r="L14" s="4" t="n"/>
    </row>
    <row r="15" ht="18" customHeight="1">
      <c r="A15" s="38" t="inlineStr">
        <is>
          <t xml:space="preserve">    תוכניות רקע ודוחות סטנדרטיים (Background Programs / Reports)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39" t="inlineStr">
        <is>
          <t>Program / Report</t>
        </is>
      </c>
      <c r="B16" s="4" t="n"/>
      <c r="C16" s="4" t="n"/>
      <c r="D16" s="4" t="n"/>
      <c r="E16" s="39" t="inlineStr">
        <is>
          <t>תיאור ומטרה / Usage &amp; Trigger</t>
        </is>
      </c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45" t="inlineStr">
        <is>
          <t>RCSBOM00</t>
        </is>
      </c>
      <c r="B17" s="4" t="n"/>
      <c r="C17" s="4" t="n"/>
      <c r="D17" s="4" t="n"/>
      <c r="E17" s="41" t="inlineStr">
        <is>
          <t>עיבוד/בדיקת עצי מוצר המוני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RCSBI010</t>
        </is>
      </c>
      <c r="B18" s="4" t="n"/>
      <c r="C18" s="4" t="n"/>
      <c r="D18" s="4" t="n"/>
      <c r="E18" s="41" t="inlineStr">
        <is>
          <t>פיצוץ עץ מוצר רב-רמתי</t>
        </is>
      </c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5" t="inlineStr">
        <is>
          <t>CS_BT</t>
        </is>
      </c>
      <c r="B19" s="4" t="n"/>
      <c r="C19" s="4" t="n"/>
      <c r="D19" s="4" t="n"/>
      <c r="E19" s="41" t="inlineStr">
        <is>
          <t>דוח Where-Used לרכיב</t>
        </is>
      </c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2" customHeight="1">
      <c r="A21" s="46" t="inlineStr">
        <is>
          <t xml:space="preserve">  ◆ טבלה MAST  -  קישור חומר לעץ מוצר  (Material to BOM link)   |   T-codes: CS01/CS02/CS03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6" customHeight="1">
      <c r="A22" s="47" t="n">
        <v>1</v>
      </c>
      <c r="B22" s="48" t="inlineStr">
        <is>
          <t>MAST</t>
        </is>
      </c>
      <c r="C22" s="49" t="inlineStr">
        <is>
          <t>MATNR</t>
        </is>
      </c>
      <c r="D22" s="50" t="inlineStr">
        <is>
          <t>CHAR</t>
        </is>
      </c>
      <c r="E22" s="50" t="inlineStr">
        <is>
          <t>18-&gt;40</t>
        </is>
      </c>
      <c r="F22" s="67" t="inlineStr">
        <is>
          <t>PK/FK</t>
        </is>
      </c>
      <c r="G22" s="52" t="inlineStr">
        <is>
          <t>Material number</t>
        </is>
      </c>
      <c r="H22" s="53" t="inlineStr">
        <is>
          <t>מספר חומר</t>
        </is>
      </c>
      <c r="I22" s="54" t="inlineStr">
        <is>
          <t>FROM MAST JOIN MARA ON MAST.MATNR = MARA.MATNR</t>
        </is>
      </c>
      <c r="J22" s="55" t="inlineStr">
        <is>
          <t>מקשר בין חומר/מפעל לבין עץ המוצר (Recipe BOM). מפתח ההצטרפות לכל פיצוץ רכיבים בפק"ע. עץ מוצר = 'עץ מוצר' / Bill of Material.</t>
        </is>
      </c>
      <c r="K22" s="56" t="inlineStr">
        <is>
          <t>ללא שינוי; MATNR מורחב משפיע על המפתח ועל IDNRK.</t>
        </is>
      </c>
      <c r="L22" s="57" t="inlineStr">
        <is>
          <t>SAP Help - Bill of Material</t>
        </is>
      </c>
    </row>
    <row r="23" ht="26" customHeight="1">
      <c r="A23" s="58" t="n">
        <v>2</v>
      </c>
      <c r="B23" s="59" t="n"/>
      <c r="C23" s="60" t="inlineStr">
        <is>
          <t>WERKS</t>
        </is>
      </c>
      <c r="D23" s="61" t="inlineStr">
        <is>
          <t>CHAR</t>
        </is>
      </c>
      <c r="E23" s="61" t="inlineStr">
        <is>
          <t>4</t>
        </is>
      </c>
      <c r="F23" s="51" t="inlineStr">
        <is>
          <t>PK</t>
        </is>
      </c>
      <c r="G23" s="63" t="inlineStr">
        <is>
          <t>Plant</t>
        </is>
      </c>
      <c r="H23" s="64" t="inlineStr">
        <is>
          <t>מפעל</t>
        </is>
      </c>
      <c r="I23" s="59" t="n"/>
      <c r="J23" s="59" t="n"/>
      <c r="K23" s="59" t="n"/>
      <c r="L23" s="59" t="n"/>
    </row>
    <row r="24" ht="26" customHeight="1">
      <c r="A24" s="47" t="n">
        <v>3</v>
      </c>
      <c r="B24" s="59" t="n"/>
      <c r="C24" s="49" t="inlineStr">
        <is>
          <t>STLAN</t>
        </is>
      </c>
      <c r="D24" s="50" t="inlineStr">
        <is>
          <t>CHAR</t>
        </is>
      </c>
      <c r="E24" s="50" t="inlineStr">
        <is>
          <t>1</t>
        </is>
      </c>
      <c r="F24" s="51" t="inlineStr">
        <is>
          <t>PK</t>
        </is>
      </c>
      <c r="G24" s="52" t="inlineStr">
        <is>
          <t>BOM usage (1=Production)</t>
        </is>
      </c>
      <c r="H24" s="53" t="inlineStr">
        <is>
          <t>שימוש עץ מוצר</t>
        </is>
      </c>
      <c r="I24" s="59" t="n"/>
      <c r="J24" s="59" t="n"/>
      <c r="K24" s="59" t="n"/>
      <c r="L24" s="59" t="n"/>
    </row>
    <row r="25" ht="26" customHeight="1">
      <c r="A25" s="58" t="n">
        <v>4</v>
      </c>
      <c r="B25" s="59" t="n"/>
      <c r="C25" s="60" t="inlineStr">
        <is>
          <t>STLNR</t>
        </is>
      </c>
      <c r="D25" s="61" t="inlineStr">
        <is>
          <t>CHAR</t>
        </is>
      </c>
      <c r="E25" s="61" t="inlineStr">
        <is>
          <t>8</t>
        </is>
      </c>
      <c r="F25" s="62" t="inlineStr">
        <is>
          <t>FK</t>
        </is>
      </c>
      <c r="G25" s="63" t="inlineStr">
        <is>
          <t>Bill of material number</t>
        </is>
      </c>
      <c r="H25" s="64" t="inlineStr">
        <is>
          <t>מספר עץ מוצר</t>
        </is>
      </c>
      <c r="I25" s="59" t="n"/>
      <c r="J25" s="59" t="n"/>
      <c r="K25" s="59" t="n"/>
      <c r="L25" s="59" t="n"/>
    </row>
    <row r="26" ht="26" customHeight="1">
      <c r="A26" s="47" t="n">
        <v>5</v>
      </c>
      <c r="B26" s="66" t="n"/>
      <c r="C26" s="49" t="inlineStr">
        <is>
          <t>STLAL</t>
        </is>
      </c>
      <c r="D26" s="50" t="inlineStr">
        <is>
          <t>CHAR</t>
        </is>
      </c>
      <c r="E26" s="50" t="inlineStr">
        <is>
          <t>2</t>
        </is>
      </c>
      <c r="F26" s="51" t="inlineStr">
        <is>
          <t>PK</t>
        </is>
      </c>
      <c r="G26" s="52" t="inlineStr">
        <is>
          <t>Alternative BOM</t>
        </is>
      </c>
      <c r="H26" s="53" t="inlineStr">
        <is>
          <t>חלופת עץ מוצר</t>
        </is>
      </c>
      <c r="I26" s="66" t="n"/>
      <c r="J26" s="66" t="n"/>
      <c r="K26" s="66" t="n"/>
      <c r="L26" s="66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2" customHeight="1">
      <c r="A28" s="46" t="inlineStr">
        <is>
          <t xml:space="preserve">  ◆ טבלה STKO  -  כותרת עץ מוצר  (BOM header)   |   T-codes: CS01/CS02/CS03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6" customHeight="1">
      <c r="A29" s="58" t="n">
        <v>6</v>
      </c>
      <c r="B29" s="68" t="inlineStr">
        <is>
          <t>STKO</t>
        </is>
      </c>
      <c r="C29" s="60" t="inlineStr">
        <is>
          <t>STLTY</t>
        </is>
      </c>
      <c r="D29" s="61" t="inlineStr">
        <is>
          <t>CHAR</t>
        </is>
      </c>
      <c r="E29" s="61" t="inlineStr">
        <is>
          <t>1</t>
        </is>
      </c>
      <c r="F29" s="51" t="inlineStr">
        <is>
          <t>PK</t>
        </is>
      </c>
      <c r="G29" s="63" t="inlineStr">
        <is>
          <t>BOM category</t>
        </is>
      </c>
      <c r="H29" s="64" t="inlineStr">
        <is>
          <t>קטגוריית עץ מוצר</t>
        </is>
      </c>
      <c r="I29" s="69" t="inlineStr">
        <is>
          <t>FROM STKO JOIN MAST ON STKO.STLNR = MAST.STLNR</t>
        </is>
      </c>
      <c r="J29" s="70" t="inlineStr">
        <is>
          <t>כותרת עץ המוצר: כמות בסיס, יחידה, סטטוס ותוקף. כמות הבסיס (BMENG) קובעת את יחס הרכיבים - קריטי לדיוק מתכון/פחת.</t>
        </is>
      </c>
      <c r="K29" s="71" t="inlineStr">
        <is>
          <t>ללא שינוי.</t>
        </is>
      </c>
      <c r="L29" s="72" t="inlineStr">
        <is>
          <t>SAP Help - BOM Header</t>
        </is>
      </c>
    </row>
    <row r="30" ht="26" customHeight="1">
      <c r="A30" s="47" t="n">
        <v>7</v>
      </c>
      <c r="B30" s="59" t="n"/>
      <c r="C30" s="49" t="inlineStr">
        <is>
          <t>STLNR</t>
        </is>
      </c>
      <c r="D30" s="50" t="inlineStr">
        <is>
          <t>CHAR</t>
        </is>
      </c>
      <c r="E30" s="50" t="inlineStr">
        <is>
          <t>8</t>
        </is>
      </c>
      <c r="F30" s="51" t="inlineStr">
        <is>
          <t>PK</t>
        </is>
      </c>
      <c r="G30" s="52" t="inlineStr">
        <is>
          <t>Bill of material number</t>
        </is>
      </c>
      <c r="H30" s="53" t="inlineStr">
        <is>
          <t>מספר עץ מוצר</t>
        </is>
      </c>
      <c r="I30" s="59" t="n"/>
      <c r="J30" s="59" t="n"/>
      <c r="K30" s="59" t="n"/>
      <c r="L30" s="59" t="n"/>
    </row>
    <row r="31" ht="26" customHeight="1">
      <c r="A31" s="58" t="n">
        <v>8</v>
      </c>
      <c r="B31" s="59" t="n"/>
      <c r="C31" s="60" t="inlineStr">
        <is>
          <t>STLAL</t>
        </is>
      </c>
      <c r="D31" s="61" t="inlineStr">
        <is>
          <t>CHAR</t>
        </is>
      </c>
      <c r="E31" s="61" t="inlineStr">
        <is>
          <t>2</t>
        </is>
      </c>
      <c r="F31" s="51" t="inlineStr">
        <is>
          <t>PK</t>
        </is>
      </c>
      <c r="G31" s="63" t="inlineStr">
        <is>
          <t>Alternative BOM</t>
        </is>
      </c>
      <c r="H31" s="64" t="inlineStr">
        <is>
          <t>חלופת עץ מוצר</t>
        </is>
      </c>
      <c r="I31" s="59" t="n"/>
      <c r="J31" s="59" t="n"/>
      <c r="K31" s="59" t="n"/>
      <c r="L31" s="59" t="n"/>
    </row>
    <row r="32" ht="26" customHeight="1">
      <c r="A32" s="47" t="n">
        <v>9</v>
      </c>
      <c r="B32" s="59" t="n"/>
      <c r="C32" s="49" t="inlineStr">
        <is>
          <t>BMENG</t>
        </is>
      </c>
      <c r="D32" s="50" t="inlineStr">
        <is>
          <t>QUAN</t>
        </is>
      </c>
      <c r="E32" s="50" t="inlineStr">
        <is>
          <t>13</t>
        </is>
      </c>
      <c r="F32" s="65" t="inlineStr">
        <is>
          <t>-</t>
        </is>
      </c>
      <c r="G32" s="52" t="inlineStr">
        <is>
          <t>Base quantity</t>
        </is>
      </c>
      <c r="H32" s="53" t="inlineStr">
        <is>
          <t>כמות בסיס</t>
        </is>
      </c>
      <c r="I32" s="59" t="n"/>
      <c r="J32" s="59" t="n"/>
      <c r="K32" s="59" t="n"/>
      <c r="L32" s="59" t="n"/>
    </row>
    <row r="33" ht="26" customHeight="1">
      <c r="A33" s="58" t="n">
        <v>10</v>
      </c>
      <c r="B33" s="59" t="n"/>
      <c r="C33" s="60" t="inlineStr">
        <is>
          <t>BMEIN</t>
        </is>
      </c>
      <c r="D33" s="61" t="inlineStr">
        <is>
          <t>UNIT</t>
        </is>
      </c>
      <c r="E33" s="61" t="inlineStr">
        <is>
          <t>3</t>
        </is>
      </c>
      <c r="F33" s="62" t="inlineStr">
        <is>
          <t>FK</t>
        </is>
      </c>
      <c r="G33" s="63" t="inlineStr">
        <is>
          <t>Base unit of measure</t>
        </is>
      </c>
      <c r="H33" s="64" t="inlineStr">
        <is>
          <t>יחידת בסיס</t>
        </is>
      </c>
      <c r="I33" s="59" t="n"/>
      <c r="J33" s="59" t="n"/>
      <c r="K33" s="59" t="n"/>
      <c r="L33" s="59" t="n"/>
    </row>
    <row r="34" ht="26" customHeight="1">
      <c r="A34" s="47" t="n">
        <v>11</v>
      </c>
      <c r="B34" s="66" t="n"/>
      <c r="C34" s="49" t="inlineStr">
        <is>
          <t>STLST</t>
        </is>
      </c>
      <c r="D34" s="50" t="inlineStr">
        <is>
          <t>NUMC</t>
        </is>
      </c>
      <c r="E34" s="50" t="inlineStr">
        <is>
          <t>2</t>
        </is>
      </c>
      <c r="F34" s="65" t="inlineStr">
        <is>
          <t>-</t>
        </is>
      </c>
      <c r="G34" s="52" t="inlineStr">
        <is>
          <t>BOM status</t>
        </is>
      </c>
      <c r="H34" s="53" t="inlineStr">
        <is>
          <t>סטטוס עץ מוצר</t>
        </is>
      </c>
      <c r="I34" s="66" t="n"/>
      <c r="J34" s="66" t="n"/>
      <c r="K34" s="66" t="n"/>
      <c r="L34" s="6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22" customHeight="1">
      <c r="A36" s="46" t="inlineStr">
        <is>
          <t xml:space="preserve">  ◆ טבלה STPO  -  פריטי עץ מוצר (רכיבים)  (BOM item)   |   T-codes: CS02; CS11, CS15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6" customHeight="1">
      <c r="A37" s="58" t="n">
        <v>12</v>
      </c>
      <c r="B37" s="68" t="inlineStr">
        <is>
          <t>STPO</t>
        </is>
      </c>
      <c r="C37" s="60" t="inlineStr">
        <is>
          <t>STLTY</t>
        </is>
      </c>
      <c r="D37" s="61" t="inlineStr">
        <is>
          <t>CHAR</t>
        </is>
      </c>
      <c r="E37" s="61" t="inlineStr">
        <is>
          <t>1</t>
        </is>
      </c>
      <c r="F37" s="67" t="inlineStr">
        <is>
          <t>PK/FK</t>
        </is>
      </c>
      <c r="G37" s="63" t="inlineStr">
        <is>
          <t>BOM category</t>
        </is>
      </c>
      <c r="H37" s="64" t="inlineStr">
        <is>
          <t>קטגוריית עץ מוצר</t>
        </is>
      </c>
      <c r="I37" s="69" t="inlineStr">
        <is>
          <t>FROM STPO JOIN STKO ON STPO.STLNR = STKO.STLNR AND STPO.STLTY = STKO.STLTY</t>
        </is>
      </c>
      <c r="J37" s="70" t="inlineStr">
        <is>
          <t>רכיבי עץ המוצר: כל חומר גלם/אריזה, כמותו (MENGE) וסוג הפריט. כאן מוגדר פחת רכיב (AUSCH %) לבקרת 1% פחת ייצור.</t>
        </is>
      </c>
      <c r="K37" s="71" t="inlineStr">
        <is>
          <t>ללא שינוי; IDNRK מורחב 18-&gt;40.</t>
        </is>
      </c>
      <c r="L37" s="72" t="inlineStr">
        <is>
          <t>SAP Help - BOM Item</t>
        </is>
      </c>
    </row>
    <row r="38" ht="26" customHeight="1">
      <c r="A38" s="47" t="n">
        <v>13</v>
      </c>
      <c r="B38" s="59" t="n"/>
      <c r="C38" s="49" t="inlineStr">
        <is>
          <t>STLNR</t>
        </is>
      </c>
      <c r="D38" s="50" t="inlineStr">
        <is>
          <t>CHAR</t>
        </is>
      </c>
      <c r="E38" s="50" t="inlineStr">
        <is>
          <t>8</t>
        </is>
      </c>
      <c r="F38" s="67" t="inlineStr">
        <is>
          <t>PK/FK</t>
        </is>
      </c>
      <c r="G38" s="52" t="inlineStr">
        <is>
          <t>Bill of material number</t>
        </is>
      </c>
      <c r="H38" s="53" t="inlineStr">
        <is>
          <t>מספר עץ מוצר</t>
        </is>
      </c>
      <c r="I38" s="59" t="n"/>
      <c r="J38" s="59" t="n"/>
      <c r="K38" s="59" t="n"/>
      <c r="L38" s="59" t="n"/>
    </row>
    <row r="39" ht="26" customHeight="1">
      <c r="A39" s="58" t="n">
        <v>14</v>
      </c>
      <c r="B39" s="59" t="n"/>
      <c r="C39" s="60" t="inlineStr">
        <is>
          <t>STLKN</t>
        </is>
      </c>
      <c r="D39" s="61" t="inlineStr">
        <is>
          <t>NUMC</t>
        </is>
      </c>
      <c r="E39" s="61" t="inlineStr">
        <is>
          <t>8</t>
        </is>
      </c>
      <c r="F39" s="51" t="inlineStr">
        <is>
          <t>PK</t>
        </is>
      </c>
      <c r="G39" s="63" t="inlineStr">
        <is>
          <t>BOM item node number</t>
        </is>
      </c>
      <c r="H39" s="64" t="inlineStr">
        <is>
          <t>מספר צומת פריט</t>
        </is>
      </c>
      <c r="I39" s="59" t="n"/>
      <c r="J39" s="59" t="n"/>
      <c r="K39" s="59" t="n"/>
      <c r="L39" s="59" t="n"/>
    </row>
    <row r="40" ht="26" customHeight="1">
      <c r="A40" s="47" t="n">
        <v>15</v>
      </c>
      <c r="B40" s="59" t="n"/>
      <c r="C40" s="49" t="inlineStr">
        <is>
          <t>POSNR</t>
        </is>
      </c>
      <c r="D40" s="50" t="inlineStr">
        <is>
          <t>CHAR</t>
        </is>
      </c>
      <c r="E40" s="50" t="inlineStr">
        <is>
          <t>4</t>
        </is>
      </c>
      <c r="F40" s="65" t="inlineStr">
        <is>
          <t>-</t>
        </is>
      </c>
      <c r="G40" s="52" t="inlineStr">
        <is>
          <t>BOM item number</t>
        </is>
      </c>
      <c r="H40" s="53" t="inlineStr">
        <is>
          <t>מספר פריט</t>
        </is>
      </c>
      <c r="I40" s="59" t="n"/>
      <c r="J40" s="59" t="n"/>
      <c r="K40" s="59" t="n"/>
      <c r="L40" s="59" t="n"/>
    </row>
    <row r="41" ht="26" customHeight="1">
      <c r="A41" s="58" t="n">
        <v>16</v>
      </c>
      <c r="B41" s="59" t="n"/>
      <c r="C41" s="60" t="inlineStr">
        <is>
          <t>IDNRK</t>
        </is>
      </c>
      <c r="D41" s="61" t="inlineStr">
        <is>
          <t>CHAR</t>
        </is>
      </c>
      <c r="E41" s="61" t="inlineStr">
        <is>
          <t>18-&gt;40</t>
        </is>
      </c>
      <c r="F41" s="62" t="inlineStr">
        <is>
          <t>FK</t>
        </is>
      </c>
      <c r="G41" s="63" t="inlineStr">
        <is>
          <t>Component (BOM item material)</t>
        </is>
      </c>
      <c r="H41" s="64" t="inlineStr">
        <is>
          <t>רכיב / חומר</t>
        </is>
      </c>
      <c r="I41" s="59" t="n"/>
      <c r="J41" s="59" t="n"/>
      <c r="K41" s="59" t="n"/>
      <c r="L41" s="59" t="n"/>
    </row>
    <row r="42" ht="26" customHeight="1">
      <c r="A42" s="47" t="n">
        <v>17</v>
      </c>
      <c r="B42" s="59" t="n"/>
      <c r="C42" s="49" t="inlineStr">
        <is>
          <t>MENGE</t>
        </is>
      </c>
      <c r="D42" s="50" t="inlineStr">
        <is>
          <t>QUAN</t>
        </is>
      </c>
      <c r="E42" s="50" t="inlineStr">
        <is>
          <t>13</t>
        </is>
      </c>
      <c r="F42" s="65" t="inlineStr">
        <is>
          <t>-</t>
        </is>
      </c>
      <c r="G42" s="52" t="inlineStr">
        <is>
          <t>Component quantity</t>
        </is>
      </c>
      <c r="H42" s="53" t="inlineStr">
        <is>
          <t>כמות רכיב</t>
        </is>
      </c>
      <c r="I42" s="59" t="n"/>
      <c r="J42" s="59" t="n"/>
      <c r="K42" s="59" t="n"/>
      <c r="L42" s="59" t="n"/>
    </row>
    <row r="43" ht="26" customHeight="1">
      <c r="A43" s="58" t="n">
        <v>18</v>
      </c>
      <c r="B43" s="59" t="n"/>
      <c r="C43" s="60" t="inlineStr">
        <is>
          <t>MEINS</t>
        </is>
      </c>
      <c r="D43" s="61" t="inlineStr">
        <is>
          <t>UNIT</t>
        </is>
      </c>
      <c r="E43" s="61" t="inlineStr">
        <is>
          <t>3</t>
        </is>
      </c>
      <c r="F43" s="62" t="inlineStr">
        <is>
          <t>FK</t>
        </is>
      </c>
      <c r="G43" s="63" t="inlineStr">
        <is>
          <t>Component unit</t>
        </is>
      </c>
      <c r="H43" s="64" t="inlineStr">
        <is>
          <t>יחידת רכיב</t>
        </is>
      </c>
      <c r="I43" s="59" t="n"/>
      <c r="J43" s="59" t="n"/>
      <c r="K43" s="59" t="n"/>
      <c r="L43" s="59" t="n"/>
    </row>
    <row r="44" ht="26" customHeight="1">
      <c r="A44" s="47" t="n">
        <v>19</v>
      </c>
      <c r="B44" s="59" t="n"/>
      <c r="C44" s="49" t="inlineStr">
        <is>
          <t>AUSCH</t>
        </is>
      </c>
      <c r="D44" s="50" t="inlineStr">
        <is>
          <t>DEC</t>
        </is>
      </c>
      <c r="E44" s="50" t="inlineStr">
        <is>
          <t>6</t>
        </is>
      </c>
      <c r="F44" s="65" t="inlineStr">
        <is>
          <t>-</t>
        </is>
      </c>
      <c r="G44" s="52" t="inlineStr">
        <is>
          <t>Component scrap (%)</t>
        </is>
      </c>
      <c r="H44" s="53" t="inlineStr">
        <is>
          <t>פחת רכיב (%)</t>
        </is>
      </c>
      <c r="I44" s="59" t="n"/>
      <c r="J44" s="59" t="n"/>
      <c r="K44" s="59" t="n"/>
      <c r="L44" s="59" t="n"/>
    </row>
    <row r="45" ht="26" customHeight="1">
      <c r="A45" s="58" t="n">
        <v>20</v>
      </c>
      <c r="B45" s="66" t="n"/>
      <c r="C45" s="60" t="inlineStr">
        <is>
          <t>POSTP</t>
        </is>
      </c>
      <c r="D45" s="61" t="inlineStr">
        <is>
          <t>CHAR</t>
        </is>
      </c>
      <c r="E45" s="61" t="inlineStr">
        <is>
          <t>1</t>
        </is>
      </c>
      <c r="F45" s="65" t="inlineStr">
        <is>
          <t>-</t>
        </is>
      </c>
      <c r="G45" s="63" t="inlineStr">
        <is>
          <t>Item category</t>
        </is>
      </c>
      <c r="H45" s="64" t="inlineStr">
        <is>
          <t>סוג פריט</t>
        </is>
      </c>
      <c r="I45" s="66" t="n"/>
      <c r="J45" s="66" t="n"/>
      <c r="K45" s="66" t="n"/>
      <c r="L45" s="66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22" customHeight="1">
      <c r="A47" s="46" t="inlineStr">
        <is>
          <t xml:space="preserve">  ◆ טבלה STAS  -  בחירת פריטי עץ מוצר  (BOM item selection)   |   T-codes: CS02 (CC)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6" customHeight="1">
      <c r="A48" s="47" t="n">
        <v>21</v>
      </c>
      <c r="B48" s="48" t="inlineStr">
        <is>
          <t>STAS</t>
        </is>
      </c>
      <c r="C48" s="49" t="inlineStr">
        <is>
          <t>STLTY</t>
        </is>
      </c>
      <c r="D48" s="50" t="inlineStr">
        <is>
          <t>CHAR</t>
        </is>
      </c>
      <c r="E48" s="50" t="inlineStr">
        <is>
          <t>1</t>
        </is>
      </c>
      <c r="F48" s="67" t="inlineStr">
        <is>
          <t>PK/FK</t>
        </is>
      </c>
      <c r="G48" s="52" t="inlineStr">
        <is>
          <t>BOM category</t>
        </is>
      </c>
      <c r="H48" s="53" t="inlineStr">
        <is>
          <t>קטגוריית עץ מוצר</t>
        </is>
      </c>
      <c r="I48" s="54" t="inlineStr">
        <is>
          <t>FROM STAS JOIN STKO ON STAS.STLNR = STKO.STLNR</t>
        </is>
      </c>
      <c r="J48" s="55" t="inlineStr">
        <is>
          <t>מקשר בין פריטי STPO לחלופה/שינוי ההנדסי (ECM). שולט אילו רכיבים תקפים לתאריך נתון.</t>
        </is>
      </c>
      <c r="K48" s="56" t="inlineStr">
        <is>
          <t>ללא שינוי.</t>
        </is>
      </c>
      <c r="L48" s="57" t="inlineStr">
        <is>
          <t>SAP Help - BOM Variants</t>
        </is>
      </c>
    </row>
    <row r="49" ht="26" customHeight="1">
      <c r="A49" s="58" t="n">
        <v>22</v>
      </c>
      <c r="B49" s="59" t="n"/>
      <c r="C49" s="60" t="inlineStr">
        <is>
          <t>STLNR</t>
        </is>
      </c>
      <c r="D49" s="61" t="inlineStr">
        <is>
          <t>CHAR</t>
        </is>
      </c>
      <c r="E49" s="61" t="inlineStr">
        <is>
          <t>8</t>
        </is>
      </c>
      <c r="F49" s="67" t="inlineStr">
        <is>
          <t>PK/FK</t>
        </is>
      </c>
      <c r="G49" s="63" t="inlineStr">
        <is>
          <t>Bill of material number</t>
        </is>
      </c>
      <c r="H49" s="64" t="inlineStr">
        <is>
          <t>מספר עץ מוצר</t>
        </is>
      </c>
      <c r="I49" s="59" t="n"/>
      <c r="J49" s="59" t="n"/>
      <c r="K49" s="59" t="n"/>
      <c r="L49" s="59" t="n"/>
    </row>
    <row r="50" ht="26" customHeight="1">
      <c r="A50" s="47" t="n">
        <v>23</v>
      </c>
      <c r="B50" s="59" t="n"/>
      <c r="C50" s="49" t="inlineStr">
        <is>
          <t>STLAL</t>
        </is>
      </c>
      <c r="D50" s="50" t="inlineStr">
        <is>
          <t>CHAR</t>
        </is>
      </c>
      <c r="E50" s="50" t="inlineStr">
        <is>
          <t>2</t>
        </is>
      </c>
      <c r="F50" s="51" t="inlineStr">
        <is>
          <t>PK</t>
        </is>
      </c>
      <c r="G50" s="52" t="inlineStr">
        <is>
          <t>Alternative BOM</t>
        </is>
      </c>
      <c r="H50" s="53" t="inlineStr">
        <is>
          <t>חלופה</t>
        </is>
      </c>
      <c r="I50" s="59" t="n"/>
      <c r="J50" s="59" t="n"/>
      <c r="K50" s="59" t="n"/>
      <c r="L50" s="59" t="n"/>
    </row>
    <row r="51" ht="26" customHeight="1">
      <c r="A51" s="58" t="n">
        <v>24</v>
      </c>
      <c r="B51" s="59" t="n"/>
      <c r="C51" s="60" t="inlineStr">
        <is>
          <t>STLKN</t>
        </is>
      </c>
      <c r="D51" s="61" t="inlineStr">
        <is>
          <t>NUMC</t>
        </is>
      </c>
      <c r="E51" s="61" t="inlineStr">
        <is>
          <t>8</t>
        </is>
      </c>
      <c r="F51" s="62" t="inlineStr">
        <is>
          <t>FK</t>
        </is>
      </c>
      <c r="G51" s="63" t="inlineStr">
        <is>
          <t>Item node number</t>
        </is>
      </c>
      <c r="H51" s="64" t="inlineStr">
        <is>
          <t>מספר צומת</t>
        </is>
      </c>
      <c r="I51" s="59" t="n"/>
      <c r="J51" s="59" t="n"/>
      <c r="K51" s="59" t="n"/>
      <c r="L51" s="59" t="n"/>
    </row>
    <row r="52" ht="26" customHeight="1">
      <c r="A52" s="47" t="n">
        <v>25</v>
      </c>
      <c r="B52" s="66" t="n"/>
      <c r="C52" s="49" t="inlineStr">
        <is>
          <t>STASZ</t>
        </is>
      </c>
      <c r="D52" s="50" t="inlineStr">
        <is>
          <t>NUMC</t>
        </is>
      </c>
      <c r="E52" s="50" t="inlineStr">
        <is>
          <t>8</t>
        </is>
      </c>
      <c r="F52" s="51" t="inlineStr">
        <is>
          <t>PK</t>
        </is>
      </c>
      <c r="G52" s="52" t="inlineStr">
        <is>
          <t>Internal counter</t>
        </is>
      </c>
      <c r="H52" s="53" t="inlineStr">
        <is>
          <t>מונה פנימי</t>
        </is>
      </c>
      <c r="I52" s="66" t="n"/>
      <c r="J52" s="66" t="n"/>
      <c r="K52" s="66" t="n"/>
      <c r="L52" s="66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22" customHeight="1">
      <c r="A54" s="46" t="inlineStr">
        <is>
          <t xml:space="preserve">  ◆ טבלה STZU  -  טבלת היסטוריה/קישור לעץ מוצר  (BOM history / link table)   |   T-codes: CS80 (CC overview)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6" customHeight="1">
      <c r="A55" s="58" t="n">
        <v>26</v>
      </c>
      <c r="B55" s="68" t="inlineStr">
        <is>
          <t>STZU</t>
        </is>
      </c>
      <c r="C55" s="60" t="inlineStr">
        <is>
          <t>STLTY</t>
        </is>
      </c>
      <c r="D55" s="61" t="inlineStr">
        <is>
          <t>CHAR</t>
        </is>
      </c>
      <c r="E55" s="61" t="inlineStr">
        <is>
          <t>1</t>
        </is>
      </c>
      <c r="F55" s="67" t="inlineStr">
        <is>
          <t>PK/FK</t>
        </is>
      </c>
      <c r="G55" s="63" t="inlineStr">
        <is>
          <t>BOM category</t>
        </is>
      </c>
      <c r="H55" s="64" t="inlineStr">
        <is>
          <t>קטגוריית עץ מוצר</t>
        </is>
      </c>
      <c r="I55" s="69" t="inlineStr">
        <is>
          <t>FROM STZU JOIN STKO ON STZU.STLNR = STKO.STLNR</t>
        </is>
      </c>
      <c r="J55" s="70" t="inlineStr">
        <is>
          <t>מנהל את היסטוריית השינויים וקישורי ה-ECM של עץ המוצר - חיוני למעקב גרסאות מתכון לאורך זמן.</t>
        </is>
      </c>
      <c r="K55" s="71" t="inlineStr">
        <is>
          <t>ללא שינוי.</t>
        </is>
      </c>
      <c r="L55" s="72" t="inlineStr">
        <is>
          <t>SAP Help - Engineering Change</t>
        </is>
      </c>
    </row>
    <row r="56" ht="26" customHeight="1">
      <c r="A56" s="47" t="n">
        <v>27</v>
      </c>
      <c r="B56" s="59" t="n"/>
      <c r="C56" s="49" t="inlineStr">
        <is>
          <t>STLNR</t>
        </is>
      </c>
      <c r="D56" s="50" t="inlineStr">
        <is>
          <t>CHAR</t>
        </is>
      </c>
      <c r="E56" s="50" t="inlineStr">
        <is>
          <t>8</t>
        </is>
      </c>
      <c r="F56" s="67" t="inlineStr">
        <is>
          <t>PK/FK</t>
        </is>
      </c>
      <c r="G56" s="52" t="inlineStr">
        <is>
          <t>Bill of material number</t>
        </is>
      </c>
      <c r="H56" s="53" t="inlineStr">
        <is>
          <t>מספר עץ מוצר</t>
        </is>
      </c>
      <c r="I56" s="59" t="n"/>
      <c r="J56" s="59" t="n"/>
      <c r="K56" s="59" t="n"/>
      <c r="L56" s="59" t="n"/>
    </row>
    <row r="57" ht="26" customHeight="1">
      <c r="A57" s="58" t="n">
        <v>28</v>
      </c>
      <c r="B57" s="59" t="n"/>
      <c r="C57" s="60" t="inlineStr">
        <is>
          <t>STLAN</t>
        </is>
      </c>
      <c r="D57" s="61" t="inlineStr">
        <is>
          <t>CHAR</t>
        </is>
      </c>
      <c r="E57" s="61" t="inlineStr">
        <is>
          <t>1</t>
        </is>
      </c>
      <c r="F57" s="65" t="inlineStr">
        <is>
          <t>-</t>
        </is>
      </c>
      <c r="G57" s="63" t="inlineStr">
        <is>
          <t>BOM usage</t>
        </is>
      </c>
      <c r="H57" s="64" t="inlineStr">
        <is>
          <t>שימוש</t>
        </is>
      </c>
      <c r="I57" s="59" t="n"/>
      <c r="J57" s="59" t="n"/>
      <c r="K57" s="59" t="n"/>
      <c r="L57" s="59" t="n"/>
    </row>
    <row r="58" ht="26" customHeight="1">
      <c r="A58" s="47" t="n">
        <v>29</v>
      </c>
      <c r="B58" s="66" t="n"/>
      <c r="C58" s="49" t="inlineStr">
        <is>
          <t>AENNR</t>
        </is>
      </c>
      <c r="D58" s="50" t="inlineStr">
        <is>
          <t>CHAR</t>
        </is>
      </c>
      <c r="E58" s="50" t="inlineStr">
        <is>
          <t>12</t>
        </is>
      </c>
      <c r="F58" s="62" t="inlineStr">
        <is>
          <t>FK</t>
        </is>
      </c>
      <c r="G58" s="52" t="inlineStr">
        <is>
          <t>Change number (ECM)</t>
        </is>
      </c>
      <c r="H58" s="53" t="inlineStr">
        <is>
          <t>מספר שינוי הנדסי</t>
        </is>
      </c>
      <c r="I58" s="66" t="n"/>
      <c r="J58" s="66" t="n"/>
      <c r="K58" s="66" t="n"/>
      <c r="L58" s="66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22" customHeight="1">
      <c r="A60" s="46" t="inlineStr">
        <is>
          <t xml:space="preserve">  ◆ טבלה STPU  -  טקסטים ארוכים לפריט עץ מוצר  (BOM sub-items / texts)   |   T-codes: CS02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26" customHeight="1">
      <c r="A61" s="58" t="n">
        <v>30</v>
      </c>
      <c r="B61" s="68" t="inlineStr">
        <is>
          <t>STPU</t>
        </is>
      </c>
      <c r="C61" s="60" t="inlineStr">
        <is>
          <t>STLKN</t>
        </is>
      </c>
      <c r="D61" s="61" t="inlineStr">
        <is>
          <t>NUMC</t>
        </is>
      </c>
      <c r="E61" s="61" t="inlineStr">
        <is>
          <t>8</t>
        </is>
      </c>
      <c r="F61" s="67" t="inlineStr">
        <is>
          <t>PK/FK</t>
        </is>
      </c>
      <c r="G61" s="63" t="inlineStr">
        <is>
          <t>Item node number</t>
        </is>
      </c>
      <c r="H61" s="64" t="inlineStr">
        <is>
          <t>מספר צומת פריט</t>
        </is>
      </c>
      <c r="I61" s="69" t="inlineStr">
        <is>
          <t>FROM STPU JOIN STPO ON STPU.STLKN = STPO.STLKN</t>
        </is>
      </c>
      <c r="J61" s="70" t="inlineStr">
        <is>
          <t>תת-פריטים/כמויות נקודתיות של רכיב בעץ המוצר (לדוגמה כמות לפי מיקום התקנה).</t>
        </is>
      </c>
      <c r="K61" s="71" t="inlineStr">
        <is>
          <t>ללא שינוי.</t>
        </is>
      </c>
      <c r="L61" s="72" t="inlineStr">
        <is>
          <t>SAP Help - BOM Sub-items</t>
        </is>
      </c>
    </row>
    <row r="62" ht="26" customHeight="1">
      <c r="A62" s="47" t="n">
        <v>31</v>
      </c>
      <c r="B62" s="59" t="n"/>
      <c r="C62" s="49" t="inlineStr">
        <is>
          <t>SUMNR</t>
        </is>
      </c>
      <c r="D62" s="50" t="inlineStr">
        <is>
          <t>NUMC</t>
        </is>
      </c>
      <c r="E62" s="50" t="inlineStr">
        <is>
          <t>4</t>
        </is>
      </c>
      <c r="F62" s="51" t="inlineStr">
        <is>
          <t>PK</t>
        </is>
      </c>
      <c r="G62" s="52" t="inlineStr">
        <is>
          <t>Sub-item number</t>
        </is>
      </c>
      <c r="H62" s="53" t="inlineStr">
        <is>
          <t>מספר תת-פריט</t>
        </is>
      </c>
      <c r="I62" s="59" t="n"/>
      <c r="J62" s="59" t="n"/>
      <c r="K62" s="59" t="n"/>
      <c r="L62" s="59" t="n"/>
    </row>
    <row r="63" ht="26" customHeight="1">
      <c r="A63" s="58" t="n">
        <v>32</v>
      </c>
      <c r="B63" s="66" t="n"/>
      <c r="C63" s="60" t="inlineStr">
        <is>
          <t>MENGE</t>
        </is>
      </c>
      <c r="D63" s="61" t="inlineStr">
        <is>
          <t>QUAN</t>
        </is>
      </c>
      <c r="E63" s="61" t="inlineStr">
        <is>
          <t>13</t>
        </is>
      </c>
      <c r="F63" s="65" t="inlineStr">
        <is>
          <t>-</t>
        </is>
      </c>
      <c r="G63" s="63" t="inlineStr">
        <is>
          <t>Sub-item quantity</t>
        </is>
      </c>
      <c r="H63" s="64" t="inlineStr">
        <is>
          <t>כמות תת-פריט</t>
        </is>
      </c>
      <c r="I63" s="66" t="n"/>
      <c r="J63" s="66" t="n"/>
      <c r="K63" s="66" t="n"/>
      <c r="L63" s="66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22" customHeight="1">
      <c r="A65" s="46" t="inlineStr">
        <is>
          <t xml:space="preserve">  ◆ טבלה KDST  -  שימוש עץ מוצר בהזמנת לקוח  (BOM explosion (sales order))   |   T-codes: CS61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26" customHeight="1">
      <c r="A66" s="47" t="n">
        <v>33</v>
      </c>
      <c r="B66" s="48" t="inlineStr">
        <is>
          <t>KDST</t>
        </is>
      </c>
      <c r="C66" s="49" t="inlineStr">
        <is>
          <t>VBELN</t>
        </is>
      </c>
      <c r="D66" s="50" t="inlineStr">
        <is>
          <t>CHAR</t>
        </is>
      </c>
      <c r="E66" s="50" t="inlineStr">
        <is>
          <t>10</t>
        </is>
      </c>
      <c r="F66" s="51" t="inlineStr">
        <is>
          <t>PK</t>
        </is>
      </c>
      <c r="G66" s="52" t="inlineStr">
        <is>
          <t>Sales document</t>
        </is>
      </c>
      <c r="H66" s="53" t="inlineStr">
        <is>
          <t>מסמך מכירה</t>
        </is>
      </c>
      <c r="I66" s="54" t="inlineStr">
        <is>
          <t>FROM KDST JOIN MAST ON KDST.MATNR = MAST.MATNR</t>
        </is>
      </c>
      <c r="J66" s="55" t="inlineStr">
        <is>
          <t>מקשר עצי מוצר ספציפיים להזמנת לקוח (Make-to-Order) - רלוונטי לייצור מבצעים/מותגים פרטיים.</t>
        </is>
      </c>
      <c r="K66" s="56" t="inlineStr">
        <is>
          <t>ללא שינוי.</t>
        </is>
      </c>
      <c r="L66" s="57" t="inlineStr">
        <is>
          <t>SAP Help - Sales Order BOM</t>
        </is>
      </c>
    </row>
    <row r="67" ht="26" customHeight="1">
      <c r="A67" s="58" t="n">
        <v>34</v>
      </c>
      <c r="B67" s="59" t="n"/>
      <c r="C67" s="60" t="inlineStr">
        <is>
          <t>POSNR</t>
        </is>
      </c>
      <c r="D67" s="61" t="inlineStr">
        <is>
          <t>NUMC</t>
        </is>
      </c>
      <c r="E67" s="61" t="inlineStr">
        <is>
          <t>6</t>
        </is>
      </c>
      <c r="F67" s="51" t="inlineStr">
        <is>
          <t>PK</t>
        </is>
      </c>
      <c r="G67" s="63" t="inlineStr">
        <is>
          <t>Sales document item</t>
        </is>
      </c>
      <c r="H67" s="64" t="inlineStr">
        <is>
          <t>פריט מסמך מכירה</t>
        </is>
      </c>
      <c r="I67" s="59" t="n"/>
      <c r="J67" s="59" t="n"/>
      <c r="K67" s="59" t="n"/>
      <c r="L67" s="59" t="n"/>
    </row>
    <row r="68" ht="26" customHeight="1">
      <c r="A68" s="47" t="n">
        <v>35</v>
      </c>
      <c r="B68" s="59" t="n"/>
      <c r="C68" s="49" t="inlineStr">
        <is>
          <t>MATNR</t>
        </is>
      </c>
      <c r="D68" s="50" t="inlineStr">
        <is>
          <t>CHAR</t>
        </is>
      </c>
      <c r="E68" s="50" t="inlineStr">
        <is>
          <t>18-&gt;40</t>
        </is>
      </c>
      <c r="F68" s="62" t="inlineStr">
        <is>
          <t>FK</t>
        </is>
      </c>
      <c r="G68" s="52" t="inlineStr">
        <is>
          <t>Material number</t>
        </is>
      </c>
      <c r="H68" s="53" t="inlineStr">
        <is>
          <t>מספר חומר</t>
        </is>
      </c>
      <c r="I68" s="59" t="n"/>
      <c r="J68" s="59" t="n"/>
      <c r="K68" s="59" t="n"/>
      <c r="L68" s="59" t="n"/>
    </row>
    <row r="69" ht="26" customHeight="1">
      <c r="A69" s="58" t="n">
        <v>36</v>
      </c>
      <c r="B69" s="66" t="n"/>
      <c r="C69" s="60" t="inlineStr">
        <is>
          <t>STLNR</t>
        </is>
      </c>
      <c r="D69" s="61" t="inlineStr">
        <is>
          <t>CHAR</t>
        </is>
      </c>
      <c r="E69" s="61" t="inlineStr">
        <is>
          <t>8</t>
        </is>
      </c>
      <c r="F69" s="62" t="inlineStr">
        <is>
          <t>FK</t>
        </is>
      </c>
      <c r="G69" s="63" t="inlineStr">
        <is>
          <t>BOM number</t>
        </is>
      </c>
      <c r="H69" s="64" t="inlineStr">
        <is>
          <t>מספר עץ מוצר</t>
        </is>
      </c>
      <c r="I69" s="66" t="n"/>
      <c r="J69" s="66" t="n"/>
      <c r="K69" s="66" t="n"/>
      <c r="L69" s="66" t="n"/>
    </row>
  </sheetData>
  <mergeCells count="83">
    <mergeCell ref="E18:L18"/>
    <mergeCell ref="B66:B69"/>
    <mergeCell ref="L66:L69"/>
    <mergeCell ref="A21:L21"/>
    <mergeCell ref="C13:F13"/>
    <mergeCell ref="K48:K52"/>
    <mergeCell ref="G14:L14"/>
    <mergeCell ref="J61:J63"/>
    <mergeCell ref="L61:L63"/>
    <mergeCell ref="J37:J45"/>
    <mergeCell ref="L29:L34"/>
    <mergeCell ref="B22:B26"/>
    <mergeCell ref="A16:D16"/>
    <mergeCell ref="C10:F10"/>
    <mergeCell ref="A6:C6"/>
    <mergeCell ref="A36:L36"/>
    <mergeCell ref="A17:D17"/>
    <mergeCell ref="G10:L10"/>
    <mergeCell ref="K61:K63"/>
    <mergeCell ref="A11:B11"/>
    <mergeCell ref="K55:K58"/>
    <mergeCell ref="A19:D19"/>
    <mergeCell ref="A3:L3"/>
    <mergeCell ref="K29:K34"/>
    <mergeCell ref="E17:L17"/>
    <mergeCell ref="I48:I52"/>
    <mergeCell ref="A5:C5"/>
    <mergeCell ref="I6:L6"/>
    <mergeCell ref="E19:L19"/>
    <mergeCell ref="C14:F14"/>
    <mergeCell ref="A4:L4"/>
    <mergeCell ref="J66:J69"/>
    <mergeCell ref="I7:L7"/>
    <mergeCell ref="K37:K45"/>
    <mergeCell ref="G12:L12"/>
    <mergeCell ref="B61:B63"/>
    <mergeCell ref="K66:K69"/>
    <mergeCell ref="A60:L60"/>
    <mergeCell ref="B55:B58"/>
    <mergeCell ref="A10:B10"/>
    <mergeCell ref="D5:H5"/>
    <mergeCell ref="A7:C7"/>
    <mergeCell ref="J29:J34"/>
    <mergeCell ref="A1:B1"/>
    <mergeCell ref="J22:J26"/>
    <mergeCell ref="L22:L26"/>
    <mergeCell ref="A47:L47"/>
    <mergeCell ref="B37:B45"/>
    <mergeCell ref="I61:I63"/>
    <mergeCell ref="A12:B12"/>
    <mergeCell ref="D7:H7"/>
    <mergeCell ref="I55:I58"/>
    <mergeCell ref="A14:B14"/>
    <mergeCell ref="C1:L1"/>
    <mergeCell ref="G11:L11"/>
    <mergeCell ref="D8:H8"/>
    <mergeCell ref="A15:L15"/>
    <mergeCell ref="C12:F12"/>
    <mergeCell ref="A54:L54"/>
    <mergeCell ref="I8:L8"/>
    <mergeCell ref="K22:K26"/>
    <mergeCell ref="G13:L13"/>
    <mergeCell ref="I37:I45"/>
    <mergeCell ref="D6:H6"/>
    <mergeCell ref="I66:I69"/>
    <mergeCell ref="A8:C8"/>
    <mergeCell ref="J55:J58"/>
    <mergeCell ref="L55:L58"/>
    <mergeCell ref="B29:B34"/>
    <mergeCell ref="J48:J52"/>
    <mergeCell ref="L48:L52"/>
    <mergeCell ref="A28:L28"/>
    <mergeCell ref="A9:L9"/>
    <mergeCell ref="A18:D18"/>
    <mergeCell ref="B48:B52"/>
    <mergeCell ref="E16:L16"/>
    <mergeCell ref="I29:I34"/>
    <mergeCell ref="A13:B13"/>
    <mergeCell ref="C11:F11"/>
    <mergeCell ref="I22:I26"/>
    <mergeCell ref="L37:L45"/>
    <mergeCell ref="I5:L5"/>
    <mergeCell ref="A65:L65"/>
  </mergeCell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L22" r:id="rId5"/>
    <hyperlink xmlns:r="http://schemas.openxmlformats.org/officeDocument/2006/relationships" ref="L29" r:id="rId6"/>
    <hyperlink xmlns:r="http://schemas.openxmlformats.org/officeDocument/2006/relationships" ref="L37" r:id="rId7"/>
    <hyperlink xmlns:r="http://schemas.openxmlformats.org/officeDocument/2006/relationships" ref="L48" r:id="rId8"/>
    <hyperlink xmlns:r="http://schemas.openxmlformats.org/officeDocument/2006/relationships" ref="L55" r:id="rId9"/>
    <hyperlink xmlns:r="http://schemas.openxmlformats.org/officeDocument/2006/relationships" ref="L61" r:id="rId10"/>
    <hyperlink xmlns:r="http://schemas.openxmlformats.org/officeDocument/2006/relationships" ref="L66" r:id="rId11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L96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3. מתכון ייצור ופעולות (Master Recipe)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C201 / C202 / C203</t>
        </is>
      </c>
      <c r="B6" s="4" t="n"/>
      <c r="C6" s="4" t="n"/>
      <c r="D6" s="41" t="inlineStr">
        <is>
          <t>Manage Master Recipes</t>
        </is>
      </c>
      <c r="E6" s="4" t="n"/>
      <c r="F6" s="4" t="n"/>
      <c r="G6" s="4" t="n"/>
      <c r="H6" s="4" t="n"/>
      <c r="I6" s="43" t="inlineStr">
        <is>
          <t>-</t>
        </is>
      </c>
      <c r="J6" s="4" t="n"/>
      <c r="K6" s="4" t="n"/>
      <c r="L6" s="4" t="n"/>
    </row>
    <row r="7" ht="18" customHeight="1">
      <c r="A7" s="40" t="inlineStr">
        <is>
          <t>C251 (print)</t>
        </is>
      </c>
      <c r="B7" s="4" t="n"/>
      <c r="C7" s="4" t="n"/>
      <c r="D7" s="41" t="inlineStr">
        <is>
          <t>Master Recipe Print</t>
        </is>
      </c>
      <c r="E7" s="4" t="n"/>
      <c r="F7" s="4" t="n"/>
      <c r="G7" s="4" t="n"/>
      <c r="H7" s="4" t="n"/>
      <c r="I7" s="43" t="inlineStr">
        <is>
          <t>-</t>
        </is>
      </c>
      <c r="J7" s="4" t="n"/>
      <c r="K7" s="4" t="n"/>
      <c r="L7" s="4" t="n"/>
    </row>
    <row r="8" ht="18" customHeight="1">
      <c r="A8" s="40" t="inlineStr">
        <is>
          <t>COIO (production cockpit)</t>
        </is>
      </c>
      <c r="B8" s="4" t="n"/>
      <c r="C8" s="4" t="n"/>
      <c r="D8" s="41" t="inlineStr">
        <is>
          <t>Process Order Information System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38" t="inlineStr">
        <is>
          <t xml:space="preserve">    ממשקים ובלוקים פונקציונליים: BAPIs / IDocs / RFCs (Extraction &amp; Messaging)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39" t="inlineStr">
        <is>
          <t>Type</t>
        </is>
      </c>
      <c r="B10" s="4" t="n"/>
      <c r="C10" s="39" t="inlineStr">
        <is>
          <t>Name</t>
        </is>
      </c>
      <c r="D10" s="4" t="n"/>
      <c r="E10" s="4" t="n"/>
      <c r="F10" s="4" t="n"/>
      <c r="G10" s="39" t="inlineStr">
        <is>
          <t>תיאור / Description</t>
        </is>
      </c>
      <c r="H10" s="4" t="n"/>
      <c r="I10" s="4" t="n"/>
      <c r="J10" s="4" t="n"/>
      <c r="K10" s="4" t="n"/>
      <c r="L10" s="4" t="n"/>
    </row>
    <row r="11" ht="18" customHeight="1">
      <c r="A11" s="44" t="inlineStr">
        <is>
          <t>RFC</t>
        </is>
      </c>
      <c r="B11" s="4" t="n"/>
      <c r="C11" s="45" t="inlineStr">
        <is>
          <t>CP_RECIPE_READ</t>
        </is>
      </c>
      <c r="D11" s="4" t="n"/>
      <c r="E11" s="4" t="n"/>
      <c r="F11" s="4" t="n"/>
      <c r="G11" s="41" t="inlineStr">
        <is>
          <t>קריאת מתכון ייצור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BAPI</t>
        </is>
      </c>
      <c r="B12" s="4" t="n"/>
      <c r="C12" s="45" t="inlineStr">
        <is>
          <t>BAPI_CENTRAL_CHARACT_CREATE</t>
        </is>
      </c>
      <c r="D12" s="4" t="n"/>
      <c r="E12" s="4" t="n"/>
      <c r="F12" s="4" t="n"/>
      <c r="G12" s="41" t="inlineStr">
        <is>
          <t>יצירת מאפיין בדיקה ראשי (QM)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IDoc</t>
        </is>
      </c>
      <c r="B13" s="4" t="n"/>
      <c r="C13" s="45" t="inlineStr">
        <is>
          <t>LOIPRO</t>
        </is>
      </c>
      <c r="D13" s="4" t="n"/>
      <c r="E13" s="4" t="n"/>
      <c r="F13" s="4" t="n"/>
      <c r="G13" s="41" t="inlineStr">
        <is>
          <t>הוראות ייצור - מהמתכון לפק"ע ולקו</t>
        </is>
      </c>
      <c r="H13" s="4" t="n"/>
      <c r="I13" s="4" t="n"/>
      <c r="J13" s="4" t="n"/>
      <c r="K13" s="4" t="n"/>
      <c r="L13" s="4" t="n"/>
    </row>
    <row r="14" ht="18" customHeight="1">
      <c r="A14" s="44" t="inlineStr">
        <is>
          <t>PI</t>
        </is>
      </c>
      <c r="B14" s="4" t="n"/>
      <c r="C14" s="45" t="inlineStr">
        <is>
          <t>Control Recipe / PI Sheet (PI Messages)</t>
        </is>
      </c>
      <c r="D14" s="4" t="n"/>
      <c r="E14" s="4" t="n"/>
      <c r="F14" s="4" t="n"/>
      <c r="G14" s="41" t="inlineStr">
        <is>
          <t>שליחת הוראות תהליך לבקר/MES (Zetes/Daymax)</t>
        </is>
      </c>
      <c r="H14" s="4" t="n"/>
      <c r="I14" s="4" t="n"/>
      <c r="J14" s="4" t="n"/>
      <c r="K14" s="4" t="n"/>
      <c r="L14" s="4" t="n"/>
    </row>
    <row r="15" ht="18" customHeight="1">
      <c r="A15" s="38" t="inlineStr">
        <is>
          <t xml:space="preserve">    תוכניות רקע ודוחות סטנדרטיים (Background Programs / Reports)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39" t="inlineStr">
        <is>
          <t>Program / Report</t>
        </is>
      </c>
      <c r="B16" s="4" t="n"/>
      <c r="C16" s="4" t="n"/>
      <c r="D16" s="4" t="n"/>
      <c r="E16" s="39" t="inlineStr">
        <is>
          <t>תיאור ומטרה / Usage &amp; Trigger</t>
        </is>
      </c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45" t="inlineStr">
        <is>
          <t>RCEXMASS</t>
        </is>
      </c>
      <c r="B17" s="4" t="n"/>
      <c r="C17" s="4" t="n"/>
      <c r="D17" s="4" t="n"/>
      <c r="E17" s="41" t="inlineStr">
        <is>
          <t>עיבוד המוני מתכונים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RCPRECIPE</t>
        </is>
      </c>
      <c r="B18" s="4" t="n"/>
      <c r="C18" s="4" t="n"/>
      <c r="D18" s="4" t="n"/>
      <c r="E18" s="41" t="inlineStr">
        <is>
          <t>דוח/הערכת מתכונים</t>
        </is>
      </c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5" t="inlineStr">
        <is>
          <t>RCO_CONTROL_RECIPE</t>
        </is>
      </c>
      <c r="B19" s="4" t="n"/>
      <c r="C19" s="4" t="n"/>
      <c r="D19" s="4" t="n"/>
      <c r="E19" s="41" t="inlineStr">
        <is>
          <t>יצירת/שליחת Control Recipe</t>
        </is>
      </c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2" customHeight="1">
      <c r="A21" s="46" t="inlineStr">
        <is>
          <t xml:space="preserve">  ◆ טבלה PLKO  -  כותרת מתכון ייצור / רשימת פעולות  (Task list / recipe header)   |   T-codes: C201/C202/C203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6" customHeight="1">
      <c r="A22" s="47" t="n">
        <v>1</v>
      </c>
      <c r="B22" s="48" t="inlineStr">
        <is>
          <t>PLKO</t>
        </is>
      </c>
      <c r="C22" s="49" t="inlineStr">
        <is>
          <t>PLNTY</t>
        </is>
      </c>
      <c r="D22" s="50" t="inlineStr">
        <is>
          <t>CHAR</t>
        </is>
      </c>
      <c r="E22" s="50" t="inlineStr">
        <is>
          <t>1</t>
        </is>
      </c>
      <c r="F22" s="51" t="inlineStr">
        <is>
          <t>PK</t>
        </is>
      </c>
      <c r="G22" s="52" t="inlineStr">
        <is>
          <t>Task list type (2=recipe)</t>
        </is>
      </c>
      <c r="H22" s="53" t="inlineStr">
        <is>
          <t>סוג רשימה</t>
        </is>
      </c>
      <c r="I22" s="54" t="inlineStr">
        <is>
          <t>FROM PLKO JOIN MAPL ON PLKO.PLNTY = MAPL.PLNTY AND PLKO.PLNNR = MAPL.PLNNR</t>
        </is>
      </c>
      <c r="J22" s="55" t="inlineStr">
        <is>
          <t>כותרת מתכון הייצור (Master Recipe, PLNTY='2'). מגדיר אצווה תקנית, סטטוס ושימוש. 'מתכון ייצור' = Master Recipe. ב-CBC כל משקה מיוצר לפי מתכון מאושר.</t>
        </is>
      </c>
      <c r="K22" s="56" t="inlineStr">
        <is>
          <t>ללא שינוי מבני; Fiori 'Manage Master Recipes'.</t>
        </is>
      </c>
      <c r="L22" s="57" t="inlineStr">
        <is>
          <t>SAP Help - Master Recipe</t>
        </is>
      </c>
    </row>
    <row r="23" ht="26" customHeight="1">
      <c r="A23" s="58" t="n">
        <v>2</v>
      </c>
      <c r="B23" s="59" t="n"/>
      <c r="C23" s="60" t="inlineStr">
        <is>
          <t>PLNNR</t>
        </is>
      </c>
      <c r="D23" s="61" t="inlineStr">
        <is>
          <t>CHAR</t>
        </is>
      </c>
      <c r="E23" s="61" t="inlineStr">
        <is>
          <t>8</t>
        </is>
      </c>
      <c r="F23" s="51" t="inlineStr">
        <is>
          <t>PK</t>
        </is>
      </c>
      <c r="G23" s="63" t="inlineStr">
        <is>
          <t>Key for task list group</t>
        </is>
      </c>
      <c r="H23" s="64" t="inlineStr">
        <is>
          <t>קבוצת רשימת פעולות</t>
        </is>
      </c>
      <c r="I23" s="59" t="n"/>
      <c r="J23" s="59" t="n"/>
      <c r="K23" s="59" t="n"/>
      <c r="L23" s="59" t="n"/>
    </row>
    <row r="24" ht="26" customHeight="1">
      <c r="A24" s="47" t="n">
        <v>3</v>
      </c>
      <c r="B24" s="59" t="n"/>
      <c r="C24" s="49" t="inlineStr">
        <is>
          <t>PLNAL</t>
        </is>
      </c>
      <c r="D24" s="50" t="inlineStr">
        <is>
          <t>CHAR</t>
        </is>
      </c>
      <c r="E24" s="50" t="inlineStr">
        <is>
          <t>2</t>
        </is>
      </c>
      <c r="F24" s="51" t="inlineStr">
        <is>
          <t>PK</t>
        </is>
      </c>
      <c r="G24" s="52" t="inlineStr">
        <is>
          <t>Group counter</t>
        </is>
      </c>
      <c r="H24" s="53" t="inlineStr">
        <is>
          <t>מונה קבוצה / חלופה</t>
        </is>
      </c>
      <c r="I24" s="59" t="n"/>
      <c r="J24" s="59" t="n"/>
      <c r="K24" s="59" t="n"/>
      <c r="L24" s="59" t="n"/>
    </row>
    <row r="25" ht="26" customHeight="1">
      <c r="A25" s="58" t="n">
        <v>4</v>
      </c>
      <c r="B25" s="59" t="n"/>
      <c r="C25" s="60" t="inlineStr">
        <is>
          <t>VERWE</t>
        </is>
      </c>
      <c r="D25" s="61" t="inlineStr">
        <is>
          <t>CHAR</t>
        </is>
      </c>
      <c r="E25" s="61" t="inlineStr">
        <is>
          <t>3</t>
        </is>
      </c>
      <c r="F25" s="62" t="inlineStr">
        <is>
          <t>FK</t>
        </is>
      </c>
      <c r="G25" s="63" t="inlineStr">
        <is>
          <t>Task list usage</t>
        </is>
      </c>
      <c r="H25" s="64" t="inlineStr">
        <is>
          <t>שימוש</t>
        </is>
      </c>
      <c r="I25" s="59" t="n"/>
      <c r="J25" s="59" t="n"/>
      <c r="K25" s="59" t="n"/>
      <c r="L25" s="59" t="n"/>
    </row>
    <row r="26" ht="26" customHeight="1">
      <c r="A26" s="47" t="n">
        <v>5</v>
      </c>
      <c r="B26" s="59" t="n"/>
      <c r="C26" s="49" t="inlineStr">
        <is>
          <t>STATU</t>
        </is>
      </c>
      <c r="D26" s="50" t="inlineStr">
        <is>
          <t>CHAR</t>
        </is>
      </c>
      <c r="E26" s="50" t="inlineStr">
        <is>
          <t>2</t>
        </is>
      </c>
      <c r="F26" s="65" t="inlineStr">
        <is>
          <t>-</t>
        </is>
      </c>
      <c r="G26" s="52" t="inlineStr">
        <is>
          <t>Task list status</t>
        </is>
      </c>
      <c r="H26" s="53" t="inlineStr">
        <is>
          <t>סטטוס</t>
        </is>
      </c>
      <c r="I26" s="59" t="n"/>
      <c r="J26" s="59" t="n"/>
      <c r="K26" s="59" t="n"/>
      <c r="L26" s="59" t="n"/>
    </row>
    <row r="27" ht="26" customHeight="1">
      <c r="A27" s="58" t="n">
        <v>6</v>
      </c>
      <c r="B27" s="59" t="n"/>
      <c r="C27" s="60" t="inlineStr">
        <is>
          <t>LOSVN</t>
        </is>
      </c>
      <c r="D27" s="61" t="inlineStr">
        <is>
          <t>QUAN</t>
        </is>
      </c>
      <c r="E27" s="61" t="inlineStr">
        <is>
          <t>13</t>
        </is>
      </c>
      <c r="F27" s="65" t="inlineStr">
        <is>
          <t>-</t>
        </is>
      </c>
      <c r="G27" s="63" t="inlineStr">
        <is>
          <t>Lot size from</t>
        </is>
      </c>
      <c r="H27" s="64" t="inlineStr">
        <is>
          <t>גודל אצווה מ</t>
        </is>
      </c>
      <c r="I27" s="59" t="n"/>
      <c r="J27" s="59" t="n"/>
      <c r="K27" s="59" t="n"/>
      <c r="L27" s="59" t="n"/>
    </row>
    <row r="28" ht="26" customHeight="1">
      <c r="A28" s="47" t="n">
        <v>7</v>
      </c>
      <c r="B28" s="66" t="n"/>
      <c r="C28" s="49" t="inlineStr">
        <is>
          <t>LOSBS</t>
        </is>
      </c>
      <c r="D28" s="50" t="inlineStr">
        <is>
          <t>QUAN</t>
        </is>
      </c>
      <c r="E28" s="50" t="inlineStr">
        <is>
          <t>13</t>
        </is>
      </c>
      <c r="F28" s="65" t="inlineStr">
        <is>
          <t>-</t>
        </is>
      </c>
      <c r="G28" s="52" t="inlineStr">
        <is>
          <t>Lot size to</t>
        </is>
      </c>
      <c r="H28" s="53" t="inlineStr">
        <is>
          <t>גודל אצווה עד</t>
        </is>
      </c>
      <c r="I28" s="66" t="n"/>
      <c r="J28" s="66" t="n"/>
      <c r="K28" s="66" t="n"/>
      <c r="L28" s="66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2" customHeight="1">
      <c r="A30" s="46" t="inlineStr">
        <is>
          <t xml:space="preserve">  ◆ טבלה PLPO  -  פעולות/פאזות במתכון  (Task list - operation / activity)   |   T-codes: C202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26" customHeight="1">
      <c r="A31" s="58" t="n">
        <v>8</v>
      </c>
      <c r="B31" s="68" t="inlineStr">
        <is>
          <t>PLPO</t>
        </is>
      </c>
      <c r="C31" s="60" t="inlineStr">
        <is>
          <t>PLNTY</t>
        </is>
      </c>
      <c r="D31" s="61" t="inlineStr">
        <is>
          <t>CHAR</t>
        </is>
      </c>
      <c r="E31" s="61" t="inlineStr">
        <is>
          <t>1</t>
        </is>
      </c>
      <c r="F31" s="67" t="inlineStr">
        <is>
          <t>PK/FK</t>
        </is>
      </c>
      <c r="G31" s="63" t="inlineStr">
        <is>
          <t>Task list type</t>
        </is>
      </c>
      <c r="H31" s="64" t="inlineStr">
        <is>
          <t>סוג רשימה</t>
        </is>
      </c>
      <c r="I31" s="69" t="inlineStr">
        <is>
          <t>FROM PLPO JOIN PLAS ON PLPO.PLNTY = PLAS.PLNTY AND PLPO.PLNNR = PLAS.PLNNR AND PLPO.PLNKN = PLAS.PLNKN</t>
        </is>
      </c>
      <c r="J31" s="70" t="inlineStr">
        <is>
          <t>פעולות ופאזות הייצור (ערבוב, פסטור, מילוי). מפתח בקרה (STEUS) קובע אם הפעולה פנימית/קבלן, ומפעיל הוראות תהליך (Process Instructions) ל-PI sheet ולבקרים. ARBPL=משאב.</t>
        </is>
      </c>
      <c r="K31" s="71" t="inlineStr">
        <is>
          <t>ללא שינוי; ביצוע דרך Control Recipe / PI sheet.</t>
        </is>
      </c>
      <c r="L31" s="72" t="inlineStr">
        <is>
          <t>SAP Help - Recipe Operations</t>
        </is>
      </c>
    </row>
    <row r="32" ht="26" customHeight="1">
      <c r="A32" s="47" t="n">
        <v>9</v>
      </c>
      <c r="B32" s="59" t="n"/>
      <c r="C32" s="49" t="inlineStr">
        <is>
          <t>PLNNR</t>
        </is>
      </c>
      <c r="D32" s="50" t="inlineStr">
        <is>
          <t>CHAR</t>
        </is>
      </c>
      <c r="E32" s="50" t="inlineStr">
        <is>
          <t>8</t>
        </is>
      </c>
      <c r="F32" s="67" t="inlineStr">
        <is>
          <t>PK/FK</t>
        </is>
      </c>
      <c r="G32" s="52" t="inlineStr">
        <is>
          <t>Task list group</t>
        </is>
      </c>
      <c r="H32" s="53" t="inlineStr">
        <is>
          <t>קבוצת רשימה</t>
        </is>
      </c>
      <c r="I32" s="59" t="n"/>
      <c r="J32" s="59" t="n"/>
      <c r="K32" s="59" t="n"/>
      <c r="L32" s="59" t="n"/>
    </row>
    <row r="33" ht="26" customHeight="1">
      <c r="A33" s="58" t="n">
        <v>10</v>
      </c>
      <c r="B33" s="59" t="n"/>
      <c r="C33" s="60" t="inlineStr">
        <is>
          <t>PLNKN</t>
        </is>
      </c>
      <c r="D33" s="61" t="inlineStr">
        <is>
          <t>NUMC</t>
        </is>
      </c>
      <c r="E33" s="61" t="inlineStr">
        <is>
          <t>8</t>
        </is>
      </c>
      <c r="F33" s="51" t="inlineStr">
        <is>
          <t>PK</t>
        </is>
      </c>
      <c r="G33" s="63" t="inlineStr">
        <is>
          <t>Node number (operation)</t>
        </is>
      </c>
      <c r="H33" s="64" t="inlineStr">
        <is>
          <t>מספר צומת פעולה</t>
        </is>
      </c>
      <c r="I33" s="59" t="n"/>
      <c r="J33" s="59" t="n"/>
      <c r="K33" s="59" t="n"/>
      <c r="L33" s="59" t="n"/>
    </row>
    <row r="34" ht="26" customHeight="1">
      <c r="A34" s="47" t="n">
        <v>11</v>
      </c>
      <c r="B34" s="59" t="n"/>
      <c r="C34" s="49" t="inlineStr">
        <is>
          <t>VORNR</t>
        </is>
      </c>
      <c r="D34" s="50" t="inlineStr">
        <is>
          <t>CHAR</t>
        </is>
      </c>
      <c r="E34" s="50" t="inlineStr">
        <is>
          <t>4</t>
        </is>
      </c>
      <c r="F34" s="65" t="inlineStr">
        <is>
          <t>-</t>
        </is>
      </c>
      <c r="G34" s="52" t="inlineStr">
        <is>
          <t>Operation number</t>
        </is>
      </c>
      <c r="H34" s="53" t="inlineStr">
        <is>
          <t>מספר פעולה</t>
        </is>
      </c>
      <c r="I34" s="59" t="n"/>
      <c r="J34" s="59" t="n"/>
      <c r="K34" s="59" t="n"/>
      <c r="L34" s="59" t="n"/>
    </row>
    <row r="35" ht="26" customHeight="1">
      <c r="A35" s="58" t="n">
        <v>12</v>
      </c>
      <c r="B35" s="59" t="n"/>
      <c r="C35" s="60" t="inlineStr">
        <is>
          <t>ARBID</t>
        </is>
      </c>
      <c r="D35" s="61" t="inlineStr">
        <is>
          <t>NUMC</t>
        </is>
      </c>
      <c r="E35" s="61" t="inlineStr">
        <is>
          <t>8</t>
        </is>
      </c>
      <c r="F35" s="62" t="inlineStr">
        <is>
          <t>FK</t>
        </is>
      </c>
      <c r="G35" s="63" t="inlineStr">
        <is>
          <t>Work center / resource (object id)</t>
        </is>
      </c>
      <c r="H35" s="64" t="inlineStr">
        <is>
          <t>משאב (מזהה אובייקט)</t>
        </is>
      </c>
      <c r="I35" s="59" t="n"/>
      <c r="J35" s="59" t="n"/>
      <c r="K35" s="59" t="n"/>
      <c r="L35" s="59" t="n"/>
    </row>
    <row r="36" ht="26" customHeight="1">
      <c r="A36" s="47" t="n">
        <v>13</v>
      </c>
      <c r="B36" s="59" t="n"/>
      <c r="C36" s="49" t="inlineStr">
        <is>
          <t>STEUS</t>
        </is>
      </c>
      <c r="D36" s="50" t="inlineStr">
        <is>
          <t>CHAR</t>
        </is>
      </c>
      <c r="E36" s="50" t="inlineStr">
        <is>
          <t>4</t>
        </is>
      </c>
      <c r="F36" s="62" t="inlineStr">
        <is>
          <t>FK</t>
        </is>
      </c>
      <c r="G36" s="52" t="inlineStr">
        <is>
          <t>Control key</t>
        </is>
      </c>
      <c r="H36" s="53" t="inlineStr">
        <is>
          <t>מפתח בקרה</t>
        </is>
      </c>
      <c r="I36" s="59" t="n"/>
      <c r="J36" s="59" t="n"/>
      <c r="K36" s="59" t="n"/>
      <c r="L36" s="59" t="n"/>
    </row>
    <row r="37" ht="26" customHeight="1">
      <c r="A37" s="58" t="n">
        <v>14</v>
      </c>
      <c r="B37" s="59" t="n"/>
      <c r="C37" s="60" t="inlineStr">
        <is>
          <t>LTXA1</t>
        </is>
      </c>
      <c r="D37" s="61" t="inlineStr">
        <is>
          <t>CHAR</t>
        </is>
      </c>
      <c r="E37" s="61" t="inlineStr">
        <is>
          <t>40</t>
        </is>
      </c>
      <c r="F37" s="65" t="inlineStr">
        <is>
          <t>-</t>
        </is>
      </c>
      <c r="G37" s="63" t="inlineStr">
        <is>
          <t>Operation short text</t>
        </is>
      </c>
      <c r="H37" s="64" t="inlineStr">
        <is>
          <t>תיאור פעולה</t>
        </is>
      </c>
      <c r="I37" s="59" t="n"/>
      <c r="J37" s="59" t="n"/>
      <c r="K37" s="59" t="n"/>
      <c r="L37" s="59" t="n"/>
    </row>
    <row r="38" ht="26" customHeight="1">
      <c r="A38" s="47" t="n">
        <v>15</v>
      </c>
      <c r="B38" s="59" t="n"/>
      <c r="C38" s="49" t="inlineStr">
        <is>
          <t>VGW01</t>
        </is>
      </c>
      <c r="D38" s="50" t="inlineStr">
        <is>
          <t>QUAN</t>
        </is>
      </c>
      <c r="E38" s="50" t="inlineStr">
        <is>
          <t>9</t>
        </is>
      </c>
      <c r="F38" s="65" t="inlineStr">
        <is>
          <t>-</t>
        </is>
      </c>
      <c r="G38" s="52" t="inlineStr">
        <is>
          <t>Standard value 1 (setup)</t>
        </is>
      </c>
      <c r="H38" s="53" t="inlineStr">
        <is>
          <t>ערך תקן 1 (הקמה)</t>
        </is>
      </c>
      <c r="I38" s="59" t="n"/>
      <c r="J38" s="59" t="n"/>
      <c r="K38" s="59" t="n"/>
      <c r="L38" s="59" t="n"/>
    </row>
    <row r="39" ht="26" customHeight="1">
      <c r="A39" s="58" t="n">
        <v>16</v>
      </c>
      <c r="B39" s="66" t="n"/>
      <c r="C39" s="60" t="inlineStr">
        <is>
          <t>VGW02</t>
        </is>
      </c>
      <c r="D39" s="61" t="inlineStr">
        <is>
          <t>QUAN</t>
        </is>
      </c>
      <c r="E39" s="61" t="inlineStr">
        <is>
          <t>9</t>
        </is>
      </c>
      <c r="F39" s="65" t="inlineStr">
        <is>
          <t>-</t>
        </is>
      </c>
      <c r="G39" s="63" t="inlineStr">
        <is>
          <t>Standard value 2 (machine)</t>
        </is>
      </c>
      <c r="H39" s="64" t="inlineStr">
        <is>
          <t>ערך תקן 2 (מכונה)</t>
        </is>
      </c>
      <c r="I39" s="66" t="n"/>
      <c r="J39" s="66" t="n"/>
      <c r="K39" s="66" t="n"/>
      <c r="L39" s="66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2" customHeight="1">
      <c r="A41" s="46" t="inlineStr">
        <is>
          <t xml:space="preserve">  ◆ טבלה PLAS  -  שיוך/בחירת פעולות לרשימה  (Task list - operation selection)   |   T-codes: C202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6" customHeight="1">
      <c r="A42" s="47" t="n">
        <v>17</v>
      </c>
      <c r="B42" s="48" t="inlineStr">
        <is>
          <t>PLAS</t>
        </is>
      </c>
      <c r="C42" s="49" t="inlineStr">
        <is>
          <t>PLNTY</t>
        </is>
      </c>
      <c r="D42" s="50" t="inlineStr">
        <is>
          <t>CHAR</t>
        </is>
      </c>
      <c r="E42" s="50" t="inlineStr">
        <is>
          <t>1</t>
        </is>
      </c>
      <c r="F42" s="67" t="inlineStr">
        <is>
          <t>PK/FK</t>
        </is>
      </c>
      <c r="G42" s="52" t="inlineStr">
        <is>
          <t>Task list type</t>
        </is>
      </c>
      <c r="H42" s="53" t="inlineStr">
        <is>
          <t>סוג רשימה</t>
        </is>
      </c>
      <c r="I42" s="54" t="inlineStr">
        <is>
          <t>FROM PLAS JOIN PLKO ON PLAS.PLNTY = PLKO.PLNTY AND PLAS.PLNNR = PLKO.PLNNR</t>
        </is>
      </c>
      <c r="J42" s="55" t="inlineStr">
        <is>
          <t>מקשר פעולות (PLPO) לכותרת ולרצף, ושולט בתוקף לפי שינוי הנדסי. שכבת הבחירה של הפעולות התקפות.</t>
        </is>
      </c>
      <c r="K42" s="56" t="inlineStr">
        <is>
          <t>ללא שינוי.</t>
        </is>
      </c>
      <c r="L42" s="57" t="inlineStr">
        <is>
          <t>SAP Help - Operation Selection</t>
        </is>
      </c>
    </row>
    <row r="43" ht="26" customHeight="1">
      <c r="A43" s="58" t="n">
        <v>18</v>
      </c>
      <c r="B43" s="59" t="n"/>
      <c r="C43" s="60" t="inlineStr">
        <is>
          <t>PLNNR</t>
        </is>
      </c>
      <c r="D43" s="61" t="inlineStr">
        <is>
          <t>CHAR</t>
        </is>
      </c>
      <c r="E43" s="61" t="inlineStr">
        <is>
          <t>8</t>
        </is>
      </c>
      <c r="F43" s="67" t="inlineStr">
        <is>
          <t>PK/FK</t>
        </is>
      </c>
      <c r="G43" s="63" t="inlineStr">
        <is>
          <t>Task list group</t>
        </is>
      </c>
      <c r="H43" s="64" t="inlineStr">
        <is>
          <t>קבוצת רשימה</t>
        </is>
      </c>
      <c r="I43" s="59" t="n"/>
      <c r="J43" s="59" t="n"/>
      <c r="K43" s="59" t="n"/>
      <c r="L43" s="59" t="n"/>
    </row>
    <row r="44" ht="26" customHeight="1">
      <c r="A44" s="47" t="n">
        <v>19</v>
      </c>
      <c r="B44" s="59" t="n"/>
      <c r="C44" s="49" t="inlineStr">
        <is>
          <t>PLNAL</t>
        </is>
      </c>
      <c r="D44" s="50" t="inlineStr">
        <is>
          <t>CHAR</t>
        </is>
      </c>
      <c r="E44" s="50" t="inlineStr">
        <is>
          <t>2</t>
        </is>
      </c>
      <c r="F44" s="51" t="inlineStr">
        <is>
          <t>PK</t>
        </is>
      </c>
      <c r="G44" s="52" t="inlineStr">
        <is>
          <t>Group counter</t>
        </is>
      </c>
      <c r="H44" s="53" t="inlineStr">
        <is>
          <t>מונה קבוצה</t>
        </is>
      </c>
      <c r="I44" s="59" t="n"/>
      <c r="J44" s="59" t="n"/>
      <c r="K44" s="59" t="n"/>
      <c r="L44" s="59" t="n"/>
    </row>
    <row r="45" ht="26" customHeight="1">
      <c r="A45" s="58" t="n">
        <v>20</v>
      </c>
      <c r="B45" s="59" t="n"/>
      <c r="C45" s="60" t="inlineStr">
        <is>
          <t>PLNKN</t>
        </is>
      </c>
      <c r="D45" s="61" t="inlineStr">
        <is>
          <t>NUMC</t>
        </is>
      </c>
      <c r="E45" s="61" t="inlineStr">
        <is>
          <t>8</t>
        </is>
      </c>
      <c r="F45" s="51" t="inlineStr">
        <is>
          <t>PK</t>
        </is>
      </c>
      <c r="G45" s="63" t="inlineStr">
        <is>
          <t>Node number</t>
        </is>
      </c>
      <c r="H45" s="64" t="inlineStr">
        <is>
          <t>מספר צומת</t>
        </is>
      </c>
      <c r="I45" s="59" t="n"/>
      <c r="J45" s="59" t="n"/>
      <c r="K45" s="59" t="n"/>
      <c r="L45" s="59" t="n"/>
    </row>
    <row r="46" ht="26" customHeight="1">
      <c r="A46" s="47" t="n">
        <v>21</v>
      </c>
      <c r="B46" s="59" t="n"/>
      <c r="C46" s="49" t="inlineStr">
        <is>
          <t>ZAEHL</t>
        </is>
      </c>
      <c r="D46" s="50" t="inlineStr">
        <is>
          <t>NUMC</t>
        </is>
      </c>
      <c r="E46" s="50" t="inlineStr">
        <is>
          <t>8</t>
        </is>
      </c>
      <c r="F46" s="51" t="inlineStr">
        <is>
          <t>PK</t>
        </is>
      </c>
      <c r="G46" s="52" t="inlineStr">
        <is>
          <t>Internal counter</t>
        </is>
      </c>
      <c r="H46" s="53" t="inlineStr">
        <is>
          <t>מונה פנימי</t>
        </is>
      </c>
      <c r="I46" s="59" t="n"/>
      <c r="J46" s="59" t="n"/>
      <c r="K46" s="59" t="n"/>
      <c r="L46" s="59" t="n"/>
    </row>
    <row r="47" ht="26" customHeight="1">
      <c r="A47" s="58" t="n">
        <v>22</v>
      </c>
      <c r="B47" s="66" t="n"/>
      <c r="C47" s="60" t="inlineStr">
        <is>
          <t>LOEKZ</t>
        </is>
      </c>
      <c r="D47" s="61" t="inlineStr">
        <is>
          <t>CHAR</t>
        </is>
      </c>
      <c r="E47" s="61" t="inlineStr">
        <is>
          <t>1</t>
        </is>
      </c>
      <c r="F47" s="65" t="inlineStr">
        <is>
          <t>-</t>
        </is>
      </c>
      <c r="G47" s="63" t="inlineStr">
        <is>
          <t>Deletion indicator</t>
        </is>
      </c>
      <c r="H47" s="64" t="inlineStr">
        <is>
          <t>מחוון מחיקה</t>
        </is>
      </c>
      <c r="I47" s="66" t="n"/>
      <c r="J47" s="66" t="n"/>
      <c r="K47" s="66" t="n"/>
      <c r="L47" s="66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2" customHeight="1">
      <c r="A49" s="46" t="inlineStr">
        <is>
          <t xml:space="preserve">  ◆ טבלה PLFL  -  רצפים במתכון  (Task list - sequences)   |   T-codes: C202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6" customHeight="1">
      <c r="A50" s="47" t="n">
        <v>23</v>
      </c>
      <c r="B50" s="48" t="inlineStr">
        <is>
          <t>PLFL</t>
        </is>
      </c>
      <c r="C50" s="49" t="inlineStr">
        <is>
          <t>PLNTY</t>
        </is>
      </c>
      <c r="D50" s="50" t="inlineStr">
        <is>
          <t>CHAR</t>
        </is>
      </c>
      <c r="E50" s="50" t="inlineStr">
        <is>
          <t>1</t>
        </is>
      </c>
      <c r="F50" s="67" t="inlineStr">
        <is>
          <t>PK/FK</t>
        </is>
      </c>
      <c r="G50" s="52" t="inlineStr">
        <is>
          <t>Task list type</t>
        </is>
      </c>
      <c r="H50" s="53" t="inlineStr">
        <is>
          <t>סוג רשימה</t>
        </is>
      </c>
      <c r="I50" s="54" t="inlineStr">
        <is>
          <t>FROM PLFL JOIN PLKO ON PLFL.PLNNR = PLKO.PLNNR</t>
        </is>
      </c>
      <c r="J50" s="55" t="inlineStr">
        <is>
          <t>מגדיר רצפי פעולות (סטנדרטי/מקביל/חלופי) - מאפשר ייצור מקבילי בקווי בקבוק/פחית.</t>
        </is>
      </c>
      <c r="K50" s="56" t="inlineStr">
        <is>
          <t>ללא שינוי.</t>
        </is>
      </c>
      <c r="L50" s="57" t="inlineStr">
        <is>
          <t>SAP Help - Sequences</t>
        </is>
      </c>
    </row>
    <row r="51" ht="26" customHeight="1">
      <c r="A51" s="58" t="n">
        <v>24</v>
      </c>
      <c r="B51" s="59" t="n"/>
      <c r="C51" s="60" t="inlineStr">
        <is>
          <t>PLNNR</t>
        </is>
      </c>
      <c r="D51" s="61" t="inlineStr">
        <is>
          <t>CHAR</t>
        </is>
      </c>
      <c r="E51" s="61" t="inlineStr">
        <is>
          <t>8</t>
        </is>
      </c>
      <c r="F51" s="67" t="inlineStr">
        <is>
          <t>PK/FK</t>
        </is>
      </c>
      <c r="G51" s="63" t="inlineStr">
        <is>
          <t>Task list group</t>
        </is>
      </c>
      <c r="H51" s="64" t="inlineStr">
        <is>
          <t>קבוצת רשימה</t>
        </is>
      </c>
      <c r="I51" s="59" t="n"/>
      <c r="J51" s="59" t="n"/>
      <c r="K51" s="59" t="n"/>
      <c r="L51" s="59" t="n"/>
    </row>
    <row r="52" ht="26" customHeight="1">
      <c r="A52" s="47" t="n">
        <v>25</v>
      </c>
      <c r="B52" s="59" t="n"/>
      <c r="C52" s="49" t="inlineStr">
        <is>
          <t>PLNFL</t>
        </is>
      </c>
      <c r="D52" s="50" t="inlineStr">
        <is>
          <t>CHAR</t>
        </is>
      </c>
      <c r="E52" s="50" t="inlineStr">
        <is>
          <t>6</t>
        </is>
      </c>
      <c r="F52" s="51" t="inlineStr">
        <is>
          <t>PK</t>
        </is>
      </c>
      <c r="G52" s="52" t="inlineStr">
        <is>
          <t>Sequence number</t>
        </is>
      </c>
      <c r="H52" s="53" t="inlineStr">
        <is>
          <t>מספר רצף</t>
        </is>
      </c>
      <c r="I52" s="59" t="n"/>
      <c r="J52" s="59" t="n"/>
      <c r="K52" s="59" t="n"/>
      <c r="L52" s="59" t="n"/>
    </row>
    <row r="53" ht="26" customHeight="1">
      <c r="A53" s="58" t="n">
        <v>26</v>
      </c>
      <c r="B53" s="66" t="n"/>
      <c r="C53" s="60" t="inlineStr">
        <is>
          <t>FLGAT</t>
        </is>
      </c>
      <c r="D53" s="61" t="inlineStr">
        <is>
          <t>CHAR</t>
        </is>
      </c>
      <c r="E53" s="61" t="inlineStr">
        <is>
          <t>1</t>
        </is>
      </c>
      <c r="F53" s="65" t="inlineStr">
        <is>
          <t>-</t>
        </is>
      </c>
      <c r="G53" s="63" t="inlineStr">
        <is>
          <t>Sequence category</t>
        </is>
      </c>
      <c r="H53" s="64" t="inlineStr">
        <is>
          <t>קטגוריית רצף</t>
        </is>
      </c>
      <c r="I53" s="66" t="n"/>
      <c r="J53" s="66" t="n"/>
      <c r="K53" s="66" t="n"/>
      <c r="L53" s="66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2" customHeight="1">
      <c r="A55" s="46" t="inlineStr">
        <is>
          <t xml:space="preserve">  ◆ טבלה PLMZ  -  שיוך רכיבים לפעולות  (Component allocation (BOM to operation))   |   T-codes: C202 (Comp. Alloc.)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6" customHeight="1">
      <c r="A56" s="47" t="n">
        <v>27</v>
      </c>
      <c r="B56" s="48" t="inlineStr">
        <is>
          <t>PLMZ</t>
        </is>
      </c>
      <c r="C56" s="49" t="inlineStr">
        <is>
          <t>PLNTY</t>
        </is>
      </c>
      <c r="D56" s="50" t="inlineStr">
        <is>
          <t>CHAR</t>
        </is>
      </c>
      <c r="E56" s="50" t="inlineStr">
        <is>
          <t>1</t>
        </is>
      </c>
      <c r="F56" s="67" t="inlineStr">
        <is>
          <t>PK/FK</t>
        </is>
      </c>
      <c r="G56" s="52" t="inlineStr">
        <is>
          <t>Task list type</t>
        </is>
      </c>
      <c r="H56" s="53" t="inlineStr">
        <is>
          <t>סוג רשימה</t>
        </is>
      </c>
      <c r="I56" s="54" t="inlineStr">
        <is>
          <t>FROM PLMZ JOIN PLPO ON PLMZ.PLNKN = PLPO.PLNKN</t>
        </is>
      </c>
      <c r="J56" s="55" t="inlineStr">
        <is>
          <t>מקשר רכיבי עץ מוצר (STPO) לפעולות במתכון - קובע באיזו פאזה נצרך כל חומר גלם. בסיס לפליטת חומרים מדורגת בפק"ע.</t>
        </is>
      </c>
      <c r="K56" s="56" t="inlineStr">
        <is>
          <t>ללא שינוי.</t>
        </is>
      </c>
      <c r="L56" s="57" t="inlineStr">
        <is>
          <t>SAP Help - Component Allocation</t>
        </is>
      </c>
    </row>
    <row r="57" ht="26" customHeight="1">
      <c r="A57" s="58" t="n">
        <v>28</v>
      </c>
      <c r="B57" s="59" t="n"/>
      <c r="C57" s="60" t="inlineStr">
        <is>
          <t>PLNNR</t>
        </is>
      </c>
      <c r="D57" s="61" t="inlineStr">
        <is>
          <t>CHAR</t>
        </is>
      </c>
      <c r="E57" s="61" t="inlineStr">
        <is>
          <t>8</t>
        </is>
      </c>
      <c r="F57" s="67" t="inlineStr">
        <is>
          <t>PK/FK</t>
        </is>
      </c>
      <c r="G57" s="63" t="inlineStr">
        <is>
          <t>Task list group</t>
        </is>
      </c>
      <c r="H57" s="64" t="inlineStr">
        <is>
          <t>קבוצת רשימה</t>
        </is>
      </c>
      <c r="I57" s="59" t="n"/>
      <c r="J57" s="59" t="n"/>
      <c r="K57" s="59" t="n"/>
      <c r="L57" s="59" t="n"/>
    </row>
    <row r="58" ht="26" customHeight="1">
      <c r="A58" s="47" t="n">
        <v>29</v>
      </c>
      <c r="B58" s="59" t="n"/>
      <c r="C58" s="49" t="inlineStr">
        <is>
          <t>ZUONR</t>
        </is>
      </c>
      <c r="D58" s="50" t="inlineStr">
        <is>
          <t>NUMC</t>
        </is>
      </c>
      <c r="E58" s="50" t="inlineStr">
        <is>
          <t>8</t>
        </is>
      </c>
      <c r="F58" s="51" t="inlineStr">
        <is>
          <t>PK</t>
        </is>
      </c>
      <c r="G58" s="52" t="inlineStr">
        <is>
          <t>Allocation node</t>
        </is>
      </c>
      <c r="H58" s="53" t="inlineStr">
        <is>
          <t>צומת שיוך</t>
        </is>
      </c>
      <c r="I58" s="59" t="n"/>
      <c r="J58" s="59" t="n"/>
      <c r="K58" s="59" t="n"/>
      <c r="L58" s="59" t="n"/>
    </row>
    <row r="59" ht="26" customHeight="1">
      <c r="A59" s="58" t="n">
        <v>30</v>
      </c>
      <c r="B59" s="59" t="n"/>
      <c r="C59" s="60" t="inlineStr">
        <is>
          <t>PLNKN</t>
        </is>
      </c>
      <c r="D59" s="61" t="inlineStr">
        <is>
          <t>NUMC</t>
        </is>
      </c>
      <c r="E59" s="61" t="inlineStr">
        <is>
          <t>8</t>
        </is>
      </c>
      <c r="F59" s="62" t="inlineStr">
        <is>
          <t>FK</t>
        </is>
      </c>
      <c r="G59" s="63" t="inlineStr">
        <is>
          <t>Operation node</t>
        </is>
      </c>
      <c r="H59" s="64" t="inlineStr">
        <is>
          <t>צומת פעולה</t>
        </is>
      </c>
      <c r="I59" s="59" t="n"/>
      <c r="J59" s="59" t="n"/>
      <c r="K59" s="59" t="n"/>
      <c r="L59" s="59" t="n"/>
    </row>
    <row r="60" ht="26" customHeight="1">
      <c r="A60" s="47" t="n">
        <v>31</v>
      </c>
      <c r="B60" s="66" t="n"/>
      <c r="C60" s="49" t="inlineStr">
        <is>
          <t>STLKN</t>
        </is>
      </c>
      <c r="D60" s="50" t="inlineStr">
        <is>
          <t>NUMC</t>
        </is>
      </c>
      <c r="E60" s="50" t="inlineStr">
        <is>
          <t>8</t>
        </is>
      </c>
      <c r="F60" s="62" t="inlineStr">
        <is>
          <t>FK</t>
        </is>
      </c>
      <c r="G60" s="52" t="inlineStr">
        <is>
          <t>BOM item node</t>
        </is>
      </c>
      <c r="H60" s="53" t="inlineStr">
        <is>
          <t>צומת פריט עץ מוצר</t>
        </is>
      </c>
      <c r="I60" s="66" t="n"/>
      <c r="J60" s="66" t="n"/>
      <c r="K60" s="66" t="n"/>
      <c r="L60" s="66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22" customHeight="1">
      <c r="A62" s="46" t="inlineStr">
        <is>
          <t xml:space="preserve">  ◆ טבלה PLMK  -  מאפייני בדיקה במתכון  (Inspection characteristics)   |   T-codes: C202; QP01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26" customHeight="1">
      <c r="A63" s="58" t="n">
        <v>32</v>
      </c>
      <c r="B63" s="68" t="inlineStr">
        <is>
          <t>PLMK</t>
        </is>
      </c>
      <c r="C63" s="60" t="inlineStr">
        <is>
          <t>PLNTY</t>
        </is>
      </c>
      <c r="D63" s="61" t="inlineStr">
        <is>
          <t>CHAR</t>
        </is>
      </c>
      <c r="E63" s="61" t="inlineStr">
        <is>
          <t>1</t>
        </is>
      </c>
      <c r="F63" s="67" t="inlineStr">
        <is>
          <t>PK/FK</t>
        </is>
      </c>
      <c r="G63" s="63" t="inlineStr">
        <is>
          <t>Task list type</t>
        </is>
      </c>
      <c r="H63" s="64" t="inlineStr">
        <is>
          <t>סוג רשימה</t>
        </is>
      </c>
      <c r="I63" s="69" t="inlineStr">
        <is>
          <t>FROM PLMK JOIN PLPO ON PLMK.PLNKN = PLPO.PLNKN</t>
        </is>
      </c>
      <c r="J63" s="70" t="inlineStr">
        <is>
          <t>מאפייני בדיקת איכות המשובצים בפעולות המתכון (Brix, pH, CO2, טמפ'). מפעיל מסמכי בדיקה אוטומטיים בפק"ע - לב בקרת האיכות של CBC.</t>
        </is>
      </c>
      <c r="K63" s="71" t="inlineStr">
        <is>
          <t>ללא שינוי מבני.</t>
        </is>
      </c>
      <c r="L63" s="72" t="inlineStr">
        <is>
          <t>SAP Help - Inspection Characteristics</t>
        </is>
      </c>
    </row>
    <row r="64" ht="26" customHeight="1">
      <c r="A64" s="47" t="n">
        <v>33</v>
      </c>
      <c r="B64" s="59" t="n"/>
      <c r="C64" s="49" t="inlineStr">
        <is>
          <t>PLNNR</t>
        </is>
      </c>
      <c r="D64" s="50" t="inlineStr">
        <is>
          <t>CHAR</t>
        </is>
      </c>
      <c r="E64" s="50" t="inlineStr">
        <is>
          <t>8</t>
        </is>
      </c>
      <c r="F64" s="67" t="inlineStr">
        <is>
          <t>PK/FK</t>
        </is>
      </c>
      <c r="G64" s="52" t="inlineStr">
        <is>
          <t>Task list group</t>
        </is>
      </c>
      <c r="H64" s="53" t="inlineStr">
        <is>
          <t>קבוצת רשימה</t>
        </is>
      </c>
      <c r="I64" s="59" t="n"/>
      <c r="J64" s="59" t="n"/>
      <c r="K64" s="59" t="n"/>
      <c r="L64" s="59" t="n"/>
    </row>
    <row r="65" ht="26" customHeight="1">
      <c r="A65" s="58" t="n">
        <v>34</v>
      </c>
      <c r="B65" s="59" t="n"/>
      <c r="C65" s="60" t="inlineStr">
        <is>
          <t>MERKNR</t>
        </is>
      </c>
      <c r="D65" s="61" t="inlineStr">
        <is>
          <t>NUMC</t>
        </is>
      </c>
      <c r="E65" s="61" t="inlineStr">
        <is>
          <t>4</t>
        </is>
      </c>
      <c r="F65" s="51" t="inlineStr">
        <is>
          <t>PK</t>
        </is>
      </c>
      <c r="G65" s="63" t="inlineStr">
        <is>
          <t>Inspection characteristic number</t>
        </is>
      </c>
      <c r="H65" s="64" t="inlineStr">
        <is>
          <t>מספר מאפיין בדיקה</t>
        </is>
      </c>
      <c r="I65" s="59" t="n"/>
      <c r="J65" s="59" t="n"/>
      <c r="K65" s="59" t="n"/>
      <c r="L65" s="59" t="n"/>
    </row>
    <row r="66" ht="26" customHeight="1">
      <c r="A66" s="47" t="n">
        <v>35</v>
      </c>
      <c r="B66" s="59" t="n"/>
      <c r="C66" s="49" t="inlineStr">
        <is>
          <t>PLNKN</t>
        </is>
      </c>
      <c r="D66" s="50" t="inlineStr">
        <is>
          <t>NUMC</t>
        </is>
      </c>
      <c r="E66" s="50" t="inlineStr">
        <is>
          <t>8</t>
        </is>
      </c>
      <c r="F66" s="62" t="inlineStr">
        <is>
          <t>FK</t>
        </is>
      </c>
      <c r="G66" s="52" t="inlineStr">
        <is>
          <t>Operation node</t>
        </is>
      </c>
      <c r="H66" s="53" t="inlineStr">
        <is>
          <t>צומת פעולה</t>
        </is>
      </c>
      <c r="I66" s="59" t="n"/>
      <c r="J66" s="59" t="n"/>
      <c r="K66" s="59" t="n"/>
      <c r="L66" s="59" t="n"/>
    </row>
    <row r="67" ht="26" customHeight="1">
      <c r="A67" s="58" t="n">
        <v>36</v>
      </c>
      <c r="B67" s="59" t="n"/>
      <c r="C67" s="60" t="inlineStr">
        <is>
          <t>VERWMERKM</t>
        </is>
      </c>
      <c r="D67" s="61" t="inlineStr">
        <is>
          <t>CHAR</t>
        </is>
      </c>
      <c r="E67" s="61" t="inlineStr">
        <is>
          <t>8</t>
        </is>
      </c>
      <c r="F67" s="62" t="inlineStr">
        <is>
          <t>FK</t>
        </is>
      </c>
      <c r="G67" s="63" t="inlineStr">
        <is>
          <t>Master inspection characteristic</t>
        </is>
      </c>
      <c r="H67" s="64" t="inlineStr">
        <is>
          <t>מאפיין בדיקה ראשי</t>
        </is>
      </c>
      <c r="I67" s="59" t="n"/>
      <c r="J67" s="59" t="n"/>
      <c r="K67" s="59" t="n"/>
      <c r="L67" s="59" t="n"/>
    </row>
    <row r="68" ht="26" customHeight="1">
      <c r="A68" s="47" t="n">
        <v>37</v>
      </c>
      <c r="B68" s="66" t="n"/>
      <c r="C68" s="49" t="inlineStr">
        <is>
          <t>SOLLWERT</t>
        </is>
      </c>
      <c r="D68" s="50" t="inlineStr">
        <is>
          <t>CHAR</t>
        </is>
      </c>
      <c r="E68" s="50" t="inlineStr">
        <is>
          <t>18</t>
        </is>
      </c>
      <c r="F68" s="65" t="inlineStr">
        <is>
          <t>-</t>
        </is>
      </c>
      <c r="G68" s="52" t="inlineStr">
        <is>
          <t>Target value</t>
        </is>
      </c>
      <c r="H68" s="53" t="inlineStr">
        <is>
          <t>ערך יעד</t>
        </is>
      </c>
      <c r="I68" s="66" t="n"/>
      <c r="J68" s="66" t="n"/>
      <c r="K68" s="66" t="n"/>
      <c r="L68" s="66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22" customHeight="1">
      <c r="A70" s="46" t="inlineStr">
        <is>
          <t xml:space="preserve">  ◆ טבלה MAPL  -  שיוך חומר למתכון/רשימת פעולות  (Material to task list assignment)   |   T-codes: C201/C202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26" customHeight="1">
      <c r="A71" s="58" t="n">
        <v>38</v>
      </c>
      <c r="B71" s="68" t="inlineStr">
        <is>
          <t>MAPL</t>
        </is>
      </c>
      <c r="C71" s="60" t="inlineStr">
        <is>
          <t>MATNR</t>
        </is>
      </c>
      <c r="D71" s="61" t="inlineStr">
        <is>
          <t>CHAR</t>
        </is>
      </c>
      <c r="E71" s="61" t="inlineStr">
        <is>
          <t>18-&gt;40</t>
        </is>
      </c>
      <c r="F71" s="67" t="inlineStr">
        <is>
          <t>PK/FK</t>
        </is>
      </c>
      <c r="G71" s="63" t="inlineStr">
        <is>
          <t>Material number</t>
        </is>
      </c>
      <c r="H71" s="64" t="inlineStr">
        <is>
          <t>מספר חומר</t>
        </is>
      </c>
      <c r="I71" s="69" t="inlineStr">
        <is>
          <t>FROM MAPL JOIN MARC ON MAPL.MATNR = MARC.MATNR AND MAPL.WERKS = MARC.WERKS</t>
        </is>
      </c>
      <c r="J71" s="70" t="inlineStr">
        <is>
          <t>מקשר בין חומר (מוצר) למתכון הייצור שלו במפעל. נקודת ההצטרפות שגרסת הייצור (MKAL) מצביעה אליה.</t>
        </is>
      </c>
      <c r="K71" s="71" t="inlineStr">
        <is>
          <t>ללא שינוי.</t>
        </is>
      </c>
      <c r="L71" s="72" t="inlineStr">
        <is>
          <t>SAP Help - Material Assignment</t>
        </is>
      </c>
    </row>
    <row r="72" ht="26" customHeight="1">
      <c r="A72" s="47" t="n">
        <v>39</v>
      </c>
      <c r="B72" s="59" t="n"/>
      <c r="C72" s="49" t="inlineStr">
        <is>
          <t>WERKS</t>
        </is>
      </c>
      <c r="D72" s="50" t="inlineStr">
        <is>
          <t>CHAR</t>
        </is>
      </c>
      <c r="E72" s="50" t="inlineStr">
        <is>
          <t>4</t>
        </is>
      </c>
      <c r="F72" s="51" t="inlineStr">
        <is>
          <t>PK</t>
        </is>
      </c>
      <c r="G72" s="52" t="inlineStr">
        <is>
          <t>Plant</t>
        </is>
      </c>
      <c r="H72" s="53" t="inlineStr">
        <is>
          <t>מפעל</t>
        </is>
      </c>
      <c r="I72" s="59" t="n"/>
      <c r="J72" s="59" t="n"/>
      <c r="K72" s="59" t="n"/>
      <c r="L72" s="59" t="n"/>
    </row>
    <row r="73" ht="26" customHeight="1">
      <c r="A73" s="58" t="n">
        <v>40</v>
      </c>
      <c r="B73" s="59" t="n"/>
      <c r="C73" s="60" t="inlineStr">
        <is>
          <t>PLNTY</t>
        </is>
      </c>
      <c r="D73" s="61" t="inlineStr">
        <is>
          <t>CHAR</t>
        </is>
      </c>
      <c r="E73" s="61" t="inlineStr">
        <is>
          <t>1</t>
        </is>
      </c>
      <c r="F73" s="62" t="inlineStr">
        <is>
          <t>FK</t>
        </is>
      </c>
      <c r="G73" s="63" t="inlineStr">
        <is>
          <t>Task list type</t>
        </is>
      </c>
      <c r="H73" s="64" t="inlineStr">
        <is>
          <t>סוג רשימה</t>
        </is>
      </c>
      <c r="I73" s="59" t="n"/>
      <c r="J73" s="59" t="n"/>
      <c r="K73" s="59" t="n"/>
      <c r="L73" s="59" t="n"/>
    </row>
    <row r="74" ht="26" customHeight="1">
      <c r="A74" s="47" t="n">
        <v>41</v>
      </c>
      <c r="B74" s="59" t="n"/>
      <c r="C74" s="49" t="inlineStr">
        <is>
          <t>PLNNR</t>
        </is>
      </c>
      <c r="D74" s="50" t="inlineStr">
        <is>
          <t>CHAR</t>
        </is>
      </c>
      <c r="E74" s="50" t="inlineStr">
        <is>
          <t>8</t>
        </is>
      </c>
      <c r="F74" s="62" t="inlineStr">
        <is>
          <t>FK</t>
        </is>
      </c>
      <c r="G74" s="52" t="inlineStr">
        <is>
          <t>Task list group</t>
        </is>
      </c>
      <c r="H74" s="53" t="inlineStr">
        <is>
          <t>קבוצת רשימה</t>
        </is>
      </c>
      <c r="I74" s="59" t="n"/>
      <c r="J74" s="59" t="n"/>
      <c r="K74" s="59" t="n"/>
      <c r="L74" s="59" t="n"/>
    </row>
    <row r="75" ht="26" customHeight="1">
      <c r="A75" s="58" t="n">
        <v>42</v>
      </c>
      <c r="B75" s="66" t="n"/>
      <c r="C75" s="60" t="inlineStr">
        <is>
          <t>PLNAL</t>
        </is>
      </c>
      <c r="D75" s="61" t="inlineStr">
        <is>
          <t>CHAR</t>
        </is>
      </c>
      <c r="E75" s="61" t="inlineStr">
        <is>
          <t>2</t>
        </is>
      </c>
      <c r="F75" s="62" t="inlineStr">
        <is>
          <t>FK</t>
        </is>
      </c>
      <c r="G75" s="63" t="inlineStr">
        <is>
          <t>Group counter</t>
        </is>
      </c>
      <c r="H75" s="64" t="inlineStr">
        <is>
          <t>מונה קבוצה</t>
        </is>
      </c>
      <c r="I75" s="66" t="n"/>
      <c r="J75" s="66" t="n"/>
      <c r="K75" s="66" t="n"/>
      <c r="L75" s="66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22" customHeight="1">
      <c r="A77" s="46" t="inlineStr">
        <is>
          <t xml:space="preserve">  ◆ טבלה FHMI  -  שיוך כלי עזר ייצור (PRT) לפעולה  (Production resources/tools allocation)   |   T-codes: C202 (PRT)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26" customHeight="1">
      <c r="A78" s="47" t="n">
        <v>43</v>
      </c>
      <c r="B78" s="48" t="inlineStr">
        <is>
          <t>FHMI</t>
        </is>
      </c>
      <c r="C78" s="49" t="inlineStr">
        <is>
          <t>PLNTY</t>
        </is>
      </c>
      <c r="D78" s="50" t="inlineStr">
        <is>
          <t>CHAR</t>
        </is>
      </c>
      <c r="E78" s="50" t="inlineStr">
        <is>
          <t>1</t>
        </is>
      </c>
      <c r="F78" s="67" t="inlineStr">
        <is>
          <t>PK/FK</t>
        </is>
      </c>
      <c r="G78" s="52" t="inlineStr">
        <is>
          <t>Task list type</t>
        </is>
      </c>
      <c r="H78" s="53" t="inlineStr">
        <is>
          <t>סוג רשימה</t>
        </is>
      </c>
      <c r="I78" s="54" t="inlineStr">
        <is>
          <t>FROM FHMI JOIN PLPO ON FHMI.PLNKN = PLPO.PLNKN</t>
        </is>
      </c>
      <c r="J78" s="55" t="inlineStr">
        <is>
          <t>מקשר כלי עזר ייצור (תבניות, מסננים, פורמטים) לפעולות המתכון - מעקב כיול וזמינות PRT.</t>
        </is>
      </c>
      <c r="K78" s="56" t="inlineStr">
        <is>
          <t>ללא שינוי.</t>
        </is>
      </c>
      <c r="L78" s="57" t="inlineStr">
        <is>
          <t>SAP Help - PRT</t>
        </is>
      </c>
    </row>
    <row r="79" ht="26" customHeight="1">
      <c r="A79" s="58" t="n">
        <v>44</v>
      </c>
      <c r="B79" s="59" t="n"/>
      <c r="C79" s="60" t="inlineStr">
        <is>
          <t>PLNNR</t>
        </is>
      </c>
      <c r="D79" s="61" t="inlineStr">
        <is>
          <t>CHAR</t>
        </is>
      </c>
      <c r="E79" s="61" t="inlineStr">
        <is>
          <t>8</t>
        </is>
      </c>
      <c r="F79" s="67" t="inlineStr">
        <is>
          <t>PK/FK</t>
        </is>
      </c>
      <c r="G79" s="63" t="inlineStr">
        <is>
          <t>Task list group</t>
        </is>
      </c>
      <c r="H79" s="64" t="inlineStr">
        <is>
          <t>קבוצת רשימה</t>
        </is>
      </c>
      <c r="I79" s="59" t="n"/>
      <c r="J79" s="59" t="n"/>
      <c r="K79" s="59" t="n"/>
      <c r="L79" s="59" t="n"/>
    </row>
    <row r="80" ht="26" customHeight="1">
      <c r="A80" s="47" t="n">
        <v>45</v>
      </c>
      <c r="B80" s="59" t="n"/>
      <c r="C80" s="49" t="inlineStr">
        <is>
          <t>PLNKN</t>
        </is>
      </c>
      <c r="D80" s="50" t="inlineStr">
        <is>
          <t>NUMC</t>
        </is>
      </c>
      <c r="E80" s="50" t="inlineStr">
        <is>
          <t>8</t>
        </is>
      </c>
      <c r="F80" s="62" t="inlineStr">
        <is>
          <t>FK</t>
        </is>
      </c>
      <c r="G80" s="52" t="inlineStr">
        <is>
          <t>Operation node</t>
        </is>
      </c>
      <c r="H80" s="53" t="inlineStr">
        <is>
          <t>צומת פעולה</t>
        </is>
      </c>
      <c r="I80" s="59" t="n"/>
      <c r="J80" s="59" t="n"/>
      <c r="K80" s="59" t="n"/>
      <c r="L80" s="59" t="n"/>
    </row>
    <row r="81" ht="26" customHeight="1">
      <c r="A81" s="58" t="n">
        <v>46</v>
      </c>
      <c r="B81" s="66" t="n"/>
      <c r="C81" s="60" t="inlineStr">
        <is>
          <t>FHMNR</t>
        </is>
      </c>
      <c r="D81" s="61" t="inlineStr">
        <is>
          <t>CHAR</t>
        </is>
      </c>
      <c r="E81" s="61" t="inlineStr">
        <is>
          <t>18</t>
        </is>
      </c>
      <c r="F81" s="62" t="inlineStr">
        <is>
          <t>FK</t>
        </is>
      </c>
      <c r="G81" s="63" t="inlineStr">
        <is>
          <t>PRT (resource/tool)</t>
        </is>
      </c>
      <c r="H81" s="64" t="inlineStr">
        <is>
          <t>כלי עזר ייצור</t>
        </is>
      </c>
      <c r="I81" s="66" t="n"/>
      <c r="J81" s="66" t="n"/>
      <c r="K81" s="66" t="n"/>
      <c r="L81" s="66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22" customHeight="1">
      <c r="A83" s="46" t="inlineStr">
        <is>
          <t xml:space="preserve">  ◆ טבלה PLZU  -  קישור היסטוריית רשימת פעולות  (Task list link / history)   |   T-codes: C202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26" customHeight="1">
      <c r="A84" s="47" t="n">
        <v>47</v>
      </c>
      <c r="B84" s="48" t="inlineStr">
        <is>
          <t>PLZU</t>
        </is>
      </c>
      <c r="C84" s="49" t="inlineStr">
        <is>
          <t>PLNTY</t>
        </is>
      </c>
      <c r="D84" s="50" t="inlineStr">
        <is>
          <t>CHAR</t>
        </is>
      </c>
      <c r="E84" s="50" t="inlineStr">
        <is>
          <t>1</t>
        </is>
      </c>
      <c r="F84" s="67" t="inlineStr">
        <is>
          <t>PK/FK</t>
        </is>
      </c>
      <c r="G84" s="52" t="inlineStr">
        <is>
          <t>Task list type</t>
        </is>
      </c>
      <c r="H84" s="53" t="inlineStr">
        <is>
          <t>סוג רשימה</t>
        </is>
      </c>
      <c r="I84" s="54" t="inlineStr">
        <is>
          <t>FROM PLZU JOIN PLKO ON PLZU.PLNNR = PLKO.PLNNR</t>
        </is>
      </c>
      <c r="J84" s="55" t="inlineStr">
        <is>
          <t>מנהל גרסאות ושינויים הנדסיים של רשימת הפעולות/המתכון - מעקב אחר עדכוני מתכון מאושרים.</t>
        </is>
      </c>
      <c r="K84" s="56" t="inlineStr">
        <is>
          <t>ללא שינוי.</t>
        </is>
      </c>
      <c r="L84" s="57" t="inlineStr">
        <is>
          <t>SAP Help - Task List Change</t>
        </is>
      </c>
    </row>
    <row r="85" ht="26" customHeight="1">
      <c r="A85" s="58" t="n">
        <v>48</v>
      </c>
      <c r="B85" s="59" t="n"/>
      <c r="C85" s="60" t="inlineStr">
        <is>
          <t>PLNNR</t>
        </is>
      </c>
      <c r="D85" s="61" t="inlineStr">
        <is>
          <t>CHAR</t>
        </is>
      </c>
      <c r="E85" s="61" t="inlineStr">
        <is>
          <t>8</t>
        </is>
      </c>
      <c r="F85" s="67" t="inlineStr">
        <is>
          <t>PK/FK</t>
        </is>
      </c>
      <c r="G85" s="63" t="inlineStr">
        <is>
          <t>Task list group</t>
        </is>
      </c>
      <c r="H85" s="64" t="inlineStr">
        <is>
          <t>קבוצת רשימה</t>
        </is>
      </c>
      <c r="I85" s="59" t="n"/>
      <c r="J85" s="59" t="n"/>
      <c r="K85" s="59" t="n"/>
      <c r="L85" s="59" t="n"/>
    </row>
    <row r="86" ht="26" customHeight="1">
      <c r="A86" s="47" t="n">
        <v>49</v>
      </c>
      <c r="B86" s="66" t="n"/>
      <c r="C86" s="49" t="inlineStr">
        <is>
          <t>AENNR</t>
        </is>
      </c>
      <c r="D86" s="50" t="inlineStr">
        <is>
          <t>CHAR</t>
        </is>
      </c>
      <c r="E86" s="50" t="inlineStr">
        <is>
          <t>12</t>
        </is>
      </c>
      <c r="F86" s="62" t="inlineStr">
        <is>
          <t>FK</t>
        </is>
      </c>
      <c r="G86" s="52" t="inlineStr">
        <is>
          <t>Change number</t>
        </is>
      </c>
      <c r="H86" s="53" t="inlineStr">
        <is>
          <t>מספר שינוי</t>
        </is>
      </c>
      <c r="I86" s="66" t="n"/>
      <c r="J86" s="66" t="n"/>
      <c r="K86" s="66" t="n"/>
      <c r="L86" s="66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22" customHeight="1">
      <c r="A88" s="46" t="inlineStr">
        <is>
          <t xml:space="preserve">  ◆ טבלה TC60  -  מאפייני הוראות תהליך (PI)  (Process instruction characteristics)   |   T-codes: O09C; SPRO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26" customHeight="1">
      <c r="A89" s="58" t="n">
        <v>50</v>
      </c>
      <c r="B89" s="68" t="inlineStr">
        <is>
          <t>TC60</t>
        </is>
      </c>
      <c r="C89" s="60" t="inlineStr">
        <is>
          <t>STEUS</t>
        </is>
      </c>
      <c r="D89" s="61" t="inlineStr">
        <is>
          <t>CHAR</t>
        </is>
      </c>
      <c r="E89" s="61" t="inlineStr">
        <is>
          <t>4</t>
        </is>
      </c>
      <c r="F89" s="51" t="inlineStr">
        <is>
          <t>PK</t>
        </is>
      </c>
      <c r="G89" s="63" t="inlineStr">
        <is>
          <t>Control key</t>
        </is>
      </c>
      <c r="H89" s="64" t="inlineStr">
        <is>
          <t>מפתח בקרה</t>
        </is>
      </c>
      <c r="I89" s="69" t="inlineStr">
        <is>
          <t>FROM PLPO JOIN TC60 ON PLPO.STEUS = TC60.STEUS</t>
        </is>
      </c>
      <c r="J89" s="70" t="inlineStr">
        <is>
          <t>מגדיר את מאפייני הוראות התהליך (Process Instructions) שנשלחים לבקר/PI sheet בעת שחרור פק"ע - לב ה-PP-PI מול אוטומציית הקו.</t>
        </is>
      </c>
      <c r="K89" s="71" t="inlineStr">
        <is>
          <t>ללא שינוי (Customizing).</t>
        </is>
      </c>
      <c r="L89" s="72" t="inlineStr">
        <is>
          <t>SAP Help - Process Instructions</t>
        </is>
      </c>
    </row>
    <row r="90" ht="26" customHeight="1">
      <c r="A90" s="47" t="n">
        <v>51</v>
      </c>
      <c r="B90" s="59" t="n"/>
      <c r="C90" s="49" t="inlineStr">
        <is>
          <t>PVZNR</t>
        </is>
      </c>
      <c r="D90" s="50" t="inlineStr">
        <is>
          <t>NUMC</t>
        </is>
      </c>
      <c r="E90" s="50" t="inlineStr">
        <is>
          <t>4</t>
        </is>
      </c>
      <c r="F90" s="51" t="inlineStr">
        <is>
          <t>PK</t>
        </is>
      </c>
      <c r="G90" s="52" t="inlineStr">
        <is>
          <t>PI characteristic number</t>
        </is>
      </c>
      <c r="H90" s="53" t="inlineStr">
        <is>
          <t>מספר מאפיין PI</t>
        </is>
      </c>
      <c r="I90" s="59" t="n"/>
      <c r="J90" s="59" t="n"/>
      <c r="K90" s="59" t="n"/>
      <c r="L90" s="59" t="n"/>
    </row>
    <row r="91" ht="26" customHeight="1">
      <c r="A91" s="58" t="n">
        <v>52</v>
      </c>
      <c r="B91" s="66" t="n"/>
      <c r="C91" s="60" t="inlineStr">
        <is>
          <t>ATNAM</t>
        </is>
      </c>
      <c r="D91" s="61" t="inlineStr">
        <is>
          <t>CHAR</t>
        </is>
      </c>
      <c r="E91" s="61" t="inlineStr">
        <is>
          <t>30</t>
        </is>
      </c>
      <c r="F91" s="62" t="inlineStr">
        <is>
          <t>FK</t>
        </is>
      </c>
      <c r="G91" s="63" t="inlineStr">
        <is>
          <t>Characteristic name</t>
        </is>
      </c>
      <c r="H91" s="64" t="inlineStr">
        <is>
          <t>שם מאפיין</t>
        </is>
      </c>
      <c r="I91" s="66" t="n"/>
      <c r="J91" s="66" t="n"/>
      <c r="K91" s="66" t="n"/>
      <c r="L91" s="66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22" customHeight="1">
      <c r="A93" s="46" t="inlineStr">
        <is>
          <t xml:space="preserve">  ◆ טבלה TCA01  -  פרופיל רשימת פעולות (Customizing)  (Task list profile)   |   T-codes: SPRO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26" customHeight="1">
      <c r="A94" s="47" t="n">
        <v>53</v>
      </c>
      <c r="B94" s="48" t="inlineStr">
        <is>
          <t>TCA01</t>
        </is>
      </c>
      <c r="C94" s="49" t="inlineStr">
        <is>
          <t>PROFIDNETZ</t>
        </is>
      </c>
      <c r="D94" s="50" t="inlineStr">
        <is>
          <t>CHAR</t>
        </is>
      </c>
      <c r="E94" s="50" t="inlineStr">
        <is>
          <t>7</t>
        </is>
      </c>
      <c r="F94" s="51" t="inlineStr">
        <is>
          <t>PK</t>
        </is>
      </c>
      <c r="G94" s="52" t="inlineStr">
        <is>
          <t>Profile ID</t>
        </is>
      </c>
      <c r="H94" s="53" t="inlineStr">
        <is>
          <t>מזהה פרופיל</t>
        </is>
      </c>
      <c r="I94" s="54" t="inlineStr">
        <is>
          <t>FROM PLKO JOIN TCA01 ON PLKO.PROFIDNETZ = TCA01.PROFIDNETZ</t>
        </is>
      </c>
      <c r="J94" s="55" t="inlineStr">
        <is>
          <t>פרופיל ברירת מחדל לרשימות פעולות/מתכונים (ערכי ברירת מחדל למפתחות בקרה, יחידות). מאיץ תחזוקת מתכונים אחידה.</t>
        </is>
      </c>
      <c r="K94" s="56" t="inlineStr">
        <is>
          <t>ללא שינוי (Customizing).</t>
        </is>
      </c>
      <c r="L94" s="57" t="inlineStr">
        <is>
          <t>SAP Help - Task List Profile</t>
        </is>
      </c>
    </row>
    <row r="95" ht="26" customHeight="1">
      <c r="A95" s="58" t="n">
        <v>54</v>
      </c>
      <c r="B95" s="59" t="n"/>
      <c r="C95" s="60" t="inlineStr">
        <is>
          <t>PLNTY</t>
        </is>
      </c>
      <c r="D95" s="61" t="inlineStr">
        <is>
          <t>CHAR</t>
        </is>
      </c>
      <c r="E95" s="61" t="inlineStr">
        <is>
          <t>1</t>
        </is>
      </c>
      <c r="F95" s="62" t="inlineStr">
        <is>
          <t>FK</t>
        </is>
      </c>
      <c r="G95" s="63" t="inlineStr">
        <is>
          <t>Task list type</t>
        </is>
      </c>
      <c r="H95" s="64" t="inlineStr">
        <is>
          <t>סוג רשימה</t>
        </is>
      </c>
      <c r="I95" s="59" t="n"/>
      <c r="J95" s="59" t="n"/>
      <c r="K95" s="59" t="n"/>
      <c r="L95" s="59" t="n"/>
    </row>
    <row r="96" ht="26" customHeight="1">
      <c r="A96" s="47" t="n">
        <v>55</v>
      </c>
      <c r="B96" s="66" t="n"/>
      <c r="C96" s="49" t="inlineStr">
        <is>
          <t>STEUS</t>
        </is>
      </c>
      <c r="D96" s="50" t="inlineStr">
        <is>
          <t>CHAR</t>
        </is>
      </c>
      <c r="E96" s="50" t="inlineStr">
        <is>
          <t>4</t>
        </is>
      </c>
      <c r="F96" s="62" t="inlineStr">
        <is>
          <t>FK</t>
        </is>
      </c>
      <c r="G96" s="52" t="inlineStr">
        <is>
          <t>Default control key</t>
        </is>
      </c>
      <c r="H96" s="53" t="inlineStr">
        <is>
          <t>מפתח בקרה ברירת מחדל</t>
        </is>
      </c>
      <c r="I96" s="66" t="n"/>
      <c r="J96" s="66" t="n"/>
      <c r="K96" s="66" t="n"/>
      <c r="L96" s="66" t="n"/>
    </row>
  </sheetData>
  <mergeCells count="107">
    <mergeCell ref="I71:I75"/>
    <mergeCell ref="E18:L18"/>
    <mergeCell ref="K71:K75"/>
    <mergeCell ref="B50:B53"/>
    <mergeCell ref="B84:B86"/>
    <mergeCell ref="A21:L21"/>
    <mergeCell ref="C13:F13"/>
    <mergeCell ref="G14:L14"/>
    <mergeCell ref="B94:B96"/>
    <mergeCell ref="B78:B81"/>
    <mergeCell ref="B22:B28"/>
    <mergeCell ref="L42:L47"/>
    <mergeCell ref="A93:L93"/>
    <mergeCell ref="A16:D16"/>
    <mergeCell ref="C10:F10"/>
    <mergeCell ref="I42:I47"/>
    <mergeCell ref="J84:J86"/>
    <mergeCell ref="A77:L77"/>
    <mergeCell ref="K42:K47"/>
    <mergeCell ref="A83:L83"/>
    <mergeCell ref="A49:L49"/>
    <mergeCell ref="A6:C6"/>
    <mergeCell ref="J89:J91"/>
    <mergeCell ref="K84:K86"/>
    <mergeCell ref="L89:L91"/>
    <mergeCell ref="A17:D17"/>
    <mergeCell ref="G10:L10"/>
    <mergeCell ref="A11:B11"/>
    <mergeCell ref="J56:J60"/>
    <mergeCell ref="L56:L60"/>
    <mergeCell ref="A19:D19"/>
    <mergeCell ref="A3:L3"/>
    <mergeCell ref="I94:I96"/>
    <mergeCell ref="A55:L55"/>
    <mergeCell ref="E17:L17"/>
    <mergeCell ref="A5:C5"/>
    <mergeCell ref="I6:L6"/>
    <mergeCell ref="E19:L19"/>
    <mergeCell ref="B42:B47"/>
    <mergeCell ref="J71:J75"/>
    <mergeCell ref="J31:J39"/>
    <mergeCell ref="C14:F14"/>
    <mergeCell ref="A4:L4"/>
    <mergeCell ref="L31:L39"/>
    <mergeCell ref="I89:I91"/>
    <mergeCell ref="K89:K91"/>
    <mergeCell ref="I31:I39"/>
    <mergeCell ref="J50:J53"/>
    <mergeCell ref="I7:L7"/>
    <mergeCell ref="L50:L53"/>
    <mergeCell ref="G12:L12"/>
    <mergeCell ref="I50:I53"/>
    <mergeCell ref="A10:B10"/>
    <mergeCell ref="D5:H5"/>
    <mergeCell ref="I63:I68"/>
    <mergeCell ref="A7:C7"/>
    <mergeCell ref="J94:J96"/>
    <mergeCell ref="L94:L96"/>
    <mergeCell ref="J78:J81"/>
    <mergeCell ref="L78:L81"/>
    <mergeCell ref="A1:B1"/>
    <mergeCell ref="B89:B91"/>
    <mergeCell ref="J22:J28"/>
    <mergeCell ref="I84:I86"/>
    <mergeCell ref="A12:B12"/>
    <mergeCell ref="D7:H7"/>
    <mergeCell ref="A14:B14"/>
    <mergeCell ref="J63:J68"/>
    <mergeCell ref="L63:L68"/>
    <mergeCell ref="C1:L1"/>
    <mergeCell ref="G11:L11"/>
    <mergeCell ref="D8:H8"/>
    <mergeCell ref="A15:L15"/>
    <mergeCell ref="C12:F12"/>
    <mergeCell ref="I56:I60"/>
    <mergeCell ref="K56:K60"/>
    <mergeCell ref="A88:L88"/>
    <mergeCell ref="A70:L70"/>
    <mergeCell ref="J42:J47"/>
    <mergeCell ref="I22:I28"/>
    <mergeCell ref="A41:L41"/>
    <mergeCell ref="I8:L8"/>
    <mergeCell ref="G13:L13"/>
    <mergeCell ref="L84:L86"/>
    <mergeCell ref="K31:K39"/>
    <mergeCell ref="K63:K68"/>
    <mergeCell ref="D6:H6"/>
    <mergeCell ref="L22:L28"/>
    <mergeCell ref="A8:C8"/>
    <mergeCell ref="K50:K53"/>
    <mergeCell ref="A62:L62"/>
    <mergeCell ref="B56:B60"/>
    <mergeCell ref="B71:B75"/>
    <mergeCell ref="A9:L9"/>
    <mergeCell ref="K94:K96"/>
    <mergeCell ref="A30:L30"/>
    <mergeCell ref="A18:D18"/>
    <mergeCell ref="I78:I81"/>
    <mergeCell ref="K78:K81"/>
    <mergeCell ref="E16:L16"/>
    <mergeCell ref="K22:K28"/>
    <mergeCell ref="A13:B13"/>
    <mergeCell ref="L71:L75"/>
    <mergeCell ref="B31:B39"/>
    <mergeCell ref="C11:F11"/>
    <mergeCell ref="B63:B68"/>
    <mergeCell ref="I5:L5"/>
  </mergeCells>
  <hyperlinks>
    <hyperlink xmlns:r="http://schemas.openxmlformats.org/officeDocument/2006/relationships" ref="A1" r:id="rId1"/>
    <hyperlink xmlns:r="http://schemas.openxmlformats.org/officeDocument/2006/relationships" ref="L22" r:id="rId2"/>
    <hyperlink xmlns:r="http://schemas.openxmlformats.org/officeDocument/2006/relationships" ref="L31" r:id="rId3"/>
    <hyperlink xmlns:r="http://schemas.openxmlformats.org/officeDocument/2006/relationships" ref="L42" r:id="rId4"/>
    <hyperlink xmlns:r="http://schemas.openxmlformats.org/officeDocument/2006/relationships" ref="L50" r:id="rId5"/>
    <hyperlink xmlns:r="http://schemas.openxmlformats.org/officeDocument/2006/relationships" ref="L56" r:id="rId6"/>
    <hyperlink xmlns:r="http://schemas.openxmlformats.org/officeDocument/2006/relationships" ref="L63" r:id="rId7"/>
    <hyperlink xmlns:r="http://schemas.openxmlformats.org/officeDocument/2006/relationships" ref="L71" r:id="rId8"/>
    <hyperlink xmlns:r="http://schemas.openxmlformats.org/officeDocument/2006/relationships" ref="L78" r:id="rId9"/>
    <hyperlink xmlns:r="http://schemas.openxmlformats.org/officeDocument/2006/relationships" ref="L84" r:id="rId10"/>
    <hyperlink xmlns:r="http://schemas.openxmlformats.org/officeDocument/2006/relationships" ref="L89" r:id="rId11"/>
    <hyperlink xmlns:r="http://schemas.openxmlformats.org/officeDocument/2006/relationships" ref="L94" r:id="rId12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A9EA7"/>
    <outlinePr summaryBelow="1" summaryRight="1"/>
    <pageSetUpPr fitToPage="1"/>
  </sheetPr>
  <dimension ref="A1:L3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4. גרסאות ייצור (Production Versions - חובה ב-S/4)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C223</t>
        </is>
      </c>
      <c r="B6" s="4" t="n"/>
      <c r="C6" s="4" t="n"/>
      <c r="D6" s="41" t="inlineStr">
        <is>
          <t>Manage Production Versions</t>
        </is>
      </c>
      <c r="E6" s="4" t="n"/>
      <c r="F6" s="4" t="n"/>
      <c r="G6" s="4" t="n"/>
      <c r="H6" s="4" t="n"/>
      <c r="I6" s="42" t="inlineStr">
        <is>
          <t>F2703</t>
        </is>
      </c>
      <c r="J6" s="4" t="n"/>
      <c r="K6" s="4" t="n"/>
      <c r="L6" s="4" t="n"/>
    </row>
    <row r="7" ht="18" customHeight="1">
      <c r="A7" s="40" t="inlineStr">
        <is>
          <t>MM02 (PV tab)</t>
        </is>
      </c>
      <c r="B7" s="4" t="n"/>
      <c r="C7" s="4" t="n"/>
      <c r="D7" s="41" t="inlineStr">
        <is>
          <t>Manage Product Master Data</t>
        </is>
      </c>
      <c r="E7" s="4" t="n"/>
      <c r="F7" s="4" t="n"/>
      <c r="G7" s="4" t="n"/>
      <c r="H7" s="4" t="n"/>
      <c r="I7" s="42" t="inlineStr">
        <is>
          <t>F1602A</t>
        </is>
      </c>
      <c r="J7" s="4" t="n"/>
      <c r="K7" s="4" t="n"/>
      <c r="L7" s="4" t="n"/>
    </row>
    <row r="8" ht="18" customHeight="1">
      <c r="A8" s="40" t="inlineStr">
        <is>
          <t>CC01/CC02 (ECM)</t>
        </is>
      </c>
      <c r="B8" s="4" t="n"/>
      <c r="C8" s="4" t="n"/>
      <c r="D8" s="41" t="inlineStr">
        <is>
          <t>Manage Change Records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38" t="inlineStr">
        <is>
          <t xml:space="preserve">    ממשקים ובלוקים פונקציונליים: BAPIs / IDocs / RFCs (Extraction &amp; Messaging)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39" t="inlineStr">
        <is>
          <t>Type</t>
        </is>
      </c>
      <c r="B10" s="4" t="n"/>
      <c r="C10" s="39" t="inlineStr">
        <is>
          <t>Name</t>
        </is>
      </c>
      <c r="D10" s="4" t="n"/>
      <c r="E10" s="4" t="n"/>
      <c r="F10" s="4" t="n"/>
      <c r="G10" s="39" t="inlineStr">
        <is>
          <t>תיאור / Description</t>
        </is>
      </c>
      <c r="H10" s="4" t="n"/>
      <c r="I10" s="4" t="n"/>
      <c r="J10" s="4" t="n"/>
      <c r="K10" s="4" t="n"/>
      <c r="L10" s="4" t="n"/>
    </row>
    <row r="11" ht="18" customHeight="1">
      <c r="A11" s="44" t="inlineStr">
        <is>
          <t>BAPI</t>
        </is>
      </c>
      <c r="B11" s="4" t="n"/>
      <c r="C11" s="45" t="inlineStr">
        <is>
          <t>BAPI_MATERIAL_SAVEDATA (PVERSIONS)</t>
        </is>
      </c>
      <c r="D11" s="4" t="n"/>
      <c r="E11" s="4" t="n"/>
      <c r="F11" s="4" t="n"/>
      <c r="G11" s="41" t="inlineStr">
        <is>
          <t>יצירה/עדכון גרסת ייצור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BAPI</t>
        </is>
      </c>
      <c r="B12" s="4" t="n"/>
      <c r="C12" s="45" t="inlineStr">
        <is>
          <t>BAPI_PRODVERS_CREATE_REPLACE</t>
        </is>
      </c>
      <c r="D12" s="4" t="n"/>
      <c r="E12" s="4" t="n"/>
      <c r="F12" s="4" t="n"/>
      <c r="G12" s="41" t="inlineStr">
        <is>
          <t>יצירה/החלפת גרסת ייצור (אמת)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FM</t>
        </is>
      </c>
      <c r="B13" s="4" t="n"/>
      <c r="C13" s="45" t="inlineStr">
        <is>
          <t>CM_FV_PROD_VERS_READ</t>
        </is>
      </c>
      <c r="D13" s="4" t="n"/>
      <c r="E13" s="4" t="n"/>
      <c r="F13" s="4" t="n"/>
      <c r="G13" s="41" t="inlineStr">
        <is>
          <t>קריאת גרסאות ייצור לחומר/מפעל</t>
        </is>
      </c>
      <c r="H13" s="4" t="n"/>
      <c r="I13" s="4" t="n"/>
      <c r="J13" s="4" t="n"/>
      <c r="K13" s="4" t="n"/>
      <c r="L13" s="4" t="n"/>
    </row>
    <row r="14" ht="18" customHeight="1">
      <c r="A14" s="38" t="inlineStr">
        <is>
          <t xml:space="preserve">    תוכניות רקע ודוחות סטנדרטיים (Background Programs / Reports)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8" customHeight="1">
      <c r="A15" s="39" t="inlineStr">
        <is>
          <t>Program / Report</t>
        </is>
      </c>
      <c r="B15" s="4" t="n"/>
      <c r="C15" s="4" t="n"/>
      <c r="D15" s="4" t="n"/>
      <c r="E15" s="39" t="inlineStr">
        <is>
          <t>תיאור ומטרה / Usage &amp; Trigger</t>
        </is>
      </c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45" t="inlineStr">
        <is>
          <t>RCC22300 / RSC22300</t>
        </is>
      </c>
      <c r="B16" s="4" t="n"/>
      <c r="C16" s="4" t="n"/>
      <c r="D16" s="4" t="n"/>
      <c r="E16" s="41" t="inlineStr">
        <is>
          <t>בדיקת עקביות המונית של גרסאות ייצור (Pre-check ל-S/4)</t>
        </is>
      </c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45" t="inlineStr">
        <is>
          <t>CS_BD_DIRECT_LINK</t>
        </is>
      </c>
      <c r="B17" s="4" t="n"/>
      <c r="C17" s="4" t="n"/>
      <c r="D17" s="4" t="n"/>
      <c r="E17" s="41" t="inlineStr">
        <is>
          <t>יצירת קישור ישיר BOM&lt;-&gt;Recipe לגרסה</t>
        </is>
      </c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22" customHeight="1">
      <c r="A19" s="46" t="inlineStr">
        <is>
          <t xml:space="preserve">  ◆ טבלה MKAL  -  גרסאות ייצור לחומר  (Production versions for materials)   |   T-codes: C223; MM02 (PV)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26" customHeight="1">
      <c r="A20" s="47" t="n">
        <v>1</v>
      </c>
      <c r="B20" s="48" t="inlineStr">
        <is>
          <t>MKAL</t>
        </is>
      </c>
      <c r="C20" s="49" t="inlineStr">
        <is>
          <t>MATNR</t>
        </is>
      </c>
      <c r="D20" s="50" t="inlineStr">
        <is>
          <t>CHAR</t>
        </is>
      </c>
      <c r="E20" s="50" t="inlineStr">
        <is>
          <t>18-&gt;40</t>
        </is>
      </c>
      <c r="F20" s="67" t="inlineStr">
        <is>
          <t>PK/FK</t>
        </is>
      </c>
      <c r="G20" s="52" t="inlineStr">
        <is>
          <t>Material number</t>
        </is>
      </c>
      <c r="H20" s="53" t="inlineStr">
        <is>
          <t>מספר חומר</t>
        </is>
      </c>
      <c r="I20" s="54" t="inlineStr">
        <is>
          <t>FROM MKAL JOIN MARC ON MKAL.MATNR = MARC.MATNR AND MKAL.WERKS = MARC.WERKS</t>
        </is>
      </c>
      <c r="J20" s="55" t="inlineStr">
        <is>
          <t>'גרסת ייצור' (Production Version) מקשרת חומר -&gt; עץ מוצר (STLAL) + מתכון (PLNNR) + קו ייצור. ב-S/4HANA היא חובה מוחלטת (100%) לכל ביצוע ייצור - מחליפה את לוגיקת בחירת BOM/Routing האוטומטית של ECC. ב-CBC כל שילוב מוצר/קו = גרסה. ללא PV תקפה הפק"ע (COR1) לא תיווצר.</t>
        </is>
      </c>
      <c r="K20" s="56" t="inlineStr">
        <is>
          <t>חובה 100% ב-S/4HANA - הרץ C223 ובדוק תוקף/עקביות לכל חומר מיוצר לפני ההמרה (Pre-check קריטי).</t>
        </is>
      </c>
      <c r="L20" s="57" t="inlineStr">
        <is>
          <t>SAP Note - Production Versions Mandatory</t>
        </is>
      </c>
    </row>
    <row r="21" ht="26" customHeight="1">
      <c r="A21" s="58" t="n">
        <v>2</v>
      </c>
      <c r="B21" s="59" t="n"/>
      <c r="C21" s="60" t="inlineStr">
        <is>
          <t>WERKS</t>
        </is>
      </c>
      <c r="D21" s="61" t="inlineStr">
        <is>
          <t>CHAR</t>
        </is>
      </c>
      <c r="E21" s="61" t="inlineStr">
        <is>
          <t>4</t>
        </is>
      </c>
      <c r="F21" s="67" t="inlineStr">
        <is>
          <t>PK/FK</t>
        </is>
      </c>
      <c r="G21" s="63" t="inlineStr">
        <is>
          <t>Plant</t>
        </is>
      </c>
      <c r="H21" s="64" t="inlineStr">
        <is>
          <t>מפעל</t>
        </is>
      </c>
      <c r="I21" s="59" t="n"/>
      <c r="J21" s="59" t="n"/>
      <c r="K21" s="59" t="n"/>
      <c r="L21" s="59" t="n"/>
    </row>
    <row r="22" ht="26" customHeight="1">
      <c r="A22" s="47" t="n">
        <v>3</v>
      </c>
      <c r="B22" s="59" t="n"/>
      <c r="C22" s="49" t="inlineStr">
        <is>
          <t>VERID</t>
        </is>
      </c>
      <c r="D22" s="50" t="inlineStr">
        <is>
          <t>CHAR</t>
        </is>
      </c>
      <c r="E22" s="50" t="inlineStr">
        <is>
          <t>4</t>
        </is>
      </c>
      <c r="F22" s="51" t="inlineStr">
        <is>
          <t>PK</t>
        </is>
      </c>
      <c r="G22" s="52" t="inlineStr">
        <is>
          <t>Production version</t>
        </is>
      </c>
      <c r="H22" s="53" t="inlineStr">
        <is>
          <t>מזהה גרסת ייצור</t>
        </is>
      </c>
      <c r="I22" s="59" t="n"/>
      <c r="J22" s="59" t="n"/>
      <c r="K22" s="59" t="n"/>
      <c r="L22" s="59" t="n"/>
    </row>
    <row r="23" ht="26" customHeight="1">
      <c r="A23" s="58" t="n">
        <v>4</v>
      </c>
      <c r="B23" s="59" t="n"/>
      <c r="C23" s="60" t="inlineStr">
        <is>
          <t>TEXT1</t>
        </is>
      </c>
      <c r="D23" s="61" t="inlineStr">
        <is>
          <t>CHAR</t>
        </is>
      </c>
      <c r="E23" s="61" t="inlineStr">
        <is>
          <t>40</t>
        </is>
      </c>
      <c r="F23" s="65" t="inlineStr">
        <is>
          <t>-</t>
        </is>
      </c>
      <c r="G23" s="63" t="inlineStr">
        <is>
          <t>Production version text</t>
        </is>
      </c>
      <c r="H23" s="64" t="inlineStr">
        <is>
          <t>תיאור גרסת ייצור</t>
        </is>
      </c>
      <c r="I23" s="59" t="n"/>
      <c r="J23" s="59" t="n"/>
      <c r="K23" s="59" t="n"/>
      <c r="L23" s="59" t="n"/>
    </row>
    <row r="24" ht="26" customHeight="1">
      <c r="A24" s="47" t="n">
        <v>5</v>
      </c>
      <c r="B24" s="59" t="n"/>
      <c r="C24" s="49" t="inlineStr">
        <is>
          <t>ADATU</t>
        </is>
      </c>
      <c r="D24" s="50" t="inlineStr">
        <is>
          <t>DATS</t>
        </is>
      </c>
      <c r="E24" s="50" t="inlineStr">
        <is>
          <t>8</t>
        </is>
      </c>
      <c r="F24" s="65" t="inlineStr">
        <is>
          <t>-</t>
        </is>
      </c>
      <c r="G24" s="52" t="inlineStr">
        <is>
          <t>Valid-from date</t>
        </is>
      </c>
      <c r="H24" s="53" t="inlineStr">
        <is>
          <t>תקף מ</t>
        </is>
      </c>
      <c r="I24" s="59" t="n"/>
      <c r="J24" s="59" t="n"/>
      <c r="K24" s="59" t="n"/>
      <c r="L24" s="59" t="n"/>
    </row>
    <row r="25" ht="26" customHeight="1">
      <c r="A25" s="58" t="n">
        <v>6</v>
      </c>
      <c r="B25" s="59" t="n"/>
      <c r="C25" s="60" t="inlineStr">
        <is>
          <t>BDATU</t>
        </is>
      </c>
      <c r="D25" s="61" t="inlineStr">
        <is>
          <t>DATS</t>
        </is>
      </c>
      <c r="E25" s="61" t="inlineStr">
        <is>
          <t>8</t>
        </is>
      </c>
      <c r="F25" s="65" t="inlineStr">
        <is>
          <t>-</t>
        </is>
      </c>
      <c r="G25" s="63" t="inlineStr">
        <is>
          <t>Valid-to date</t>
        </is>
      </c>
      <c r="H25" s="64" t="inlineStr">
        <is>
          <t>תקף עד</t>
        </is>
      </c>
      <c r="I25" s="59" t="n"/>
      <c r="J25" s="59" t="n"/>
      <c r="K25" s="59" t="n"/>
      <c r="L25" s="59" t="n"/>
    </row>
    <row r="26" ht="26" customHeight="1">
      <c r="A26" s="47" t="n">
        <v>7</v>
      </c>
      <c r="B26" s="59" t="n"/>
      <c r="C26" s="49" t="inlineStr">
        <is>
          <t>BSTMI</t>
        </is>
      </c>
      <c r="D26" s="50" t="inlineStr">
        <is>
          <t>QUAN</t>
        </is>
      </c>
      <c r="E26" s="50" t="inlineStr">
        <is>
          <t>13</t>
        </is>
      </c>
      <c r="F26" s="65" t="inlineStr">
        <is>
          <t>-</t>
        </is>
      </c>
      <c r="G26" s="52" t="inlineStr">
        <is>
          <t>Lot size from</t>
        </is>
      </c>
      <c r="H26" s="53" t="inlineStr">
        <is>
          <t>גודל אצווה מ</t>
        </is>
      </c>
      <c r="I26" s="59" t="n"/>
      <c r="J26" s="59" t="n"/>
      <c r="K26" s="59" t="n"/>
      <c r="L26" s="59" t="n"/>
    </row>
    <row r="27" ht="26" customHeight="1">
      <c r="A27" s="58" t="n">
        <v>8</v>
      </c>
      <c r="B27" s="59" t="n"/>
      <c r="C27" s="60" t="inlineStr">
        <is>
          <t>BSTMA</t>
        </is>
      </c>
      <c r="D27" s="61" t="inlineStr">
        <is>
          <t>QUAN</t>
        </is>
      </c>
      <c r="E27" s="61" t="inlineStr">
        <is>
          <t>13</t>
        </is>
      </c>
      <c r="F27" s="65" t="inlineStr">
        <is>
          <t>-</t>
        </is>
      </c>
      <c r="G27" s="63" t="inlineStr">
        <is>
          <t>Lot size to</t>
        </is>
      </c>
      <c r="H27" s="64" t="inlineStr">
        <is>
          <t>גודל אצווה עד</t>
        </is>
      </c>
      <c r="I27" s="59" t="n"/>
      <c r="J27" s="59" t="n"/>
      <c r="K27" s="59" t="n"/>
      <c r="L27" s="59" t="n"/>
    </row>
    <row r="28" ht="26" customHeight="1">
      <c r="A28" s="47" t="n">
        <v>9</v>
      </c>
      <c r="B28" s="59" t="n"/>
      <c r="C28" s="49" t="inlineStr">
        <is>
          <t>STLAL</t>
        </is>
      </c>
      <c r="D28" s="50" t="inlineStr">
        <is>
          <t>CHAR</t>
        </is>
      </c>
      <c r="E28" s="50" t="inlineStr">
        <is>
          <t>2</t>
        </is>
      </c>
      <c r="F28" s="62" t="inlineStr">
        <is>
          <t>FK</t>
        </is>
      </c>
      <c r="G28" s="52" t="inlineStr">
        <is>
          <t>Alternative BOM</t>
        </is>
      </c>
      <c r="H28" s="53" t="inlineStr">
        <is>
          <t>חלופת עץ מוצר</t>
        </is>
      </c>
      <c r="I28" s="59" t="n"/>
      <c r="J28" s="59" t="n"/>
      <c r="K28" s="59" t="n"/>
      <c r="L28" s="59" t="n"/>
    </row>
    <row r="29" ht="26" customHeight="1">
      <c r="A29" s="58" t="n">
        <v>10</v>
      </c>
      <c r="B29" s="59" t="n"/>
      <c r="C29" s="60" t="inlineStr">
        <is>
          <t>STLAN</t>
        </is>
      </c>
      <c r="D29" s="61" t="inlineStr">
        <is>
          <t>CHAR</t>
        </is>
      </c>
      <c r="E29" s="61" t="inlineStr">
        <is>
          <t>1</t>
        </is>
      </c>
      <c r="F29" s="62" t="inlineStr">
        <is>
          <t>FK</t>
        </is>
      </c>
      <c r="G29" s="63" t="inlineStr">
        <is>
          <t>BOM usage</t>
        </is>
      </c>
      <c r="H29" s="64" t="inlineStr">
        <is>
          <t>שימוש עץ מוצר</t>
        </is>
      </c>
      <c r="I29" s="59" t="n"/>
      <c r="J29" s="59" t="n"/>
      <c r="K29" s="59" t="n"/>
      <c r="L29" s="59" t="n"/>
    </row>
    <row r="30" ht="26" customHeight="1">
      <c r="A30" s="47" t="n">
        <v>11</v>
      </c>
      <c r="B30" s="59" t="n"/>
      <c r="C30" s="49" t="inlineStr">
        <is>
          <t>PLNTY</t>
        </is>
      </c>
      <c r="D30" s="50" t="inlineStr">
        <is>
          <t>CHAR</t>
        </is>
      </c>
      <c r="E30" s="50" t="inlineStr">
        <is>
          <t>1</t>
        </is>
      </c>
      <c r="F30" s="62" t="inlineStr">
        <is>
          <t>FK</t>
        </is>
      </c>
      <c r="G30" s="52" t="inlineStr">
        <is>
          <t>Task list type (recipe)</t>
        </is>
      </c>
      <c r="H30" s="53" t="inlineStr">
        <is>
          <t>סוג רשימה</t>
        </is>
      </c>
      <c r="I30" s="59" t="n"/>
      <c r="J30" s="59" t="n"/>
      <c r="K30" s="59" t="n"/>
      <c r="L30" s="59" t="n"/>
    </row>
    <row r="31" ht="26" customHeight="1">
      <c r="A31" s="58" t="n">
        <v>12</v>
      </c>
      <c r="B31" s="59" t="n"/>
      <c r="C31" s="60" t="inlineStr">
        <is>
          <t>PLNNR</t>
        </is>
      </c>
      <c r="D31" s="61" t="inlineStr">
        <is>
          <t>CHAR</t>
        </is>
      </c>
      <c r="E31" s="61" t="inlineStr">
        <is>
          <t>8</t>
        </is>
      </c>
      <c r="F31" s="62" t="inlineStr">
        <is>
          <t>FK</t>
        </is>
      </c>
      <c r="G31" s="63" t="inlineStr">
        <is>
          <t>Task list group (recipe)</t>
        </is>
      </c>
      <c r="H31" s="64" t="inlineStr">
        <is>
          <t>קבוצת מתכון</t>
        </is>
      </c>
      <c r="I31" s="59" t="n"/>
      <c r="J31" s="59" t="n"/>
      <c r="K31" s="59" t="n"/>
      <c r="L31" s="59" t="n"/>
    </row>
    <row r="32" ht="26" customHeight="1">
      <c r="A32" s="47" t="n">
        <v>13</v>
      </c>
      <c r="B32" s="59" t="n"/>
      <c r="C32" s="49" t="inlineStr">
        <is>
          <t>ALNAL</t>
        </is>
      </c>
      <c r="D32" s="50" t="inlineStr">
        <is>
          <t>CHAR</t>
        </is>
      </c>
      <c r="E32" s="50" t="inlineStr">
        <is>
          <t>2</t>
        </is>
      </c>
      <c r="F32" s="62" t="inlineStr">
        <is>
          <t>FK</t>
        </is>
      </c>
      <c r="G32" s="52" t="inlineStr">
        <is>
          <t>Task list group counter</t>
        </is>
      </c>
      <c r="H32" s="53" t="inlineStr">
        <is>
          <t>מונה רשימה</t>
        </is>
      </c>
      <c r="I32" s="59" t="n"/>
      <c r="J32" s="59" t="n"/>
      <c r="K32" s="59" t="n"/>
      <c r="L32" s="59" t="n"/>
    </row>
    <row r="33" ht="26" customHeight="1">
      <c r="A33" s="58" t="n">
        <v>14</v>
      </c>
      <c r="B33" s="59" t="n"/>
      <c r="C33" s="60" t="inlineStr">
        <is>
          <t>MDV01</t>
        </is>
      </c>
      <c r="D33" s="61" t="inlineStr">
        <is>
          <t>CHAR</t>
        </is>
      </c>
      <c r="E33" s="61" t="inlineStr">
        <is>
          <t>8</t>
        </is>
      </c>
      <c r="F33" s="62" t="inlineStr">
        <is>
          <t>FK</t>
        </is>
      </c>
      <c r="G33" s="63" t="inlineStr">
        <is>
          <t>Production line / resource</t>
        </is>
      </c>
      <c r="H33" s="64" t="inlineStr">
        <is>
          <t>קו ייצור / משאב</t>
        </is>
      </c>
      <c r="I33" s="59" t="n"/>
      <c r="J33" s="59" t="n"/>
      <c r="K33" s="59" t="n"/>
      <c r="L33" s="59" t="n"/>
    </row>
    <row r="34" ht="26" customHeight="1">
      <c r="A34" s="47" t="n">
        <v>15</v>
      </c>
      <c r="B34" s="66" t="n"/>
      <c r="C34" s="49" t="inlineStr">
        <is>
          <t>PRFG_NEW</t>
        </is>
      </c>
      <c r="D34" s="50" t="inlineStr">
        <is>
          <t>CHAR</t>
        </is>
      </c>
      <c r="E34" s="50" t="inlineStr">
        <is>
          <t>1</t>
        </is>
      </c>
      <c r="F34" s="65" t="inlineStr">
        <is>
          <t>-</t>
        </is>
      </c>
      <c r="G34" s="52" t="inlineStr">
        <is>
          <t>Detailed PV check status</t>
        </is>
      </c>
      <c r="H34" s="53" t="inlineStr">
        <is>
          <t>סטטוס בדיקת תקינות</t>
        </is>
      </c>
      <c r="I34" s="66" t="n"/>
      <c r="J34" s="66" t="n"/>
      <c r="K34" s="66" t="n"/>
      <c r="L34" s="66" t="n"/>
    </row>
  </sheetData>
  <mergeCells count="42">
    <mergeCell ref="A17:D17"/>
    <mergeCell ref="I8:L8"/>
    <mergeCell ref="G10:L10"/>
    <mergeCell ref="A11:B11"/>
    <mergeCell ref="G13:L13"/>
    <mergeCell ref="K20:K34"/>
    <mergeCell ref="A1:B1"/>
    <mergeCell ref="A3:L3"/>
    <mergeCell ref="C13:F13"/>
    <mergeCell ref="E17:L17"/>
    <mergeCell ref="D6:H6"/>
    <mergeCell ref="A5:C5"/>
    <mergeCell ref="A8:C8"/>
    <mergeCell ref="I6:L6"/>
    <mergeCell ref="A14:L14"/>
    <mergeCell ref="A15:D15"/>
    <mergeCell ref="A4:L4"/>
    <mergeCell ref="A12:B12"/>
    <mergeCell ref="D7:H7"/>
    <mergeCell ref="J20:J34"/>
    <mergeCell ref="E15:L15"/>
    <mergeCell ref="A19:L19"/>
    <mergeCell ref="L20:L34"/>
    <mergeCell ref="I20:I34"/>
    <mergeCell ref="I7:L7"/>
    <mergeCell ref="A9:L9"/>
    <mergeCell ref="C10:F10"/>
    <mergeCell ref="A16:D16"/>
    <mergeCell ref="G12:L12"/>
    <mergeCell ref="C1:L1"/>
    <mergeCell ref="G11:L11"/>
    <mergeCell ref="D8:H8"/>
    <mergeCell ref="C12:F12"/>
    <mergeCell ref="A6:C6"/>
    <mergeCell ref="A10:B10"/>
    <mergeCell ref="E16:L16"/>
    <mergeCell ref="B20:B34"/>
    <mergeCell ref="D5:H5"/>
    <mergeCell ref="A13:B13"/>
    <mergeCell ref="C11:F11"/>
    <mergeCell ref="A7:C7"/>
    <mergeCell ref="I5:L5"/>
  </mergeCell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L20" r:id="rId4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L77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5. משאבים / מרכזי עבודה (Resources)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CRC1 / CRC2 / CRC3</t>
        </is>
      </c>
      <c r="B6" s="4" t="n"/>
      <c r="C6" s="4" t="n"/>
      <c r="D6" s="41" t="inlineStr">
        <is>
          <t>Manage Work Centers / Resources</t>
        </is>
      </c>
      <c r="E6" s="4" t="n"/>
      <c r="F6" s="4" t="n"/>
      <c r="G6" s="4" t="n"/>
      <c r="H6" s="4" t="n"/>
      <c r="I6" s="42" t="inlineStr">
        <is>
          <t>F3794</t>
        </is>
      </c>
      <c r="J6" s="4" t="n"/>
      <c r="K6" s="4" t="n"/>
      <c r="L6" s="4" t="n"/>
    </row>
    <row r="7" ht="18" customHeight="1">
      <c r="A7" s="40" t="inlineStr">
        <is>
          <t>CR11 / CR12 / CR13</t>
        </is>
      </c>
      <c r="B7" s="4" t="n"/>
      <c r="C7" s="4" t="n"/>
      <c r="D7" s="41" t="inlineStr">
        <is>
          <t>Manage Capacity</t>
        </is>
      </c>
      <c r="E7" s="4" t="n"/>
      <c r="F7" s="4" t="n"/>
      <c r="G7" s="4" t="n"/>
      <c r="H7" s="4" t="n"/>
      <c r="I7" s="43" t="inlineStr">
        <is>
          <t>-</t>
        </is>
      </c>
      <c r="J7" s="4" t="n"/>
      <c r="K7" s="4" t="n"/>
      <c r="L7" s="4" t="n"/>
    </row>
    <row r="8" ht="18" customHeight="1">
      <c r="A8" s="40" t="inlineStr">
        <is>
          <t>KP26 (activity rates)</t>
        </is>
      </c>
      <c r="B8" s="4" t="n"/>
      <c r="C8" s="4" t="n"/>
      <c r="D8" s="41" t="inlineStr">
        <is>
          <t>Manage Cost Rates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38" t="inlineStr">
        <is>
          <t xml:space="preserve">    ממשקים ובלוקים פונקציונליים: BAPIs / IDocs / RFCs (Extraction &amp; Messaging)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39" t="inlineStr">
        <is>
          <t>Type</t>
        </is>
      </c>
      <c r="B10" s="4" t="n"/>
      <c r="C10" s="39" t="inlineStr">
        <is>
          <t>Name</t>
        </is>
      </c>
      <c r="D10" s="4" t="n"/>
      <c r="E10" s="4" t="n"/>
      <c r="F10" s="4" t="n"/>
      <c r="G10" s="39" t="inlineStr">
        <is>
          <t>תיאור / Description</t>
        </is>
      </c>
      <c r="H10" s="4" t="n"/>
      <c r="I10" s="4" t="n"/>
      <c r="J10" s="4" t="n"/>
      <c r="K10" s="4" t="n"/>
      <c r="L10" s="4" t="n"/>
    </row>
    <row r="11" ht="18" customHeight="1">
      <c r="A11" s="44" t="inlineStr">
        <is>
          <t>RFC</t>
        </is>
      </c>
      <c r="B11" s="4" t="n"/>
      <c r="C11" s="45" t="inlineStr">
        <is>
          <t>CR_WORK_CENTER_READ</t>
        </is>
      </c>
      <c r="D11" s="4" t="n"/>
      <c r="E11" s="4" t="n"/>
      <c r="F11" s="4" t="n"/>
      <c r="G11" s="41" t="inlineStr">
        <is>
          <t>קריאת נתוני מרכז עבודה/משאב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FM</t>
        </is>
      </c>
      <c r="B12" s="4" t="n"/>
      <c r="C12" s="45" t="inlineStr">
        <is>
          <t>CRAP_WORKCENTER_GET_DETAIL</t>
        </is>
      </c>
      <c r="D12" s="4" t="n"/>
      <c r="E12" s="4" t="n"/>
      <c r="F12" s="4" t="n"/>
      <c r="G12" s="41" t="inlineStr">
        <is>
          <t>שליפת פרטי משאב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FM</t>
        </is>
      </c>
      <c r="B13" s="4" t="n"/>
      <c r="C13" s="45" t="inlineStr">
        <is>
          <t>CY_CAPACITY_LOAD</t>
        </is>
      </c>
      <c r="D13" s="4" t="n"/>
      <c r="E13" s="4" t="n"/>
      <c r="F13" s="4" t="n"/>
      <c r="G13" s="41" t="inlineStr">
        <is>
          <t>חישוב עומס קיבולת</t>
        </is>
      </c>
      <c r="H13" s="4" t="n"/>
      <c r="I13" s="4" t="n"/>
      <c r="J13" s="4" t="n"/>
      <c r="K13" s="4" t="n"/>
      <c r="L13" s="4" t="n"/>
    </row>
    <row r="14" ht="18" customHeight="1">
      <c r="A14" s="38" t="inlineStr">
        <is>
          <t xml:space="preserve">    תוכניות רקע ודוחות סטנדרטיים (Background Programs / Reports)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8" customHeight="1">
      <c r="A15" s="39" t="inlineStr">
        <is>
          <t>Program / Report</t>
        </is>
      </c>
      <c r="B15" s="4" t="n"/>
      <c r="C15" s="4" t="n"/>
      <c r="D15" s="4" t="n"/>
      <c r="E15" s="39" t="inlineStr">
        <is>
          <t>תיאור ומטרה / Usage &amp; Trigger</t>
        </is>
      </c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45" t="inlineStr">
        <is>
          <t>RCCRSE00 / CR05</t>
        </is>
      </c>
      <c r="B16" s="4" t="n"/>
      <c r="C16" s="4" t="n"/>
      <c r="D16" s="4" t="n"/>
      <c r="E16" s="41" t="inlineStr">
        <is>
          <t>דוח מרכזי עבודה/משאבים</t>
        </is>
      </c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45" t="inlineStr">
        <is>
          <t>RIABC000</t>
        </is>
      </c>
      <c r="B17" s="4" t="n"/>
      <c r="C17" s="4" t="n"/>
      <c r="D17" s="4" t="n"/>
      <c r="E17" s="41" t="inlineStr">
        <is>
          <t>ניתוח קיבולת / ABC (אמת)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RCCYPL00 / CM01</t>
        </is>
      </c>
      <c r="B18" s="4" t="n"/>
      <c r="C18" s="4" t="n"/>
      <c r="D18" s="4" t="n"/>
      <c r="E18" s="41" t="inlineStr">
        <is>
          <t>הערכת עומסי קיבולת</t>
        </is>
      </c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22" customHeight="1">
      <c r="A20" s="46" t="inlineStr">
        <is>
          <t xml:space="preserve">  ◆ טבלה CRHD  -  כותרת משאב / מרכז עבודה  (Work center / resource header)   |   T-codes: CRC1/CRC2/CRC3; CR01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6" customHeight="1">
      <c r="A21" s="47" t="n">
        <v>1</v>
      </c>
      <c r="B21" s="48" t="inlineStr">
        <is>
          <t>CRHD</t>
        </is>
      </c>
      <c r="C21" s="49" t="inlineStr">
        <is>
          <t>OBJTY</t>
        </is>
      </c>
      <c r="D21" s="50" t="inlineStr">
        <is>
          <t>CHAR</t>
        </is>
      </c>
      <c r="E21" s="50" t="inlineStr">
        <is>
          <t>2</t>
        </is>
      </c>
      <c r="F21" s="51" t="inlineStr">
        <is>
          <t>PK</t>
        </is>
      </c>
      <c r="G21" s="52" t="inlineStr">
        <is>
          <t>Object type (A=work center)</t>
        </is>
      </c>
      <c r="H21" s="53" t="inlineStr">
        <is>
          <t>סוג אובייקט</t>
        </is>
      </c>
      <c r="I21" s="54" t="inlineStr">
        <is>
          <t>(header - root of resource model)</t>
        </is>
      </c>
      <c r="J21" s="55" t="inlineStr">
        <is>
          <t>המשאב (קו מילוי, ערבל, פסטרייזר) שעליו מתבצעות פעולות המתכון. OBJTY='A'. מקושר לקיבולת ולמרכז עלות. ב-CBC כל קו ייצור = משאב עם קיבולת מתוזמנת.</t>
        </is>
      </c>
      <c r="K21" s="56" t="inlineStr">
        <is>
          <t>ללא שינוי מבני; Fiori 'Manage Work Centers'.</t>
        </is>
      </c>
      <c r="L21" s="57" t="inlineStr">
        <is>
          <t>SAP Help - Work Center</t>
        </is>
      </c>
    </row>
    <row r="22" ht="26" customHeight="1">
      <c r="A22" s="58" t="n">
        <v>2</v>
      </c>
      <c r="B22" s="59" t="n"/>
      <c r="C22" s="60" t="inlineStr">
        <is>
          <t>OBJID</t>
        </is>
      </c>
      <c r="D22" s="61" t="inlineStr">
        <is>
          <t>NUMC</t>
        </is>
      </c>
      <c r="E22" s="61" t="inlineStr">
        <is>
          <t>8</t>
        </is>
      </c>
      <c r="F22" s="51" t="inlineStr">
        <is>
          <t>PK</t>
        </is>
      </c>
      <c r="G22" s="63" t="inlineStr">
        <is>
          <t>Object ID</t>
        </is>
      </c>
      <c r="H22" s="64" t="inlineStr">
        <is>
          <t>מזהה אובייקט</t>
        </is>
      </c>
      <c r="I22" s="59" t="n"/>
      <c r="J22" s="59" t="n"/>
      <c r="K22" s="59" t="n"/>
      <c r="L22" s="59" t="n"/>
    </row>
    <row r="23" ht="26" customHeight="1">
      <c r="A23" s="47" t="n">
        <v>3</v>
      </c>
      <c r="B23" s="59" t="n"/>
      <c r="C23" s="49" t="inlineStr">
        <is>
          <t>ARBPL</t>
        </is>
      </c>
      <c r="D23" s="50" t="inlineStr">
        <is>
          <t>CHAR</t>
        </is>
      </c>
      <c r="E23" s="50" t="inlineStr">
        <is>
          <t>8</t>
        </is>
      </c>
      <c r="F23" s="65" t="inlineStr">
        <is>
          <t>-</t>
        </is>
      </c>
      <c r="G23" s="52" t="inlineStr">
        <is>
          <t>Work center / resource code</t>
        </is>
      </c>
      <c r="H23" s="53" t="inlineStr">
        <is>
          <t>קוד משאב</t>
        </is>
      </c>
      <c r="I23" s="59" t="n"/>
      <c r="J23" s="59" t="n"/>
      <c r="K23" s="59" t="n"/>
      <c r="L23" s="59" t="n"/>
    </row>
    <row r="24" ht="26" customHeight="1">
      <c r="A24" s="58" t="n">
        <v>4</v>
      </c>
      <c r="B24" s="59" t="n"/>
      <c r="C24" s="60" t="inlineStr">
        <is>
          <t>WERKS</t>
        </is>
      </c>
      <c r="D24" s="61" t="inlineStr">
        <is>
          <t>CHAR</t>
        </is>
      </c>
      <c r="E24" s="61" t="inlineStr">
        <is>
          <t>4</t>
        </is>
      </c>
      <c r="F24" s="62" t="inlineStr">
        <is>
          <t>FK</t>
        </is>
      </c>
      <c r="G24" s="63" t="inlineStr">
        <is>
          <t>Plant</t>
        </is>
      </c>
      <c r="H24" s="64" t="inlineStr">
        <is>
          <t>מפעל</t>
        </is>
      </c>
      <c r="I24" s="59" t="n"/>
      <c r="J24" s="59" t="n"/>
      <c r="K24" s="59" t="n"/>
      <c r="L24" s="59" t="n"/>
    </row>
    <row r="25" ht="26" customHeight="1">
      <c r="A25" s="47" t="n">
        <v>5</v>
      </c>
      <c r="B25" s="59" t="n"/>
      <c r="C25" s="49" t="inlineStr">
        <is>
          <t>VERWE</t>
        </is>
      </c>
      <c r="D25" s="50" t="inlineStr">
        <is>
          <t>CHAR</t>
        </is>
      </c>
      <c r="E25" s="50" t="inlineStr">
        <is>
          <t>4</t>
        </is>
      </c>
      <c r="F25" s="62" t="inlineStr">
        <is>
          <t>FK</t>
        </is>
      </c>
      <c r="G25" s="52" t="inlineStr">
        <is>
          <t>Usage</t>
        </is>
      </c>
      <c r="H25" s="53" t="inlineStr">
        <is>
          <t>שימוש</t>
        </is>
      </c>
      <c r="I25" s="59" t="n"/>
      <c r="J25" s="59" t="n"/>
      <c r="K25" s="59" t="n"/>
      <c r="L25" s="59" t="n"/>
    </row>
    <row r="26" ht="26" customHeight="1">
      <c r="A26" s="58" t="n">
        <v>6</v>
      </c>
      <c r="B26" s="59" t="n"/>
      <c r="C26" s="60" t="inlineStr">
        <is>
          <t>VERAN</t>
        </is>
      </c>
      <c r="D26" s="61" t="inlineStr">
        <is>
          <t>CHAR</t>
        </is>
      </c>
      <c r="E26" s="61" t="inlineStr">
        <is>
          <t>3</t>
        </is>
      </c>
      <c r="F26" s="65" t="inlineStr">
        <is>
          <t>-</t>
        </is>
      </c>
      <c r="G26" s="63" t="inlineStr">
        <is>
          <t>Person responsible</t>
        </is>
      </c>
      <c r="H26" s="64" t="inlineStr">
        <is>
          <t>אחראי</t>
        </is>
      </c>
      <c r="I26" s="59" t="n"/>
      <c r="J26" s="59" t="n"/>
      <c r="K26" s="59" t="n"/>
      <c r="L26" s="59" t="n"/>
    </row>
    <row r="27" ht="26" customHeight="1">
      <c r="A27" s="47" t="n">
        <v>7</v>
      </c>
      <c r="B27" s="66" t="n"/>
      <c r="C27" s="49" t="inlineStr">
        <is>
          <t>PLANV</t>
        </is>
      </c>
      <c r="D27" s="50" t="inlineStr">
        <is>
          <t>CHAR</t>
        </is>
      </c>
      <c r="E27" s="50" t="inlineStr">
        <is>
          <t>3</t>
        </is>
      </c>
      <c r="F27" s="65" t="inlineStr">
        <is>
          <t>-</t>
        </is>
      </c>
      <c r="G27" s="52" t="inlineStr">
        <is>
          <t>Capacity planner group</t>
        </is>
      </c>
      <c r="H27" s="53" t="inlineStr">
        <is>
          <t>קבוצת מתכנן קיבולת</t>
        </is>
      </c>
      <c r="I27" s="66" t="n"/>
      <c r="J27" s="66" t="n"/>
      <c r="K27" s="66" t="n"/>
      <c r="L27" s="6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2" customHeight="1">
      <c r="A29" s="46" t="inlineStr">
        <is>
          <t xml:space="preserve">  ◆ טבלה CRTX  -  טקסטים של משאב  (Work center / resource texts)   |   T-codes: CRC2/CRC3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6" customHeight="1">
      <c r="A30" s="58" t="n">
        <v>8</v>
      </c>
      <c r="B30" s="68" t="inlineStr">
        <is>
          <t>CRTX</t>
        </is>
      </c>
      <c r="C30" s="60" t="inlineStr">
        <is>
          <t>OBJTY</t>
        </is>
      </c>
      <c r="D30" s="61" t="inlineStr">
        <is>
          <t>CHAR</t>
        </is>
      </c>
      <c r="E30" s="61" t="inlineStr">
        <is>
          <t>2</t>
        </is>
      </c>
      <c r="F30" s="67" t="inlineStr">
        <is>
          <t>PK/FK</t>
        </is>
      </c>
      <c r="G30" s="63" t="inlineStr">
        <is>
          <t>Object type</t>
        </is>
      </c>
      <c r="H30" s="64" t="inlineStr">
        <is>
          <t>סוג אובייקט</t>
        </is>
      </c>
      <c r="I30" s="69" t="inlineStr">
        <is>
          <t>FROM CRTX JOIN CRHD ON CRTX.OBJID = CRHD.OBJID AND CRTX.OBJTY = CRHD.OBJTY</t>
        </is>
      </c>
      <c r="J30" s="70" t="inlineStr">
        <is>
          <t>תיאורי המשאב הרב-לשוניים המוצגים בפעולות ובלוח התזמון.</t>
        </is>
      </c>
      <c r="K30" s="71" t="inlineStr">
        <is>
          <t>ללא שינוי.</t>
        </is>
      </c>
      <c r="L30" s="72" t="inlineStr">
        <is>
          <t>SAP Help - Work Center</t>
        </is>
      </c>
    </row>
    <row r="31" ht="26" customHeight="1">
      <c r="A31" s="47" t="n">
        <v>9</v>
      </c>
      <c r="B31" s="59" t="n"/>
      <c r="C31" s="49" t="inlineStr">
        <is>
          <t>OBJID</t>
        </is>
      </c>
      <c r="D31" s="50" t="inlineStr">
        <is>
          <t>NUMC</t>
        </is>
      </c>
      <c r="E31" s="50" t="inlineStr">
        <is>
          <t>8</t>
        </is>
      </c>
      <c r="F31" s="67" t="inlineStr">
        <is>
          <t>PK/FK</t>
        </is>
      </c>
      <c r="G31" s="52" t="inlineStr">
        <is>
          <t>Object ID</t>
        </is>
      </c>
      <c r="H31" s="53" t="inlineStr">
        <is>
          <t>מזהה אובייקט</t>
        </is>
      </c>
      <c r="I31" s="59" t="n"/>
      <c r="J31" s="59" t="n"/>
      <c r="K31" s="59" t="n"/>
      <c r="L31" s="59" t="n"/>
    </row>
    <row r="32" ht="26" customHeight="1">
      <c r="A32" s="58" t="n">
        <v>10</v>
      </c>
      <c r="B32" s="59" t="n"/>
      <c r="C32" s="60" t="inlineStr">
        <is>
          <t>SPRAS</t>
        </is>
      </c>
      <c r="D32" s="61" t="inlineStr">
        <is>
          <t>LANG</t>
        </is>
      </c>
      <c r="E32" s="61" t="inlineStr">
        <is>
          <t>1</t>
        </is>
      </c>
      <c r="F32" s="51" t="inlineStr">
        <is>
          <t>PK</t>
        </is>
      </c>
      <c r="G32" s="63" t="inlineStr">
        <is>
          <t>Language key</t>
        </is>
      </c>
      <c r="H32" s="64" t="inlineStr">
        <is>
          <t>שפה</t>
        </is>
      </c>
      <c r="I32" s="59" t="n"/>
      <c r="J32" s="59" t="n"/>
      <c r="K32" s="59" t="n"/>
      <c r="L32" s="59" t="n"/>
    </row>
    <row r="33" ht="26" customHeight="1">
      <c r="A33" s="47" t="n">
        <v>11</v>
      </c>
      <c r="B33" s="66" t="n"/>
      <c r="C33" s="49" t="inlineStr">
        <is>
          <t>KTEXT</t>
        </is>
      </c>
      <c r="D33" s="50" t="inlineStr">
        <is>
          <t>CHAR</t>
        </is>
      </c>
      <c r="E33" s="50" t="inlineStr">
        <is>
          <t>40</t>
        </is>
      </c>
      <c r="F33" s="65" t="inlineStr">
        <is>
          <t>-</t>
        </is>
      </c>
      <c r="G33" s="52" t="inlineStr">
        <is>
          <t>Description</t>
        </is>
      </c>
      <c r="H33" s="53" t="inlineStr">
        <is>
          <t>תיאור</t>
        </is>
      </c>
      <c r="I33" s="66" t="n"/>
      <c r="J33" s="66" t="n"/>
      <c r="K33" s="66" t="n"/>
      <c r="L33" s="6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22" customHeight="1">
      <c r="A35" s="46" t="inlineStr">
        <is>
          <t xml:space="preserve">  ◆ טבלה CRCO  -  שיוך משאב למרכז עלות  (Work center to cost center assignment)   |   T-codes: CRC2 (Costing)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26" customHeight="1">
      <c r="A36" s="58" t="n">
        <v>12</v>
      </c>
      <c r="B36" s="68" t="inlineStr">
        <is>
          <t>CRCO</t>
        </is>
      </c>
      <c r="C36" s="60" t="inlineStr">
        <is>
          <t>OBJTY</t>
        </is>
      </c>
      <c r="D36" s="61" t="inlineStr">
        <is>
          <t>CHAR</t>
        </is>
      </c>
      <c r="E36" s="61" t="inlineStr">
        <is>
          <t>2</t>
        </is>
      </c>
      <c r="F36" s="67" t="inlineStr">
        <is>
          <t>PK/FK</t>
        </is>
      </c>
      <c r="G36" s="63" t="inlineStr">
        <is>
          <t>Object type</t>
        </is>
      </c>
      <c r="H36" s="64" t="inlineStr">
        <is>
          <t>סוג אובייקט</t>
        </is>
      </c>
      <c r="I36" s="69" t="inlineStr">
        <is>
          <t>FROM CRCO JOIN CRHD ON CRCO.OBJID = CRHD.OBJID AND CRCO.OBJTY = CRHD.OBJTY</t>
        </is>
      </c>
      <c r="J36" s="70" t="inlineStr">
        <is>
          <t>מקשר את המשאב למרכז עלות ולסוגי פעילות (Activity Types) - בסיס לתמחיר שעות מכונה/עבודה בפק"ע ולהתחשבנות ב-ACDOCA.</t>
        </is>
      </c>
      <c r="K36" s="71" t="inlineStr">
        <is>
          <t>התחשבנות ב-Universal Journal (ACDOCA); הקצאה נשמרת.</t>
        </is>
      </c>
      <c r="L36" s="72" t="inlineStr">
        <is>
          <t>SAP Help - Work Center Costing</t>
        </is>
      </c>
    </row>
    <row r="37" ht="26" customHeight="1">
      <c r="A37" s="47" t="n">
        <v>13</v>
      </c>
      <c r="B37" s="59" t="n"/>
      <c r="C37" s="49" t="inlineStr">
        <is>
          <t>OBJID</t>
        </is>
      </c>
      <c r="D37" s="50" t="inlineStr">
        <is>
          <t>NUMC</t>
        </is>
      </c>
      <c r="E37" s="50" t="inlineStr">
        <is>
          <t>8</t>
        </is>
      </c>
      <c r="F37" s="67" t="inlineStr">
        <is>
          <t>PK/FK</t>
        </is>
      </c>
      <c r="G37" s="52" t="inlineStr">
        <is>
          <t>Object ID</t>
        </is>
      </c>
      <c r="H37" s="53" t="inlineStr">
        <is>
          <t>מזהה אובייקט</t>
        </is>
      </c>
      <c r="I37" s="59" t="n"/>
      <c r="J37" s="59" t="n"/>
      <c r="K37" s="59" t="n"/>
      <c r="L37" s="59" t="n"/>
    </row>
    <row r="38" ht="26" customHeight="1">
      <c r="A38" s="58" t="n">
        <v>14</v>
      </c>
      <c r="B38" s="59" t="n"/>
      <c r="C38" s="60" t="inlineStr">
        <is>
          <t>LANUM</t>
        </is>
      </c>
      <c r="D38" s="61" t="inlineStr">
        <is>
          <t>NUMC</t>
        </is>
      </c>
      <c r="E38" s="61" t="inlineStr">
        <is>
          <t>3</t>
        </is>
      </c>
      <c r="F38" s="51" t="inlineStr">
        <is>
          <t>PK</t>
        </is>
      </c>
      <c r="G38" s="63" t="inlineStr">
        <is>
          <t>Sequence number</t>
        </is>
      </c>
      <c r="H38" s="64" t="inlineStr">
        <is>
          <t>מספר רצף</t>
        </is>
      </c>
      <c r="I38" s="59" t="n"/>
      <c r="J38" s="59" t="n"/>
      <c r="K38" s="59" t="n"/>
      <c r="L38" s="59" t="n"/>
    </row>
    <row r="39" ht="26" customHeight="1">
      <c r="A39" s="47" t="n">
        <v>15</v>
      </c>
      <c r="B39" s="59" t="n"/>
      <c r="C39" s="49" t="inlineStr">
        <is>
          <t>KOKRS</t>
        </is>
      </c>
      <c r="D39" s="50" t="inlineStr">
        <is>
          <t>CHAR</t>
        </is>
      </c>
      <c r="E39" s="50" t="inlineStr">
        <is>
          <t>4</t>
        </is>
      </c>
      <c r="F39" s="62" t="inlineStr">
        <is>
          <t>FK</t>
        </is>
      </c>
      <c r="G39" s="52" t="inlineStr">
        <is>
          <t>Controlling area</t>
        </is>
      </c>
      <c r="H39" s="53" t="inlineStr">
        <is>
          <t>אזור בקרה</t>
        </is>
      </c>
      <c r="I39" s="59" t="n"/>
      <c r="J39" s="59" t="n"/>
      <c r="K39" s="59" t="n"/>
      <c r="L39" s="59" t="n"/>
    </row>
    <row r="40" ht="26" customHeight="1">
      <c r="A40" s="58" t="n">
        <v>16</v>
      </c>
      <c r="B40" s="59" t="n"/>
      <c r="C40" s="60" t="inlineStr">
        <is>
          <t>KOSTL</t>
        </is>
      </c>
      <c r="D40" s="61" t="inlineStr">
        <is>
          <t>CHAR</t>
        </is>
      </c>
      <c r="E40" s="61" t="inlineStr">
        <is>
          <t>10</t>
        </is>
      </c>
      <c r="F40" s="62" t="inlineStr">
        <is>
          <t>FK</t>
        </is>
      </c>
      <c r="G40" s="63" t="inlineStr">
        <is>
          <t>Cost center</t>
        </is>
      </c>
      <c r="H40" s="64" t="inlineStr">
        <is>
          <t>מרכז עלות</t>
        </is>
      </c>
      <c r="I40" s="59" t="n"/>
      <c r="J40" s="59" t="n"/>
      <c r="K40" s="59" t="n"/>
      <c r="L40" s="59" t="n"/>
    </row>
    <row r="41" ht="26" customHeight="1">
      <c r="A41" s="47" t="n">
        <v>17</v>
      </c>
      <c r="B41" s="66" t="n"/>
      <c r="C41" s="49" t="inlineStr">
        <is>
          <t>LSTAR</t>
        </is>
      </c>
      <c r="D41" s="50" t="inlineStr">
        <is>
          <t>CHAR</t>
        </is>
      </c>
      <c r="E41" s="50" t="inlineStr">
        <is>
          <t>6</t>
        </is>
      </c>
      <c r="F41" s="62" t="inlineStr">
        <is>
          <t>FK</t>
        </is>
      </c>
      <c r="G41" s="52" t="inlineStr">
        <is>
          <t>Activity type</t>
        </is>
      </c>
      <c r="H41" s="53" t="inlineStr">
        <is>
          <t>סוג פעילות</t>
        </is>
      </c>
      <c r="I41" s="66" t="n"/>
      <c r="J41" s="66" t="n"/>
      <c r="K41" s="66" t="n"/>
      <c r="L41" s="66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22" customHeight="1">
      <c r="A43" s="46" t="inlineStr">
        <is>
          <t xml:space="preserve">  ◆ טבלה CRCA  -  הקצאת קיבולת למשאב  (Work center capacity allocation)   |   T-codes: CR11/CR12; CRC2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26" customHeight="1">
      <c r="A44" s="58" t="n">
        <v>18</v>
      </c>
      <c r="B44" s="68" t="inlineStr">
        <is>
          <t>CRCA</t>
        </is>
      </c>
      <c r="C44" s="60" t="inlineStr">
        <is>
          <t>OBJTY</t>
        </is>
      </c>
      <c r="D44" s="61" t="inlineStr">
        <is>
          <t>CHAR</t>
        </is>
      </c>
      <c r="E44" s="61" t="inlineStr">
        <is>
          <t>2</t>
        </is>
      </c>
      <c r="F44" s="67" t="inlineStr">
        <is>
          <t>PK/FK</t>
        </is>
      </c>
      <c r="G44" s="63" t="inlineStr">
        <is>
          <t>Object type</t>
        </is>
      </c>
      <c r="H44" s="64" t="inlineStr">
        <is>
          <t>סוג אובייקט</t>
        </is>
      </c>
      <c r="I44" s="69" t="inlineStr">
        <is>
          <t>FROM CRCA JOIN CRHD ON CRCA.OBJID = CRHD.OBJID AND CRCA.OBJTY = CRHD.OBJTY</t>
        </is>
      </c>
      <c r="J44" s="70" t="inlineStr">
        <is>
          <t>מקשר את המשאב לקיבולת (KAKO) - שעות זמינות ביום/משמרת. בסיס לתכנון עומסים ולתזמון פק"ע בקו.</t>
        </is>
      </c>
      <c r="K44" s="71" t="inlineStr">
        <is>
          <t>ללא שינוי.</t>
        </is>
      </c>
      <c r="L44" s="72" t="inlineStr">
        <is>
          <t>SAP Help - Capacity</t>
        </is>
      </c>
    </row>
    <row r="45" ht="26" customHeight="1">
      <c r="A45" s="47" t="n">
        <v>19</v>
      </c>
      <c r="B45" s="59" t="n"/>
      <c r="C45" s="49" t="inlineStr">
        <is>
          <t>OBJID</t>
        </is>
      </c>
      <c r="D45" s="50" t="inlineStr">
        <is>
          <t>NUMC</t>
        </is>
      </c>
      <c r="E45" s="50" t="inlineStr">
        <is>
          <t>8</t>
        </is>
      </c>
      <c r="F45" s="67" t="inlineStr">
        <is>
          <t>PK/FK</t>
        </is>
      </c>
      <c r="G45" s="52" t="inlineStr">
        <is>
          <t>Object ID</t>
        </is>
      </c>
      <c r="H45" s="53" t="inlineStr">
        <is>
          <t>מזהה אובייקט</t>
        </is>
      </c>
      <c r="I45" s="59" t="n"/>
      <c r="J45" s="59" t="n"/>
      <c r="K45" s="59" t="n"/>
      <c r="L45" s="59" t="n"/>
    </row>
    <row r="46" ht="26" customHeight="1">
      <c r="A46" s="58" t="n">
        <v>20</v>
      </c>
      <c r="B46" s="59" t="n"/>
      <c r="C46" s="60" t="inlineStr">
        <is>
          <t>CAPID</t>
        </is>
      </c>
      <c r="D46" s="61" t="inlineStr">
        <is>
          <t>CHAR</t>
        </is>
      </c>
      <c r="E46" s="61" t="inlineStr">
        <is>
          <t>3</t>
        </is>
      </c>
      <c r="F46" s="51" t="inlineStr">
        <is>
          <t>PK</t>
        </is>
      </c>
      <c r="G46" s="63" t="inlineStr">
        <is>
          <t>Capacity category</t>
        </is>
      </c>
      <c r="H46" s="64" t="inlineStr">
        <is>
          <t>קטגוריית קיבולת</t>
        </is>
      </c>
      <c r="I46" s="59" t="n"/>
      <c r="J46" s="59" t="n"/>
      <c r="K46" s="59" t="n"/>
      <c r="L46" s="59" t="n"/>
    </row>
    <row r="47" ht="26" customHeight="1">
      <c r="A47" s="47" t="n">
        <v>21</v>
      </c>
      <c r="B47" s="66" t="n"/>
      <c r="C47" s="49" t="inlineStr">
        <is>
          <t>KAPID</t>
        </is>
      </c>
      <c r="D47" s="50" t="inlineStr">
        <is>
          <t>NUMC</t>
        </is>
      </c>
      <c r="E47" s="50" t="inlineStr">
        <is>
          <t>8</t>
        </is>
      </c>
      <c r="F47" s="62" t="inlineStr">
        <is>
          <t>FK</t>
        </is>
      </c>
      <c r="G47" s="52" t="inlineStr">
        <is>
          <t>Capacity ID</t>
        </is>
      </c>
      <c r="H47" s="53" t="inlineStr">
        <is>
          <t>מזהה קיבולת</t>
        </is>
      </c>
      <c r="I47" s="66" t="n"/>
      <c r="J47" s="66" t="n"/>
      <c r="K47" s="66" t="n"/>
      <c r="L47" s="66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2" customHeight="1">
      <c r="A49" s="46" t="inlineStr">
        <is>
          <t xml:space="preserve">  ◆ טבלה KAKO  -  כותרת קיבולת  (Capacity header)   |   T-codes: CR11/CR12/CR13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6" customHeight="1">
      <c r="A50" s="58" t="n">
        <v>22</v>
      </c>
      <c r="B50" s="68" t="inlineStr">
        <is>
          <t>KAKO</t>
        </is>
      </c>
      <c r="C50" s="60" t="inlineStr">
        <is>
          <t>KAPID</t>
        </is>
      </c>
      <c r="D50" s="61" t="inlineStr">
        <is>
          <t>NUMC</t>
        </is>
      </c>
      <c r="E50" s="61" t="inlineStr">
        <is>
          <t>8</t>
        </is>
      </c>
      <c r="F50" s="51" t="inlineStr">
        <is>
          <t>PK</t>
        </is>
      </c>
      <c r="G50" s="63" t="inlineStr">
        <is>
          <t>Capacity ID</t>
        </is>
      </c>
      <c r="H50" s="64" t="inlineStr">
        <is>
          <t>מזהה קיבולת</t>
        </is>
      </c>
      <c r="I50" s="69" t="inlineStr">
        <is>
          <t>FROM KAKO JOIN CRCA ON KAKO.KAPID = CRCA.KAPID</t>
        </is>
      </c>
      <c r="J50" s="70" t="inlineStr">
        <is>
          <t>מגדיר את הקיבולת עצמה: לוח משמרות, ניצולת (%), מספר יחידות. קובע את הזמינות בפועל של קו הייצור.</t>
        </is>
      </c>
      <c r="K50" s="71" t="inlineStr">
        <is>
          <t>ללא שינוי.</t>
        </is>
      </c>
      <c r="L50" s="72" t="inlineStr">
        <is>
          <t>SAP Help - Capacity Header</t>
        </is>
      </c>
    </row>
    <row r="51" ht="26" customHeight="1">
      <c r="A51" s="47" t="n">
        <v>23</v>
      </c>
      <c r="B51" s="59" t="n"/>
      <c r="C51" s="49" t="inlineStr">
        <is>
          <t>KAPAR</t>
        </is>
      </c>
      <c r="D51" s="50" t="inlineStr">
        <is>
          <t>CHAR</t>
        </is>
      </c>
      <c r="E51" s="50" t="inlineStr">
        <is>
          <t>3</t>
        </is>
      </c>
      <c r="F51" s="65" t="inlineStr">
        <is>
          <t>-</t>
        </is>
      </c>
      <c r="G51" s="52" t="inlineStr">
        <is>
          <t>Capacity category</t>
        </is>
      </c>
      <c r="H51" s="53" t="inlineStr">
        <is>
          <t>קטגוריית קיבולת</t>
        </is>
      </c>
      <c r="I51" s="59" t="n"/>
      <c r="J51" s="59" t="n"/>
      <c r="K51" s="59" t="n"/>
      <c r="L51" s="59" t="n"/>
    </row>
    <row r="52" ht="26" customHeight="1">
      <c r="A52" s="58" t="n">
        <v>24</v>
      </c>
      <c r="B52" s="59" t="n"/>
      <c r="C52" s="60" t="inlineStr">
        <is>
          <t>AZNOR</t>
        </is>
      </c>
      <c r="D52" s="61" t="inlineStr">
        <is>
          <t>DEC</t>
        </is>
      </c>
      <c r="E52" s="61" t="inlineStr">
        <is>
          <t>3</t>
        </is>
      </c>
      <c r="F52" s="65" t="inlineStr">
        <is>
          <t>-</t>
        </is>
      </c>
      <c r="G52" s="63" t="inlineStr">
        <is>
          <t>Number of individual capacities</t>
        </is>
      </c>
      <c r="H52" s="64" t="inlineStr">
        <is>
          <t>מספר יחידות קיבולת</t>
        </is>
      </c>
      <c r="I52" s="59" t="n"/>
      <c r="J52" s="59" t="n"/>
      <c r="K52" s="59" t="n"/>
      <c r="L52" s="59" t="n"/>
    </row>
    <row r="53" ht="26" customHeight="1">
      <c r="A53" s="47" t="n">
        <v>25</v>
      </c>
      <c r="B53" s="66" t="n"/>
      <c r="C53" s="49" t="inlineStr">
        <is>
          <t>NGRAD</t>
        </is>
      </c>
      <c r="D53" s="50" t="inlineStr">
        <is>
          <t>DEC</t>
        </is>
      </c>
      <c r="E53" s="50" t="inlineStr">
        <is>
          <t>3</t>
        </is>
      </c>
      <c r="F53" s="65" t="inlineStr">
        <is>
          <t>-</t>
        </is>
      </c>
      <c r="G53" s="52" t="inlineStr">
        <is>
          <t>Capacity utilization (%)</t>
        </is>
      </c>
      <c r="H53" s="53" t="inlineStr">
        <is>
          <t>ניצולת קיבולת</t>
        </is>
      </c>
      <c r="I53" s="66" t="n"/>
      <c r="J53" s="66" t="n"/>
      <c r="K53" s="66" t="n"/>
      <c r="L53" s="66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2" customHeight="1">
      <c r="A55" s="46" t="inlineStr">
        <is>
          <t xml:space="preserve">  ◆ טבלה CRFH  -  אב כלי עזר ייצור (PRT)  (Production resource/tool master)   |   T-codes: CF01/CF02/CF03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6" customHeight="1">
      <c r="A56" s="58" t="n">
        <v>26</v>
      </c>
      <c r="B56" s="68" t="inlineStr">
        <is>
          <t>CRFH</t>
        </is>
      </c>
      <c r="C56" s="60" t="inlineStr">
        <is>
          <t>OBJTY</t>
        </is>
      </c>
      <c r="D56" s="61" t="inlineStr">
        <is>
          <t>CHAR</t>
        </is>
      </c>
      <c r="E56" s="61" t="inlineStr">
        <is>
          <t>2</t>
        </is>
      </c>
      <c r="F56" s="51" t="inlineStr">
        <is>
          <t>PK</t>
        </is>
      </c>
      <c r="G56" s="63" t="inlineStr">
        <is>
          <t>Object type (F=PRT)</t>
        </is>
      </c>
      <c r="H56" s="64" t="inlineStr">
        <is>
          <t>סוג אובייקט</t>
        </is>
      </c>
      <c r="I56" s="69" t="inlineStr">
        <is>
          <t>FROM FHMI JOIN CRFH ON FHMI.FHMNR = CRFH.FHMNR</t>
        </is>
      </c>
      <c r="J56" s="70" t="inlineStr">
        <is>
          <t>רשומת אב של כלי עזר ייצור (PRT) - תבניות מילוי, פורמטים, מסננים. כולל נתוני כיול וזמינות לשיבוץ במתכון.</t>
        </is>
      </c>
      <c r="K56" s="71" t="inlineStr">
        <is>
          <t>ללא שינוי.</t>
        </is>
      </c>
      <c r="L56" s="72" t="inlineStr">
        <is>
          <t>SAP Help - PRT Master</t>
        </is>
      </c>
    </row>
    <row r="57" ht="26" customHeight="1">
      <c r="A57" s="47" t="n">
        <v>27</v>
      </c>
      <c r="B57" s="59" t="n"/>
      <c r="C57" s="49" t="inlineStr">
        <is>
          <t>OBJID</t>
        </is>
      </c>
      <c r="D57" s="50" t="inlineStr">
        <is>
          <t>NUMC</t>
        </is>
      </c>
      <c r="E57" s="50" t="inlineStr">
        <is>
          <t>8</t>
        </is>
      </c>
      <c r="F57" s="51" t="inlineStr">
        <is>
          <t>PK</t>
        </is>
      </c>
      <c r="G57" s="52" t="inlineStr">
        <is>
          <t>Object ID</t>
        </is>
      </c>
      <c r="H57" s="53" t="inlineStr">
        <is>
          <t>מזהה אובייקט</t>
        </is>
      </c>
      <c r="I57" s="59" t="n"/>
      <c r="J57" s="59" t="n"/>
      <c r="K57" s="59" t="n"/>
      <c r="L57" s="59" t="n"/>
    </row>
    <row r="58" ht="26" customHeight="1">
      <c r="A58" s="58" t="n">
        <v>28</v>
      </c>
      <c r="B58" s="59" t="n"/>
      <c r="C58" s="60" t="inlineStr">
        <is>
          <t>FHMNR</t>
        </is>
      </c>
      <c r="D58" s="61" t="inlineStr">
        <is>
          <t>CHAR</t>
        </is>
      </c>
      <c r="E58" s="61" t="inlineStr">
        <is>
          <t>18</t>
        </is>
      </c>
      <c r="F58" s="65" t="inlineStr">
        <is>
          <t>-</t>
        </is>
      </c>
      <c r="G58" s="63" t="inlineStr">
        <is>
          <t>PRT number</t>
        </is>
      </c>
      <c r="H58" s="64" t="inlineStr">
        <is>
          <t>מספר כלי עזר</t>
        </is>
      </c>
      <c r="I58" s="59" t="n"/>
      <c r="J58" s="59" t="n"/>
      <c r="K58" s="59" t="n"/>
      <c r="L58" s="59" t="n"/>
    </row>
    <row r="59" ht="26" customHeight="1">
      <c r="A59" s="47" t="n">
        <v>29</v>
      </c>
      <c r="B59" s="66" t="n"/>
      <c r="C59" s="49" t="inlineStr">
        <is>
          <t>FHMART</t>
        </is>
      </c>
      <c r="D59" s="50" t="inlineStr">
        <is>
          <t>CHAR</t>
        </is>
      </c>
      <c r="E59" s="50" t="inlineStr">
        <is>
          <t>1</t>
        </is>
      </c>
      <c r="F59" s="65" t="inlineStr">
        <is>
          <t>-</t>
        </is>
      </c>
      <c r="G59" s="52" t="inlineStr">
        <is>
          <t>PRT category</t>
        </is>
      </c>
      <c r="H59" s="53" t="inlineStr">
        <is>
          <t>קטגוריית כלי עזר</t>
        </is>
      </c>
      <c r="I59" s="66" t="n"/>
      <c r="J59" s="66" t="n"/>
      <c r="K59" s="66" t="n"/>
      <c r="L59" s="66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22" customHeight="1">
      <c r="A61" s="46" t="inlineStr">
        <is>
          <t xml:space="preserve">  ◆ טבלה CRVD_A  -  ברירות מחדל למשאב (PI)  (Resource default values)   |   T-codes: CRC2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26" customHeight="1">
      <c r="A62" s="58" t="n">
        <v>30</v>
      </c>
      <c r="B62" s="68" t="inlineStr">
        <is>
          <t>CRVD_A</t>
        </is>
      </c>
      <c r="C62" s="60" t="inlineStr">
        <is>
          <t>OBJTY</t>
        </is>
      </c>
      <c r="D62" s="61" t="inlineStr">
        <is>
          <t>CHAR</t>
        </is>
      </c>
      <c r="E62" s="61" t="inlineStr">
        <is>
          <t>2</t>
        </is>
      </c>
      <c r="F62" s="67" t="inlineStr">
        <is>
          <t>PK/FK</t>
        </is>
      </c>
      <c r="G62" s="63" t="inlineStr">
        <is>
          <t>Object type</t>
        </is>
      </c>
      <c r="H62" s="64" t="inlineStr">
        <is>
          <t>סוג אובייקט</t>
        </is>
      </c>
      <c r="I62" s="69" t="inlineStr">
        <is>
          <t>FROM CRVD_A JOIN CRHD ON CRVD_A.OBJID = CRHD.OBJID</t>
        </is>
      </c>
      <c r="J62" s="70" t="inlineStr">
        <is>
          <t>ערכי ברירת מחדל ספציפיים למשאב PI (מפתח בקרה, סוג פעילות) - מאיצים תחזוקת מתכונים אחידה בקו.</t>
        </is>
      </c>
      <c r="K62" s="71" t="inlineStr">
        <is>
          <t>ללא שינוי.</t>
        </is>
      </c>
      <c r="L62" s="72" t="inlineStr">
        <is>
          <t>SAP Help - Resource Defaults</t>
        </is>
      </c>
    </row>
    <row r="63" ht="26" customHeight="1">
      <c r="A63" s="47" t="n">
        <v>31</v>
      </c>
      <c r="B63" s="59" t="n"/>
      <c r="C63" s="49" t="inlineStr">
        <is>
          <t>OBJID</t>
        </is>
      </c>
      <c r="D63" s="50" t="inlineStr">
        <is>
          <t>NUMC</t>
        </is>
      </c>
      <c r="E63" s="50" t="inlineStr">
        <is>
          <t>8</t>
        </is>
      </c>
      <c r="F63" s="67" t="inlineStr">
        <is>
          <t>PK/FK</t>
        </is>
      </c>
      <c r="G63" s="52" t="inlineStr">
        <is>
          <t>Object ID</t>
        </is>
      </c>
      <c r="H63" s="53" t="inlineStr">
        <is>
          <t>מזהה אובייקט</t>
        </is>
      </c>
      <c r="I63" s="59" t="n"/>
      <c r="J63" s="59" t="n"/>
      <c r="K63" s="59" t="n"/>
      <c r="L63" s="59" t="n"/>
    </row>
    <row r="64" ht="26" customHeight="1">
      <c r="A64" s="58" t="n">
        <v>32</v>
      </c>
      <c r="B64" s="66" t="n"/>
      <c r="C64" s="60" t="inlineStr">
        <is>
          <t>STEUS</t>
        </is>
      </c>
      <c r="D64" s="61" t="inlineStr">
        <is>
          <t>CHAR</t>
        </is>
      </c>
      <c r="E64" s="61" t="inlineStr">
        <is>
          <t>4</t>
        </is>
      </c>
      <c r="F64" s="62" t="inlineStr">
        <is>
          <t>FK</t>
        </is>
      </c>
      <c r="G64" s="63" t="inlineStr">
        <is>
          <t>Default control key</t>
        </is>
      </c>
      <c r="H64" s="64" t="inlineStr">
        <is>
          <t>מפתח בקרה</t>
        </is>
      </c>
      <c r="I64" s="66" t="n"/>
      <c r="J64" s="66" t="n"/>
      <c r="K64" s="66" t="n"/>
      <c r="L64" s="66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22" customHeight="1">
      <c r="A66" s="46" t="inlineStr">
        <is>
          <t xml:space="preserve">  ◆ טבלה CSLA  -  סוגי פעילות למרכז עבודה  (Activity types for work center)   |   T-codes: KP26; CRC2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26" customHeight="1">
      <c r="A67" s="47" t="n">
        <v>33</v>
      </c>
      <c r="B67" s="48" t="inlineStr">
        <is>
          <t>CSLA</t>
        </is>
      </c>
      <c r="C67" s="49" t="inlineStr">
        <is>
          <t>LSTAR</t>
        </is>
      </c>
      <c r="D67" s="50" t="inlineStr">
        <is>
          <t>CHAR</t>
        </is>
      </c>
      <c r="E67" s="50" t="inlineStr">
        <is>
          <t>6</t>
        </is>
      </c>
      <c r="F67" s="51" t="inlineStr">
        <is>
          <t>PK</t>
        </is>
      </c>
      <c r="G67" s="52" t="inlineStr">
        <is>
          <t>Activity type</t>
        </is>
      </c>
      <c r="H67" s="53" t="inlineStr">
        <is>
          <t>סוג פעילות</t>
        </is>
      </c>
      <c r="I67" s="54" t="inlineStr">
        <is>
          <t>FROM CSLA JOIN CRCO ON CSLA.LSTAR = CRCO.LSTAR</t>
        </is>
      </c>
      <c r="J67" s="55" t="inlineStr">
        <is>
          <t>מגדיר את סוגי הפעילות (שעת מכונה, שעת אדם, אנרגיה) ותעריפיהם - בסיס לתמחיר עלות ייצור משתנה ב-CBC.</t>
        </is>
      </c>
      <c r="K67" s="56" t="inlineStr">
        <is>
          <t>תעריפים ב-Universal Journal; הגדרה נשמרת.</t>
        </is>
      </c>
      <c r="L67" s="57" t="inlineStr">
        <is>
          <t>SAP Help - Activity Types</t>
        </is>
      </c>
    </row>
    <row r="68" ht="26" customHeight="1">
      <c r="A68" s="58" t="n">
        <v>34</v>
      </c>
      <c r="B68" s="59" t="n"/>
      <c r="C68" s="60" t="inlineStr">
        <is>
          <t>KOKRS</t>
        </is>
      </c>
      <c r="D68" s="61" t="inlineStr">
        <is>
          <t>CHAR</t>
        </is>
      </c>
      <c r="E68" s="61" t="inlineStr">
        <is>
          <t>4</t>
        </is>
      </c>
      <c r="F68" s="51" t="inlineStr">
        <is>
          <t>PK</t>
        </is>
      </c>
      <c r="G68" s="63" t="inlineStr">
        <is>
          <t>Controlling area</t>
        </is>
      </c>
      <c r="H68" s="64" t="inlineStr">
        <is>
          <t>אזור בקרה</t>
        </is>
      </c>
      <c r="I68" s="59" t="n"/>
      <c r="J68" s="59" t="n"/>
      <c r="K68" s="59" t="n"/>
      <c r="L68" s="59" t="n"/>
    </row>
    <row r="69" ht="26" customHeight="1">
      <c r="A69" s="47" t="n">
        <v>35</v>
      </c>
      <c r="B69" s="66" t="n"/>
      <c r="C69" s="49" t="inlineStr">
        <is>
          <t>LEINH</t>
        </is>
      </c>
      <c r="D69" s="50" t="inlineStr">
        <is>
          <t>UNIT</t>
        </is>
      </c>
      <c r="E69" s="50" t="inlineStr">
        <is>
          <t>3</t>
        </is>
      </c>
      <c r="F69" s="65" t="inlineStr">
        <is>
          <t>-</t>
        </is>
      </c>
      <c r="G69" s="52" t="inlineStr">
        <is>
          <t>Activity unit</t>
        </is>
      </c>
      <c r="H69" s="53" t="inlineStr">
        <is>
          <t>יחידת פעילות</t>
        </is>
      </c>
      <c r="I69" s="66" t="n"/>
      <c r="J69" s="66" t="n"/>
      <c r="K69" s="66" t="n"/>
      <c r="L69" s="66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22" customHeight="1">
      <c r="A71" s="46" t="inlineStr">
        <is>
          <t xml:space="preserve">  ◆ טבלה KAZT  -  מרווחי קיבולת זמינה  (Capacity available intervals)   |   T-codes: CR11/CR12/CR13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26" customHeight="1">
      <c r="A72" s="58" t="n">
        <v>36</v>
      </c>
      <c r="B72" s="68" t="inlineStr">
        <is>
          <t>KAZT</t>
        </is>
      </c>
      <c r="C72" s="60" t="inlineStr">
        <is>
          <t>KAPID</t>
        </is>
      </c>
      <c r="D72" s="61" t="inlineStr">
        <is>
          <t>NUMC</t>
        </is>
      </c>
      <c r="E72" s="61" t="inlineStr">
        <is>
          <t>8</t>
        </is>
      </c>
      <c r="F72" s="67" t="inlineStr">
        <is>
          <t>PK/FK</t>
        </is>
      </c>
      <c r="G72" s="63" t="inlineStr">
        <is>
          <t>Capacity ID</t>
        </is>
      </c>
      <c r="H72" s="64" t="inlineStr">
        <is>
          <t>מזהה קיבולת</t>
        </is>
      </c>
      <c r="I72" s="69" t="inlineStr">
        <is>
          <t>FROM KAZT JOIN KAKO ON KAZT.KAPID = KAKO.KAPID</t>
        </is>
      </c>
      <c r="J72" s="70" t="inlineStr">
        <is>
          <t>מגדיר את הקיבולת הזמינה בפועל לאורך זמן (לפי משמרת/יום/מרווח) - שעות המכונה הזמינות לתזמון פק"ע בקו. בסיס לתכנון עומסים מדויק (CM01) ולזיהוי צווארי בקבוק.</t>
        </is>
      </c>
      <c r="K72" s="71" t="inlineStr">
        <is>
          <t>ללא שינוי מבני.</t>
        </is>
      </c>
      <c r="L72" s="72" t="inlineStr">
        <is>
          <t>SAP Help - Available Capacity</t>
        </is>
      </c>
    </row>
    <row r="73" ht="26" customHeight="1">
      <c r="A73" s="47" t="n">
        <v>37</v>
      </c>
      <c r="B73" s="59" t="n"/>
      <c r="C73" s="49" t="inlineStr">
        <is>
          <t>VERSN</t>
        </is>
      </c>
      <c r="D73" s="50" t="inlineStr">
        <is>
          <t>NUMC</t>
        </is>
      </c>
      <c r="E73" s="50" t="inlineStr">
        <is>
          <t>3</t>
        </is>
      </c>
      <c r="F73" s="51" t="inlineStr">
        <is>
          <t>PK</t>
        </is>
      </c>
      <c r="G73" s="52" t="inlineStr">
        <is>
          <t>Capacity version</t>
        </is>
      </c>
      <c r="H73" s="53" t="inlineStr">
        <is>
          <t>גרסת קיבולת</t>
        </is>
      </c>
      <c r="I73" s="59" t="n"/>
      <c r="J73" s="59" t="n"/>
      <c r="K73" s="59" t="n"/>
      <c r="L73" s="59" t="n"/>
    </row>
    <row r="74" ht="26" customHeight="1">
      <c r="A74" s="58" t="n">
        <v>38</v>
      </c>
      <c r="B74" s="59" t="n"/>
      <c r="C74" s="60" t="inlineStr">
        <is>
          <t>TPROG</t>
        </is>
      </c>
      <c r="D74" s="61" t="inlineStr">
        <is>
          <t>CHAR</t>
        </is>
      </c>
      <c r="E74" s="61" t="inlineStr">
        <is>
          <t>2</t>
        </is>
      </c>
      <c r="F74" s="65" t="inlineStr">
        <is>
          <t>-</t>
        </is>
      </c>
      <c r="G74" s="63" t="inlineStr">
        <is>
          <t>Shift sequence / grouping</t>
        </is>
      </c>
      <c r="H74" s="64" t="inlineStr">
        <is>
          <t>רצף משמרות</t>
        </is>
      </c>
      <c r="I74" s="59" t="n"/>
      <c r="J74" s="59" t="n"/>
      <c r="K74" s="59" t="n"/>
      <c r="L74" s="59" t="n"/>
    </row>
    <row r="75" ht="26" customHeight="1">
      <c r="A75" s="47" t="n">
        <v>39</v>
      </c>
      <c r="B75" s="59" t="n"/>
      <c r="C75" s="49" t="inlineStr">
        <is>
          <t>BEGZT</t>
        </is>
      </c>
      <c r="D75" s="50" t="inlineStr">
        <is>
          <t>TIMS</t>
        </is>
      </c>
      <c r="E75" s="50" t="inlineStr">
        <is>
          <t>6</t>
        </is>
      </c>
      <c r="F75" s="65" t="inlineStr">
        <is>
          <t>-</t>
        </is>
      </c>
      <c r="G75" s="52" t="inlineStr">
        <is>
          <t>Start time</t>
        </is>
      </c>
      <c r="H75" s="53" t="inlineStr">
        <is>
          <t>שעת התחלה</t>
        </is>
      </c>
      <c r="I75" s="59" t="n"/>
      <c r="J75" s="59" t="n"/>
      <c r="K75" s="59" t="n"/>
      <c r="L75" s="59" t="n"/>
    </row>
    <row r="76" ht="26" customHeight="1">
      <c r="A76" s="58" t="n">
        <v>40</v>
      </c>
      <c r="B76" s="59" t="n"/>
      <c r="C76" s="60" t="inlineStr">
        <is>
          <t>ENDZT</t>
        </is>
      </c>
      <c r="D76" s="61" t="inlineStr">
        <is>
          <t>TIMS</t>
        </is>
      </c>
      <c r="E76" s="61" t="inlineStr">
        <is>
          <t>6</t>
        </is>
      </c>
      <c r="F76" s="65" t="inlineStr">
        <is>
          <t>-</t>
        </is>
      </c>
      <c r="G76" s="63" t="inlineStr">
        <is>
          <t>End time</t>
        </is>
      </c>
      <c r="H76" s="64" t="inlineStr">
        <is>
          <t>שעת סיום</t>
        </is>
      </c>
      <c r="I76" s="59" t="n"/>
      <c r="J76" s="59" t="n"/>
      <c r="K76" s="59" t="n"/>
      <c r="L76" s="59" t="n"/>
    </row>
    <row r="77" ht="26" customHeight="1">
      <c r="A77" s="47" t="n">
        <v>41</v>
      </c>
      <c r="B77" s="66" t="n"/>
      <c r="C77" s="49" t="inlineStr">
        <is>
          <t>KAPAZ</t>
        </is>
      </c>
      <c r="D77" s="50" t="inlineStr">
        <is>
          <t>DEC</t>
        </is>
      </c>
      <c r="E77" s="50" t="inlineStr">
        <is>
          <t>11</t>
        </is>
      </c>
      <c r="F77" s="65" t="inlineStr">
        <is>
          <t>-</t>
        </is>
      </c>
      <c r="G77" s="52" t="inlineStr">
        <is>
          <t>Available capacity</t>
        </is>
      </c>
      <c r="H77" s="53" t="inlineStr">
        <is>
          <t>קיבולת זמינה</t>
        </is>
      </c>
      <c r="I77" s="66" t="n"/>
      <c r="J77" s="66" t="n"/>
      <c r="K77" s="66" t="n"/>
      <c r="L77" s="66" t="n"/>
    </row>
  </sheetData>
  <mergeCells count="92">
    <mergeCell ref="E18:L18"/>
    <mergeCell ref="I30:I33"/>
    <mergeCell ref="B50:B53"/>
    <mergeCell ref="C13:F13"/>
    <mergeCell ref="L67:L69"/>
    <mergeCell ref="A71:L71"/>
    <mergeCell ref="I56:I59"/>
    <mergeCell ref="L30:L33"/>
    <mergeCell ref="K56:K59"/>
    <mergeCell ref="A15:D15"/>
    <mergeCell ref="I72:I77"/>
    <mergeCell ref="K72:K77"/>
    <mergeCell ref="J67:J69"/>
    <mergeCell ref="J36:J41"/>
    <mergeCell ref="B62:B64"/>
    <mergeCell ref="B44:B47"/>
    <mergeCell ref="A16:D16"/>
    <mergeCell ref="C10:F10"/>
    <mergeCell ref="B21:B27"/>
    <mergeCell ref="K21:K27"/>
    <mergeCell ref="J56:J59"/>
    <mergeCell ref="A49:L49"/>
    <mergeCell ref="L56:L59"/>
    <mergeCell ref="A6:C6"/>
    <mergeCell ref="L72:L77"/>
    <mergeCell ref="K30:K33"/>
    <mergeCell ref="A17:D17"/>
    <mergeCell ref="B56:B59"/>
    <mergeCell ref="G10:L10"/>
    <mergeCell ref="A11:B11"/>
    <mergeCell ref="A3:L3"/>
    <mergeCell ref="A55:L55"/>
    <mergeCell ref="E17:L17"/>
    <mergeCell ref="A5:C5"/>
    <mergeCell ref="I6:L6"/>
    <mergeCell ref="A14:L14"/>
    <mergeCell ref="A4:L4"/>
    <mergeCell ref="A43:L43"/>
    <mergeCell ref="B30:B33"/>
    <mergeCell ref="J50:J53"/>
    <mergeCell ref="I7:L7"/>
    <mergeCell ref="L50:L53"/>
    <mergeCell ref="G12:L12"/>
    <mergeCell ref="L44:L47"/>
    <mergeCell ref="I50:I53"/>
    <mergeCell ref="B36:B41"/>
    <mergeCell ref="A10:B10"/>
    <mergeCell ref="D5:H5"/>
    <mergeCell ref="A7:C7"/>
    <mergeCell ref="I67:I69"/>
    <mergeCell ref="K67:K69"/>
    <mergeCell ref="J62:J64"/>
    <mergeCell ref="A66:L66"/>
    <mergeCell ref="J72:J77"/>
    <mergeCell ref="B72:B77"/>
    <mergeCell ref="A1:B1"/>
    <mergeCell ref="I36:I41"/>
    <mergeCell ref="K36:K41"/>
    <mergeCell ref="K62:K64"/>
    <mergeCell ref="K44:K47"/>
    <mergeCell ref="A12:B12"/>
    <mergeCell ref="A20:L20"/>
    <mergeCell ref="D7:H7"/>
    <mergeCell ref="J21:J27"/>
    <mergeCell ref="A29:L29"/>
    <mergeCell ref="C1:L1"/>
    <mergeCell ref="G11:L11"/>
    <mergeCell ref="D8:H8"/>
    <mergeCell ref="C12:F12"/>
    <mergeCell ref="A61:L61"/>
    <mergeCell ref="L36:L41"/>
    <mergeCell ref="I8:L8"/>
    <mergeCell ref="G13:L13"/>
    <mergeCell ref="I21:I27"/>
    <mergeCell ref="J44:J47"/>
    <mergeCell ref="D6:H6"/>
    <mergeCell ref="A8:C8"/>
    <mergeCell ref="K50:K53"/>
    <mergeCell ref="L21:L27"/>
    <mergeCell ref="J30:J33"/>
    <mergeCell ref="A35:L35"/>
    <mergeCell ref="E15:L15"/>
    <mergeCell ref="A9:L9"/>
    <mergeCell ref="L62:L64"/>
    <mergeCell ref="B67:B69"/>
    <mergeCell ref="A18:D18"/>
    <mergeCell ref="I62:I64"/>
    <mergeCell ref="I44:I47"/>
    <mergeCell ref="E16:L16"/>
    <mergeCell ref="A13:B13"/>
    <mergeCell ref="C11:F11"/>
    <mergeCell ref="I5:L5"/>
  </mergeCell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L21" r:id="rId3"/>
    <hyperlink xmlns:r="http://schemas.openxmlformats.org/officeDocument/2006/relationships" ref="L30" r:id="rId4"/>
    <hyperlink xmlns:r="http://schemas.openxmlformats.org/officeDocument/2006/relationships" ref="L36" r:id="rId5"/>
    <hyperlink xmlns:r="http://schemas.openxmlformats.org/officeDocument/2006/relationships" ref="L44" r:id="rId6"/>
    <hyperlink xmlns:r="http://schemas.openxmlformats.org/officeDocument/2006/relationships" ref="L50" r:id="rId7"/>
    <hyperlink xmlns:r="http://schemas.openxmlformats.org/officeDocument/2006/relationships" ref="L56" r:id="rId8"/>
    <hyperlink xmlns:r="http://schemas.openxmlformats.org/officeDocument/2006/relationships" ref="L62" r:id="rId9"/>
    <hyperlink xmlns:r="http://schemas.openxmlformats.org/officeDocument/2006/relationships" ref="L67" r:id="rId10"/>
    <hyperlink xmlns:r="http://schemas.openxmlformats.org/officeDocument/2006/relationships" ref="L72" r:id="rId11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L76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6. פק"ע ייצור ומתכון בקרה (Process Order)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COR1 / COR2 / COR3</t>
        </is>
      </c>
      <c r="B6" s="4" t="n"/>
      <c r="C6" s="4" t="n"/>
      <c r="D6" s="41" t="inlineStr">
        <is>
          <t>Create / Change / Display Process Order</t>
        </is>
      </c>
      <c r="E6" s="4" t="n"/>
      <c r="F6" s="4" t="n"/>
      <c r="G6" s="4" t="n"/>
      <c r="H6" s="4" t="n"/>
      <c r="I6" s="43" t="inlineStr">
        <is>
          <t>-</t>
        </is>
      </c>
      <c r="J6" s="4" t="n"/>
      <c r="K6" s="4" t="n"/>
      <c r="L6" s="4" t="n"/>
    </row>
    <row r="7" ht="18" customHeight="1">
      <c r="A7" s="40" t="inlineStr">
        <is>
          <t>COR6N (confirm)</t>
        </is>
      </c>
      <c r="B7" s="4" t="n"/>
      <c r="C7" s="4" t="n"/>
      <c r="D7" s="41" t="inlineStr">
        <is>
          <t>Confirm Production Operation</t>
        </is>
      </c>
      <c r="E7" s="4" t="n"/>
      <c r="F7" s="4" t="n"/>
      <c r="G7" s="4" t="n"/>
      <c r="H7" s="4" t="n"/>
      <c r="I7" s="42" t="inlineStr">
        <is>
          <t>F3372</t>
        </is>
      </c>
      <c r="J7" s="4" t="n"/>
      <c r="K7" s="4" t="n"/>
      <c r="L7" s="4" t="n"/>
    </row>
    <row r="8" ht="18" customHeight="1">
      <c r="A8" s="40" t="inlineStr">
        <is>
          <t>COIO / COOIS</t>
        </is>
      </c>
      <c r="B8" s="4" t="n"/>
      <c r="C8" s="4" t="n"/>
      <c r="D8" s="41" t="inlineStr">
        <is>
          <t>Process Order Information System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40" t="inlineStr">
        <is>
          <t>COHV (mass proc.)</t>
        </is>
      </c>
      <c r="B9" s="4" t="n"/>
      <c r="C9" s="4" t="n"/>
      <c r="D9" s="41" t="inlineStr">
        <is>
          <t>Mass Processing - Orders</t>
        </is>
      </c>
      <c r="E9" s="4" t="n"/>
      <c r="F9" s="4" t="n"/>
      <c r="G9" s="4" t="n"/>
      <c r="H9" s="4" t="n"/>
      <c r="I9" s="43" t="inlineStr">
        <is>
          <t>-</t>
        </is>
      </c>
      <c r="J9" s="4" t="n"/>
      <c r="K9" s="4" t="n"/>
      <c r="L9" s="4" t="n"/>
    </row>
    <row r="10" ht="18" customHeight="1">
      <c r="A10" s="38" t="inlineStr">
        <is>
          <t xml:space="preserve">    ממשקים ובלוקים פונקציונליים: BAPIs / IDocs / RFCs (Extraction &amp; Messaging)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" customHeight="1">
      <c r="A11" s="39" t="inlineStr">
        <is>
          <t>Type</t>
        </is>
      </c>
      <c r="B11" s="4" t="n"/>
      <c r="C11" s="39" t="inlineStr">
        <is>
          <t>Name</t>
        </is>
      </c>
      <c r="D11" s="4" t="n"/>
      <c r="E11" s="4" t="n"/>
      <c r="F11" s="4" t="n"/>
      <c r="G11" s="39" t="inlineStr">
        <is>
          <t>תיאור / Description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BAPI</t>
        </is>
      </c>
      <c r="B12" s="4" t="n"/>
      <c r="C12" s="45" t="inlineStr">
        <is>
          <t>BAPI_PROCORD_CREATE / _RELEASE</t>
        </is>
      </c>
      <c r="D12" s="4" t="n"/>
      <c r="E12" s="4" t="n"/>
      <c r="F12" s="4" t="n"/>
      <c r="G12" s="41" t="inlineStr">
        <is>
          <t>יצירה/שחרור פק"ע ייצור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BAPI</t>
        </is>
      </c>
      <c r="B13" s="4" t="n"/>
      <c r="C13" s="45" t="inlineStr">
        <is>
          <t>BAPI_PROCORDCONF_CREATE_TT</t>
        </is>
      </c>
      <c r="D13" s="4" t="n"/>
      <c r="E13" s="4" t="n"/>
      <c r="F13" s="4" t="n"/>
      <c r="G13" s="41" t="inlineStr">
        <is>
          <t>דיווח ביצוע פק"ע (Time Ticket)</t>
        </is>
      </c>
      <c r="H13" s="4" t="n"/>
      <c r="I13" s="4" t="n"/>
      <c r="J13" s="4" t="n"/>
      <c r="K13" s="4" t="n"/>
      <c r="L13" s="4" t="n"/>
    </row>
    <row r="14" ht="18" customHeight="1">
      <c r="A14" s="44" t="inlineStr">
        <is>
          <t>IDoc</t>
        </is>
      </c>
      <c r="B14" s="4" t="n"/>
      <c r="C14" s="45" t="inlineStr">
        <is>
          <t>LOIPRO</t>
        </is>
      </c>
      <c r="D14" s="4" t="n"/>
      <c r="E14" s="4" t="n"/>
      <c r="F14" s="4" t="n"/>
      <c r="G14" s="41" t="inlineStr">
        <is>
          <t>שליחת פק"ע/הוראות ייצור ל-MES (Zetes/Daymax)</t>
        </is>
      </c>
      <c r="H14" s="4" t="n"/>
      <c r="I14" s="4" t="n"/>
      <c r="J14" s="4" t="n"/>
      <c r="K14" s="4" t="n"/>
      <c r="L14" s="4" t="n"/>
    </row>
    <row r="15" ht="18" customHeight="1">
      <c r="A15" s="44" t="inlineStr">
        <is>
          <t>IDoc</t>
        </is>
      </c>
      <c r="B15" s="4" t="n"/>
      <c r="C15" s="45" t="inlineStr">
        <is>
          <t>PPCC1 (PP-PI message)</t>
        </is>
      </c>
      <c r="D15" s="4" t="n"/>
      <c r="E15" s="4" t="n"/>
      <c r="F15" s="4" t="n"/>
      <c r="G15" s="41" t="inlineStr">
        <is>
          <t>הודעות תהליך/דיווח מהקו חזרה ל-SAP</t>
        </is>
      </c>
      <c r="H15" s="4" t="n"/>
      <c r="I15" s="4" t="n"/>
      <c r="J15" s="4" t="n"/>
      <c r="K15" s="4" t="n"/>
      <c r="L15" s="4" t="n"/>
    </row>
    <row r="16" ht="18" customHeight="1">
      <c r="A16" s="38" t="inlineStr">
        <is>
          <t xml:space="preserve">    תוכניות רקע ודוחות סטנדרטיים (Background Programs / Reports)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39" t="inlineStr">
        <is>
          <t>Program / Report</t>
        </is>
      </c>
      <c r="B17" s="4" t="n"/>
      <c r="C17" s="4" t="n"/>
      <c r="D17" s="4" t="n"/>
      <c r="E17" s="39" t="inlineStr">
        <is>
          <t>תיאור ומטרה / Usage &amp; Trigger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MD01 / MD01N (MRP Live)</t>
        </is>
      </c>
      <c r="B18" s="4" t="n"/>
      <c r="C18" s="4" t="n"/>
      <c r="D18" s="4" t="n"/>
      <c r="E18" s="41" t="inlineStr">
        <is>
          <t>הרצת MRP - תכנון חומרים וייצור</t>
        </is>
      </c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5" t="inlineStr">
        <is>
          <t>COHV / RCO_BATCH_SCHEDULE</t>
        </is>
      </c>
      <c r="B19" s="4" t="n"/>
      <c r="C19" s="4" t="n"/>
      <c r="D19" s="4" t="n"/>
      <c r="E19" s="41" t="inlineStr">
        <is>
          <t>עיבוד המוני ותזמון אצוות פק"ע</t>
        </is>
      </c>
      <c r="F19" s="4" t="n"/>
      <c r="G19" s="4" t="n"/>
      <c r="H19" s="4" t="n"/>
      <c r="I19" s="4" t="n"/>
      <c r="J19" s="4" t="n"/>
      <c r="K19" s="4" t="n"/>
      <c r="L19" s="4" t="n"/>
    </row>
    <row r="20" ht="18" customHeight="1">
      <c r="A20" s="45" t="inlineStr">
        <is>
          <t>CO41 / CO48 (convert)</t>
        </is>
      </c>
      <c r="B20" s="4" t="n"/>
      <c r="C20" s="4" t="n"/>
      <c r="D20" s="4" t="n"/>
      <c r="E20" s="41" t="inlineStr">
        <is>
          <t>המרת פק"ע מתוכננת לפק"ע ייצור</t>
        </is>
      </c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2" customHeight="1">
      <c r="A22" s="46" t="inlineStr">
        <is>
          <t xml:space="preserve">  ◆ טבלה AUFK  -  נתוני אב של פקודת ייצור  (Order master data)   |   T-codes: COR1/COR2/COR3; COOIS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6" customHeight="1">
      <c r="A23" s="47" t="n">
        <v>1</v>
      </c>
      <c r="B23" s="48" t="inlineStr">
        <is>
          <t>AUFK</t>
        </is>
      </c>
      <c r="C23" s="49" t="inlineStr">
        <is>
          <t>AUFNR</t>
        </is>
      </c>
      <c r="D23" s="50" t="inlineStr">
        <is>
          <t>CHAR</t>
        </is>
      </c>
      <c r="E23" s="50" t="inlineStr">
        <is>
          <t>12</t>
        </is>
      </c>
      <c r="F23" s="51" t="inlineStr">
        <is>
          <t>PK</t>
        </is>
      </c>
      <c r="G23" s="52" t="inlineStr">
        <is>
          <t>Order number</t>
        </is>
      </c>
      <c r="H23" s="53" t="inlineStr">
        <is>
          <t>מספר פק"ע</t>
        </is>
      </c>
      <c r="I23" s="54" t="inlineStr">
        <is>
          <t>(header - process order master)</t>
        </is>
      </c>
      <c r="J23" s="55" t="inlineStr">
        <is>
          <t>כותרת פק"ע הייצור (Process Order). נוצרת מגרסת ייצור (MKAL) + מתכון. שחרור הפק"ע מייצר Control Recipe ושולח הוראות תהליך לקו דרך IDoc. מעקב ב-COR2/COIO.</t>
        </is>
      </c>
      <c r="K23" s="56" t="inlineStr">
        <is>
          <t>מודל מותאם; עלויות ב-ACDOCA.</t>
        </is>
      </c>
      <c r="L23" s="57" t="inlineStr">
        <is>
          <t>SAP Help - Process Order</t>
        </is>
      </c>
    </row>
    <row r="24" ht="26" customHeight="1">
      <c r="A24" s="58" t="n">
        <v>2</v>
      </c>
      <c r="B24" s="59" t="n"/>
      <c r="C24" s="60" t="inlineStr">
        <is>
          <t>AUART</t>
        </is>
      </c>
      <c r="D24" s="61" t="inlineStr">
        <is>
          <t>CHAR</t>
        </is>
      </c>
      <c r="E24" s="61" t="inlineStr">
        <is>
          <t>4</t>
        </is>
      </c>
      <c r="F24" s="62" t="inlineStr">
        <is>
          <t>FK</t>
        </is>
      </c>
      <c r="G24" s="63" t="inlineStr">
        <is>
          <t>Order type</t>
        </is>
      </c>
      <c r="H24" s="64" t="inlineStr">
        <is>
          <t>סוג פק"ע</t>
        </is>
      </c>
      <c r="I24" s="59" t="n"/>
      <c r="J24" s="59" t="n"/>
      <c r="K24" s="59" t="n"/>
      <c r="L24" s="59" t="n"/>
    </row>
    <row r="25" ht="26" customHeight="1">
      <c r="A25" s="47" t="n">
        <v>3</v>
      </c>
      <c r="B25" s="59" t="n"/>
      <c r="C25" s="49" t="inlineStr">
        <is>
          <t>WERKS</t>
        </is>
      </c>
      <c r="D25" s="50" t="inlineStr">
        <is>
          <t>CHAR</t>
        </is>
      </c>
      <c r="E25" s="50" t="inlineStr">
        <is>
          <t>4</t>
        </is>
      </c>
      <c r="F25" s="62" t="inlineStr">
        <is>
          <t>FK</t>
        </is>
      </c>
      <c r="G25" s="52" t="inlineStr">
        <is>
          <t>Plant</t>
        </is>
      </c>
      <c r="H25" s="53" t="inlineStr">
        <is>
          <t>מפעל</t>
        </is>
      </c>
      <c r="I25" s="59" t="n"/>
      <c r="J25" s="59" t="n"/>
      <c r="K25" s="59" t="n"/>
      <c r="L25" s="59" t="n"/>
    </row>
    <row r="26" ht="26" customHeight="1">
      <c r="A26" s="58" t="n">
        <v>4</v>
      </c>
      <c r="B26" s="59" t="n"/>
      <c r="C26" s="60" t="inlineStr">
        <is>
          <t>OBJNR</t>
        </is>
      </c>
      <c r="D26" s="61" t="inlineStr">
        <is>
          <t>CHAR</t>
        </is>
      </c>
      <c r="E26" s="61" t="inlineStr">
        <is>
          <t>22</t>
        </is>
      </c>
      <c r="F26" s="62" t="inlineStr">
        <is>
          <t>FK</t>
        </is>
      </c>
      <c r="G26" s="63" t="inlineStr">
        <is>
          <t>Object number (status)</t>
        </is>
      </c>
      <c r="H26" s="64" t="inlineStr">
        <is>
          <t>מפתח אובייקט</t>
        </is>
      </c>
      <c r="I26" s="59" t="n"/>
      <c r="J26" s="59" t="n"/>
      <c r="K26" s="59" t="n"/>
      <c r="L26" s="59" t="n"/>
    </row>
    <row r="27" ht="26" customHeight="1">
      <c r="A27" s="47" t="n">
        <v>5</v>
      </c>
      <c r="B27" s="66" t="n"/>
      <c r="C27" s="49" t="inlineStr">
        <is>
          <t>KTEXT</t>
        </is>
      </c>
      <c r="D27" s="50" t="inlineStr">
        <is>
          <t>CHAR</t>
        </is>
      </c>
      <c r="E27" s="50" t="inlineStr">
        <is>
          <t>40</t>
        </is>
      </c>
      <c r="F27" s="65" t="inlineStr">
        <is>
          <t>-</t>
        </is>
      </c>
      <c r="G27" s="52" t="inlineStr">
        <is>
          <t>Description</t>
        </is>
      </c>
      <c r="H27" s="53" t="inlineStr">
        <is>
          <t>תיאור</t>
        </is>
      </c>
      <c r="I27" s="66" t="n"/>
      <c r="J27" s="66" t="n"/>
      <c r="K27" s="66" t="n"/>
      <c r="L27" s="6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2" customHeight="1">
      <c r="A29" s="46" t="inlineStr">
        <is>
          <t xml:space="preserve">  ◆ טבלה AFKO  -  כותרת פקודת ייצור  (Order header data)   |   T-codes: COR2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6" customHeight="1">
      <c r="A30" s="58" t="n">
        <v>6</v>
      </c>
      <c r="B30" s="68" t="inlineStr">
        <is>
          <t>AFKO</t>
        </is>
      </c>
      <c r="C30" s="60" t="inlineStr">
        <is>
          <t>AUFNR</t>
        </is>
      </c>
      <c r="D30" s="61" t="inlineStr">
        <is>
          <t>CHAR</t>
        </is>
      </c>
      <c r="E30" s="61" t="inlineStr">
        <is>
          <t>12</t>
        </is>
      </c>
      <c r="F30" s="67" t="inlineStr">
        <is>
          <t>PK/FK</t>
        </is>
      </c>
      <c r="G30" s="63" t="inlineStr">
        <is>
          <t>Order number</t>
        </is>
      </c>
      <c r="H30" s="64" t="inlineStr">
        <is>
          <t>מספר פק"ע</t>
        </is>
      </c>
      <c r="I30" s="69" t="inlineStr">
        <is>
          <t>FROM AFKO JOIN AUFK ON AFKO.AUFNR = AUFK.AUFNR</t>
        </is>
      </c>
      <c r="J30" s="70" t="inlineStr">
        <is>
          <t>נתוני הייצור של הפק"ע: כמות, מועדים, גרסת ייצור (VERID), מתכון. AUFPL מקשר לפעולות. בסיס לתזמון ולפליטת חומרים.</t>
        </is>
      </c>
      <c r="K30" s="71" t="inlineStr">
        <is>
          <t>מותאם (תואם).</t>
        </is>
      </c>
      <c r="L30" s="72" t="inlineStr">
        <is>
          <t>SAP Help - Order Header</t>
        </is>
      </c>
    </row>
    <row r="31" ht="26" customHeight="1">
      <c r="A31" s="47" t="n">
        <v>7</v>
      </c>
      <c r="B31" s="59" t="n"/>
      <c r="C31" s="49" t="inlineStr">
        <is>
          <t>GAMNG</t>
        </is>
      </c>
      <c r="D31" s="50" t="inlineStr">
        <is>
          <t>QUAN</t>
        </is>
      </c>
      <c r="E31" s="50" t="inlineStr">
        <is>
          <t>13</t>
        </is>
      </c>
      <c r="F31" s="65" t="inlineStr">
        <is>
          <t>-</t>
        </is>
      </c>
      <c r="G31" s="52" t="inlineStr">
        <is>
          <t>Total order quantity</t>
        </is>
      </c>
      <c r="H31" s="53" t="inlineStr">
        <is>
          <t>כמות פק"ע</t>
        </is>
      </c>
      <c r="I31" s="59" t="n"/>
      <c r="J31" s="59" t="n"/>
      <c r="K31" s="59" t="n"/>
      <c r="L31" s="59" t="n"/>
    </row>
    <row r="32" ht="26" customHeight="1">
      <c r="A32" s="58" t="n">
        <v>8</v>
      </c>
      <c r="B32" s="59" t="n"/>
      <c r="C32" s="60" t="inlineStr">
        <is>
          <t>GMEIN</t>
        </is>
      </c>
      <c r="D32" s="61" t="inlineStr">
        <is>
          <t>UNIT</t>
        </is>
      </c>
      <c r="E32" s="61" t="inlineStr">
        <is>
          <t>3</t>
        </is>
      </c>
      <c r="F32" s="62" t="inlineStr">
        <is>
          <t>FK</t>
        </is>
      </c>
      <c r="G32" s="63" t="inlineStr">
        <is>
          <t>Unit of measure</t>
        </is>
      </c>
      <c r="H32" s="64" t="inlineStr">
        <is>
          <t>יחידת מידה</t>
        </is>
      </c>
      <c r="I32" s="59" t="n"/>
      <c r="J32" s="59" t="n"/>
      <c r="K32" s="59" t="n"/>
      <c r="L32" s="59" t="n"/>
    </row>
    <row r="33" ht="26" customHeight="1">
      <c r="A33" s="47" t="n">
        <v>9</v>
      </c>
      <c r="B33" s="59" t="n"/>
      <c r="C33" s="49" t="inlineStr">
        <is>
          <t>VERID</t>
        </is>
      </c>
      <c r="D33" s="50" t="inlineStr">
        <is>
          <t>CHAR</t>
        </is>
      </c>
      <c r="E33" s="50" t="inlineStr">
        <is>
          <t>4</t>
        </is>
      </c>
      <c r="F33" s="62" t="inlineStr">
        <is>
          <t>FK</t>
        </is>
      </c>
      <c r="G33" s="52" t="inlineStr">
        <is>
          <t>Production version</t>
        </is>
      </c>
      <c r="H33" s="53" t="inlineStr">
        <is>
          <t>גרסת ייצור</t>
        </is>
      </c>
      <c r="I33" s="59" t="n"/>
      <c r="J33" s="59" t="n"/>
      <c r="K33" s="59" t="n"/>
      <c r="L33" s="59" t="n"/>
    </row>
    <row r="34" ht="26" customHeight="1">
      <c r="A34" s="58" t="n">
        <v>10</v>
      </c>
      <c r="B34" s="59" t="n"/>
      <c r="C34" s="60" t="inlineStr">
        <is>
          <t>AUFPL</t>
        </is>
      </c>
      <c r="D34" s="61" t="inlineStr">
        <is>
          <t>NUMC</t>
        </is>
      </c>
      <c r="E34" s="61" t="inlineStr">
        <is>
          <t>10</t>
        </is>
      </c>
      <c r="F34" s="62" t="inlineStr">
        <is>
          <t>FK</t>
        </is>
      </c>
      <c r="G34" s="63" t="inlineStr">
        <is>
          <t>Routing number of operations</t>
        </is>
      </c>
      <c r="H34" s="64" t="inlineStr">
        <is>
          <t>מספר תוכנית פעולות</t>
        </is>
      </c>
      <c r="I34" s="59" t="n"/>
      <c r="J34" s="59" t="n"/>
      <c r="K34" s="59" t="n"/>
      <c r="L34" s="59" t="n"/>
    </row>
    <row r="35" ht="26" customHeight="1">
      <c r="A35" s="47" t="n">
        <v>11</v>
      </c>
      <c r="B35" s="66" t="n"/>
      <c r="C35" s="49" t="inlineStr">
        <is>
          <t>GLTRP</t>
        </is>
      </c>
      <c r="D35" s="50" t="inlineStr">
        <is>
          <t>DATS</t>
        </is>
      </c>
      <c r="E35" s="50" t="inlineStr">
        <is>
          <t>8</t>
        </is>
      </c>
      <c r="F35" s="65" t="inlineStr">
        <is>
          <t>-</t>
        </is>
      </c>
      <c r="G35" s="52" t="inlineStr">
        <is>
          <t>Basic finish date</t>
        </is>
      </c>
      <c r="H35" s="53" t="inlineStr">
        <is>
          <t>תאריך סיום בסיסי</t>
        </is>
      </c>
      <c r="I35" s="66" t="n"/>
      <c r="J35" s="66" t="n"/>
      <c r="K35" s="66" t="n"/>
      <c r="L35" s="6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2" customHeight="1">
      <c r="A37" s="46" t="inlineStr">
        <is>
          <t xml:space="preserve">  ◆ טבלה AFPO  -  פריט פקודת ייצור  (Order item)   |   T-codes: COR3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26" customHeight="1">
      <c r="A38" s="58" t="n">
        <v>12</v>
      </c>
      <c r="B38" s="68" t="inlineStr">
        <is>
          <t>AFPO</t>
        </is>
      </c>
      <c r="C38" s="60" t="inlineStr">
        <is>
          <t>AUFNR</t>
        </is>
      </c>
      <c r="D38" s="61" t="inlineStr">
        <is>
          <t>CHAR</t>
        </is>
      </c>
      <c r="E38" s="61" t="inlineStr">
        <is>
          <t>12</t>
        </is>
      </c>
      <c r="F38" s="67" t="inlineStr">
        <is>
          <t>PK/FK</t>
        </is>
      </c>
      <c r="G38" s="63" t="inlineStr">
        <is>
          <t>Order number</t>
        </is>
      </c>
      <c r="H38" s="64" t="inlineStr">
        <is>
          <t>מספר פק"ע</t>
        </is>
      </c>
      <c r="I38" s="69" t="inlineStr">
        <is>
          <t>FROM AFPO JOIN AFKO ON AFPO.AUFNR = AFKO.AUFNR</t>
        </is>
      </c>
      <c r="J38" s="70" t="inlineStr">
        <is>
          <t>פריט הפק"ע: החומר המיוצר, כמות, מחסן קליטה, אצווה. נקודת קליטת המוצר המוגמר למלאי.</t>
        </is>
      </c>
      <c r="K38" s="71" t="inlineStr">
        <is>
          <t>מותאם (תואם).</t>
        </is>
      </c>
      <c r="L38" s="72" t="inlineStr">
        <is>
          <t>SAP Help - Order Item</t>
        </is>
      </c>
    </row>
    <row r="39" ht="26" customHeight="1">
      <c r="A39" s="47" t="n">
        <v>13</v>
      </c>
      <c r="B39" s="59" t="n"/>
      <c r="C39" s="49" t="inlineStr">
        <is>
          <t>POSNR</t>
        </is>
      </c>
      <c r="D39" s="50" t="inlineStr">
        <is>
          <t>NUMC</t>
        </is>
      </c>
      <c r="E39" s="50" t="inlineStr">
        <is>
          <t>6</t>
        </is>
      </c>
      <c r="F39" s="51" t="inlineStr">
        <is>
          <t>PK</t>
        </is>
      </c>
      <c r="G39" s="52" t="inlineStr">
        <is>
          <t>Order item number</t>
        </is>
      </c>
      <c r="H39" s="53" t="inlineStr">
        <is>
          <t>מספר פריט</t>
        </is>
      </c>
      <c r="I39" s="59" t="n"/>
      <c r="J39" s="59" t="n"/>
      <c r="K39" s="59" t="n"/>
      <c r="L39" s="59" t="n"/>
    </row>
    <row r="40" ht="26" customHeight="1">
      <c r="A40" s="58" t="n">
        <v>14</v>
      </c>
      <c r="B40" s="59" t="n"/>
      <c r="C40" s="60" t="inlineStr">
        <is>
          <t>MATNR</t>
        </is>
      </c>
      <c r="D40" s="61" t="inlineStr">
        <is>
          <t>CHAR</t>
        </is>
      </c>
      <c r="E40" s="61" t="inlineStr">
        <is>
          <t>18-&gt;40</t>
        </is>
      </c>
      <c r="F40" s="62" t="inlineStr">
        <is>
          <t>FK</t>
        </is>
      </c>
      <c r="G40" s="63" t="inlineStr">
        <is>
          <t>Material produced</t>
        </is>
      </c>
      <c r="H40" s="64" t="inlineStr">
        <is>
          <t>חומר מיוצר</t>
        </is>
      </c>
      <c r="I40" s="59" t="n"/>
      <c r="J40" s="59" t="n"/>
      <c r="K40" s="59" t="n"/>
      <c r="L40" s="59" t="n"/>
    </row>
    <row r="41" ht="26" customHeight="1">
      <c r="A41" s="47" t="n">
        <v>15</v>
      </c>
      <c r="B41" s="59" t="n"/>
      <c r="C41" s="49" t="inlineStr">
        <is>
          <t>PSMNG</t>
        </is>
      </c>
      <c r="D41" s="50" t="inlineStr">
        <is>
          <t>QUAN</t>
        </is>
      </c>
      <c r="E41" s="50" t="inlineStr">
        <is>
          <t>13</t>
        </is>
      </c>
      <c r="F41" s="65" t="inlineStr">
        <is>
          <t>-</t>
        </is>
      </c>
      <c r="G41" s="52" t="inlineStr">
        <is>
          <t>Order item quantity</t>
        </is>
      </c>
      <c r="H41" s="53" t="inlineStr">
        <is>
          <t>כמות פריט</t>
        </is>
      </c>
      <c r="I41" s="59" t="n"/>
      <c r="J41" s="59" t="n"/>
      <c r="K41" s="59" t="n"/>
      <c r="L41" s="59" t="n"/>
    </row>
    <row r="42" ht="26" customHeight="1">
      <c r="A42" s="58" t="n">
        <v>16</v>
      </c>
      <c r="B42" s="66" t="n"/>
      <c r="C42" s="60" t="inlineStr">
        <is>
          <t>CHARG</t>
        </is>
      </c>
      <c r="D42" s="61" t="inlineStr">
        <is>
          <t>CHAR</t>
        </is>
      </c>
      <c r="E42" s="61" t="inlineStr">
        <is>
          <t>10</t>
        </is>
      </c>
      <c r="F42" s="65" t="inlineStr">
        <is>
          <t>-</t>
        </is>
      </c>
      <c r="G42" s="63" t="inlineStr">
        <is>
          <t>Batch</t>
        </is>
      </c>
      <c r="H42" s="64" t="inlineStr">
        <is>
          <t>אצווה</t>
        </is>
      </c>
      <c r="I42" s="66" t="n"/>
      <c r="J42" s="66" t="n"/>
      <c r="K42" s="66" t="n"/>
      <c r="L42" s="66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22" customHeight="1">
      <c r="A44" s="46" t="inlineStr">
        <is>
          <t xml:space="preserve">  ◆ טבלה AFVC  -  פעולות פקודת הייצור  (Order operations)   |   T-codes: COR2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26" customHeight="1">
      <c r="A45" s="47" t="n">
        <v>17</v>
      </c>
      <c r="B45" s="48" t="inlineStr">
        <is>
          <t>AFVC</t>
        </is>
      </c>
      <c r="C45" s="49" t="inlineStr">
        <is>
          <t>AUFPL</t>
        </is>
      </c>
      <c r="D45" s="50" t="inlineStr">
        <is>
          <t>NUMC</t>
        </is>
      </c>
      <c r="E45" s="50" t="inlineStr">
        <is>
          <t>10</t>
        </is>
      </c>
      <c r="F45" s="67" t="inlineStr">
        <is>
          <t>PK/FK</t>
        </is>
      </c>
      <c r="G45" s="52" t="inlineStr">
        <is>
          <t>Routing number of operations</t>
        </is>
      </c>
      <c r="H45" s="53" t="inlineStr">
        <is>
          <t>מספר תוכנית פעולות</t>
        </is>
      </c>
      <c r="I45" s="54" t="inlineStr">
        <is>
          <t>FROM AFVC JOIN AFKO ON AFVC.AUFPL = AFKO.AUFPL</t>
        </is>
      </c>
      <c r="J45" s="55" t="inlineStr">
        <is>
          <t>פעולות/פאזות הפק"ע (מועתקות מהמתכון). מפתח בקרה קובע דיווח/הוראות תהליך. בסיס לדיווח ביצוע (CORK) ולתמחיר.</t>
        </is>
      </c>
      <c r="K45" s="56" t="inlineStr">
        <is>
          <t>מותאם (תואם).</t>
        </is>
      </c>
      <c r="L45" s="57" t="inlineStr">
        <is>
          <t>SAP Help - Order Operations</t>
        </is>
      </c>
    </row>
    <row r="46" ht="26" customHeight="1">
      <c r="A46" s="58" t="n">
        <v>18</v>
      </c>
      <c r="B46" s="59" t="n"/>
      <c r="C46" s="60" t="inlineStr">
        <is>
          <t>APLZL</t>
        </is>
      </c>
      <c r="D46" s="61" t="inlineStr">
        <is>
          <t>NUMC</t>
        </is>
      </c>
      <c r="E46" s="61" t="inlineStr">
        <is>
          <t>8</t>
        </is>
      </c>
      <c r="F46" s="51" t="inlineStr">
        <is>
          <t>PK</t>
        </is>
      </c>
      <c r="G46" s="63" t="inlineStr">
        <is>
          <t>Internal counter</t>
        </is>
      </c>
      <c r="H46" s="64" t="inlineStr">
        <is>
          <t>מונה פנימי</t>
        </is>
      </c>
      <c r="I46" s="59" t="n"/>
      <c r="J46" s="59" t="n"/>
      <c r="K46" s="59" t="n"/>
      <c r="L46" s="59" t="n"/>
    </row>
    <row r="47" ht="26" customHeight="1">
      <c r="A47" s="47" t="n">
        <v>19</v>
      </c>
      <c r="B47" s="59" t="n"/>
      <c r="C47" s="49" t="inlineStr">
        <is>
          <t>VORNR</t>
        </is>
      </c>
      <c r="D47" s="50" t="inlineStr">
        <is>
          <t>CHAR</t>
        </is>
      </c>
      <c r="E47" s="50" t="inlineStr">
        <is>
          <t>4</t>
        </is>
      </c>
      <c r="F47" s="65" t="inlineStr">
        <is>
          <t>-</t>
        </is>
      </c>
      <c r="G47" s="52" t="inlineStr">
        <is>
          <t>Operation number</t>
        </is>
      </c>
      <c r="H47" s="53" t="inlineStr">
        <is>
          <t>מספר פעולה</t>
        </is>
      </c>
      <c r="I47" s="59" t="n"/>
      <c r="J47" s="59" t="n"/>
      <c r="K47" s="59" t="n"/>
      <c r="L47" s="59" t="n"/>
    </row>
    <row r="48" ht="26" customHeight="1">
      <c r="A48" s="58" t="n">
        <v>20</v>
      </c>
      <c r="B48" s="59" t="n"/>
      <c r="C48" s="60" t="inlineStr">
        <is>
          <t>ARBID</t>
        </is>
      </c>
      <c r="D48" s="61" t="inlineStr">
        <is>
          <t>NUMC</t>
        </is>
      </c>
      <c r="E48" s="61" t="inlineStr">
        <is>
          <t>8</t>
        </is>
      </c>
      <c r="F48" s="62" t="inlineStr">
        <is>
          <t>FK</t>
        </is>
      </c>
      <c r="G48" s="63" t="inlineStr">
        <is>
          <t>Resource (object id)</t>
        </is>
      </c>
      <c r="H48" s="64" t="inlineStr">
        <is>
          <t>משאב</t>
        </is>
      </c>
      <c r="I48" s="59" t="n"/>
      <c r="J48" s="59" t="n"/>
      <c r="K48" s="59" t="n"/>
      <c r="L48" s="59" t="n"/>
    </row>
    <row r="49" ht="26" customHeight="1">
      <c r="A49" s="47" t="n">
        <v>21</v>
      </c>
      <c r="B49" s="59" t="n"/>
      <c r="C49" s="49" t="inlineStr">
        <is>
          <t>STEUS</t>
        </is>
      </c>
      <c r="D49" s="50" t="inlineStr">
        <is>
          <t>CHAR</t>
        </is>
      </c>
      <c r="E49" s="50" t="inlineStr">
        <is>
          <t>4</t>
        </is>
      </c>
      <c r="F49" s="62" t="inlineStr">
        <is>
          <t>FK</t>
        </is>
      </c>
      <c r="G49" s="52" t="inlineStr">
        <is>
          <t>Control key</t>
        </is>
      </c>
      <c r="H49" s="53" t="inlineStr">
        <is>
          <t>מפתח בקרה</t>
        </is>
      </c>
      <c r="I49" s="59" t="n"/>
      <c r="J49" s="59" t="n"/>
      <c r="K49" s="59" t="n"/>
      <c r="L49" s="59" t="n"/>
    </row>
    <row r="50" ht="26" customHeight="1">
      <c r="A50" s="58" t="n">
        <v>22</v>
      </c>
      <c r="B50" s="66" t="n"/>
      <c r="C50" s="60" t="inlineStr">
        <is>
          <t>LTXA1</t>
        </is>
      </c>
      <c r="D50" s="61" t="inlineStr">
        <is>
          <t>CHAR</t>
        </is>
      </c>
      <c r="E50" s="61" t="inlineStr">
        <is>
          <t>40</t>
        </is>
      </c>
      <c r="F50" s="65" t="inlineStr">
        <is>
          <t>-</t>
        </is>
      </c>
      <c r="G50" s="63" t="inlineStr">
        <is>
          <t>Operation text</t>
        </is>
      </c>
      <c r="H50" s="64" t="inlineStr">
        <is>
          <t>תיאור פעולה</t>
        </is>
      </c>
      <c r="I50" s="66" t="n"/>
      <c r="J50" s="66" t="n"/>
      <c r="K50" s="66" t="n"/>
      <c r="L50" s="66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22" customHeight="1">
      <c r="A52" s="46" t="inlineStr">
        <is>
          <t xml:space="preserve">  ◆ טבלה RESB  -  הזמנת רכיבים לפק"ע  (Reservation / dependent requirements)   |   T-codes: COR2; CO09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6" customHeight="1">
      <c r="A53" s="47" t="n">
        <v>23</v>
      </c>
      <c r="B53" s="48" t="inlineStr">
        <is>
          <t>RESB</t>
        </is>
      </c>
      <c r="C53" s="49" t="inlineStr">
        <is>
          <t>RSNUM</t>
        </is>
      </c>
      <c r="D53" s="50" t="inlineStr">
        <is>
          <t>NUMC</t>
        </is>
      </c>
      <c r="E53" s="50" t="inlineStr">
        <is>
          <t>10</t>
        </is>
      </c>
      <c r="F53" s="51" t="inlineStr">
        <is>
          <t>PK</t>
        </is>
      </c>
      <c r="G53" s="52" t="inlineStr">
        <is>
          <t>Reservation number</t>
        </is>
      </c>
      <c r="H53" s="53" t="inlineStr">
        <is>
          <t>מספר הזמנה</t>
        </is>
      </c>
      <c r="I53" s="54" t="inlineStr">
        <is>
          <t>FROM RESB JOIN AFKO ON RESB.AUFNR = AFKO.AUFNR</t>
        </is>
      </c>
      <c r="J53" s="55" t="inlineStr">
        <is>
          <t>הזמנות חומרי הגלם/האריזה לפק"ע (מפיצוץ עץ המוצר). כל פליטת חומר (261) מעדכנת RESB. סנכרון עם מסופי Zetes בפליטה.</t>
        </is>
      </c>
      <c r="K53" s="56" t="inlineStr">
        <is>
          <t>ללא שינוי; תנועת מלאי ב-MATDOC.</t>
        </is>
      </c>
      <c r="L53" s="57" t="inlineStr">
        <is>
          <t>SAP Help - Reservation</t>
        </is>
      </c>
    </row>
    <row r="54" ht="26" customHeight="1">
      <c r="A54" s="58" t="n">
        <v>24</v>
      </c>
      <c r="B54" s="59" t="n"/>
      <c r="C54" s="60" t="inlineStr">
        <is>
          <t>RSPOS</t>
        </is>
      </c>
      <c r="D54" s="61" t="inlineStr">
        <is>
          <t>NUMC</t>
        </is>
      </c>
      <c r="E54" s="61" t="inlineStr">
        <is>
          <t>4</t>
        </is>
      </c>
      <c r="F54" s="51" t="inlineStr">
        <is>
          <t>PK</t>
        </is>
      </c>
      <c r="G54" s="63" t="inlineStr">
        <is>
          <t>Reservation item</t>
        </is>
      </c>
      <c r="H54" s="64" t="inlineStr">
        <is>
          <t>פריט הזמנה</t>
        </is>
      </c>
      <c r="I54" s="59" t="n"/>
      <c r="J54" s="59" t="n"/>
      <c r="K54" s="59" t="n"/>
      <c r="L54" s="59" t="n"/>
    </row>
    <row r="55" ht="26" customHeight="1">
      <c r="A55" s="47" t="n">
        <v>25</v>
      </c>
      <c r="B55" s="59" t="n"/>
      <c r="C55" s="49" t="inlineStr">
        <is>
          <t>MATNR</t>
        </is>
      </c>
      <c r="D55" s="50" t="inlineStr">
        <is>
          <t>CHAR</t>
        </is>
      </c>
      <c r="E55" s="50" t="inlineStr">
        <is>
          <t>18-&gt;40</t>
        </is>
      </c>
      <c r="F55" s="62" t="inlineStr">
        <is>
          <t>FK</t>
        </is>
      </c>
      <c r="G55" s="52" t="inlineStr">
        <is>
          <t>Component</t>
        </is>
      </c>
      <c r="H55" s="53" t="inlineStr">
        <is>
          <t>רכיב</t>
        </is>
      </c>
      <c r="I55" s="59" t="n"/>
      <c r="J55" s="59" t="n"/>
      <c r="K55" s="59" t="n"/>
      <c r="L55" s="59" t="n"/>
    </row>
    <row r="56" ht="26" customHeight="1">
      <c r="A56" s="58" t="n">
        <v>26</v>
      </c>
      <c r="B56" s="59" t="n"/>
      <c r="C56" s="60" t="inlineStr">
        <is>
          <t>BDMNG</t>
        </is>
      </c>
      <c r="D56" s="61" t="inlineStr">
        <is>
          <t>QUAN</t>
        </is>
      </c>
      <c r="E56" s="61" t="inlineStr">
        <is>
          <t>13</t>
        </is>
      </c>
      <c r="F56" s="65" t="inlineStr">
        <is>
          <t>-</t>
        </is>
      </c>
      <c r="G56" s="63" t="inlineStr">
        <is>
          <t>Requirement quantity</t>
        </is>
      </c>
      <c r="H56" s="64" t="inlineStr">
        <is>
          <t>כמות נדרשת</t>
        </is>
      </c>
      <c r="I56" s="59" t="n"/>
      <c r="J56" s="59" t="n"/>
      <c r="K56" s="59" t="n"/>
      <c r="L56" s="59" t="n"/>
    </row>
    <row r="57" ht="26" customHeight="1">
      <c r="A57" s="47" t="n">
        <v>27</v>
      </c>
      <c r="B57" s="59" t="n"/>
      <c r="C57" s="49" t="inlineStr">
        <is>
          <t>ENMNG</t>
        </is>
      </c>
      <c r="D57" s="50" t="inlineStr">
        <is>
          <t>QUAN</t>
        </is>
      </c>
      <c r="E57" s="50" t="inlineStr">
        <is>
          <t>13</t>
        </is>
      </c>
      <c r="F57" s="65" t="inlineStr">
        <is>
          <t>-</t>
        </is>
      </c>
      <c r="G57" s="52" t="inlineStr">
        <is>
          <t>Quantity withdrawn</t>
        </is>
      </c>
      <c r="H57" s="53" t="inlineStr">
        <is>
          <t>כמות שנפלטה</t>
        </is>
      </c>
      <c r="I57" s="59" t="n"/>
      <c r="J57" s="59" t="n"/>
      <c r="K57" s="59" t="n"/>
      <c r="L57" s="59" t="n"/>
    </row>
    <row r="58" ht="26" customHeight="1">
      <c r="A58" s="58" t="n">
        <v>28</v>
      </c>
      <c r="B58" s="66" t="n"/>
      <c r="C58" s="60" t="inlineStr">
        <is>
          <t>AUFNR</t>
        </is>
      </c>
      <c r="D58" s="61" t="inlineStr">
        <is>
          <t>CHAR</t>
        </is>
      </c>
      <c r="E58" s="61" t="inlineStr">
        <is>
          <t>12</t>
        </is>
      </c>
      <c r="F58" s="62" t="inlineStr">
        <is>
          <t>FK</t>
        </is>
      </c>
      <c r="G58" s="63" t="inlineStr">
        <is>
          <t>Order number</t>
        </is>
      </c>
      <c r="H58" s="64" t="inlineStr">
        <is>
          <t>מספר פק"ע</t>
        </is>
      </c>
      <c r="I58" s="66" t="n"/>
      <c r="J58" s="66" t="n"/>
      <c r="K58" s="66" t="n"/>
      <c r="L58" s="66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22" customHeight="1">
      <c r="A60" s="46" t="inlineStr">
        <is>
          <t xml:space="preserve">  ◆ טבלה AFRU  -  דיווחי ביצוע פק"ע  (Order confirmations)   |   T-codes: CORK; COR6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26" customHeight="1">
      <c r="A61" s="47" t="n">
        <v>29</v>
      </c>
      <c r="B61" s="48" t="inlineStr">
        <is>
          <t>AFRU</t>
        </is>
      </c>
      <c r="C61" s="49" t="inlineStr">
        <is>
          <t>RUECK</t>
        </is>
      </c>
      <c r="D61" s="50" t="inlineStr">
        <is>
          <t>NUMC</t>
        </is>
      </c>
      <c r="E61" s="50" t="inlineStr">
        <is>
          <t>10</t>
        </is>
      </c>
      <c r="F61" s="51" t="inlineStr">
        <is>
          <t>PK</t>
        </is>
      </c>
      <c r="G61" s="52" t="inlineStr">
        <is>
          <t>Confirmation number</t>
        </is>
      </c>
      <c r="H61" s="53" t="inlineStr">
        <is>
          <t>מספר דיווח</t>
        </is>
      </c>
      <c r="I61" s="54" t="inlineStr">
        <is>
          <t>FROM AFRU JOIN AFKO ON AFRU.AUFNR = AFKO.AUFNR</t>
        </is>
      </c>
      <c r="J61" s="55" t="inlineStr">
        <is>
          <t>דיווחי הביצוע על פעולות הפק"ע: כמות שיוצרה, פחת, זמני מכונה/אדם. מקור הנתונים מהקו (PI sheet/MES) ובסיס לעלות ולניתוח פחת מול 1% היעד.</t>
        </is>
      </c>
      <c r="K61" s="56" t="inlineStr">
        <is>
          <t>ללא שינוי; עלויות ב-ACDOCA.</t>
        </is>
      </c>
      <c r="L61" s="57" t="inlineStr">
        <is>
          <t>SAP Help - Confirmation</t>
        </is>
      </c>
    </row>
    <row r="62" ht="26" customHeight="1">
      <c r="A62" s="58" t="n">
        <v>30</v>
      </c>
      <c r="B62" s="59" t="n"/>
      <c r="C62" s="60" t="inlineStr">
        <is>
          <t>RMZHL</t>
        </is>
      </c>
      <c r="D62" s="61" t="inlineStr">
        <is>
          <t>NUMC</t>
        </is>
      </c>
      <c r="E62" s="61" t="inlineStr">
        <is>
          <t>8</t>
        </is>
      </c>
      <c r="F62" s="51" t="inlineStr">
        <is>
          <t>PK</t>
        </is>
      </c>
      <c r="G62" s="63" t="inlineStr">
        <is>
          <t>Confirmation counter</t>
        </is>
      </c>
      <c r="H62" s="64" t="inlineStr">
        <is>
          <t>מונה דיווח</t>
        </is>
      </c>
      <c r="I62" s="59" t="n"/>
      <c r="J62" s="59" t="n"/>
      <c r="K62" s="59" t="n"/>
      <c r="L62" s="59" t="n"/>
    </row>
    <row r="63" ht="26" customHeight="1">
      <c r="A63" s="47" t="n">
        <v>31</v>
      </c>
      <c r="B63" s="59" t="n"/>
      <c r="C63" s="49" t="inlineStr">
        <is>
          <t>AUFNR</t>
        </is>
      </c>
      <c r="D63" s="50" t="inlineStr">
        <is>
          <t>CHAR</t>
        </is>
      </c>
      <c r="E63" s="50" t="inlineStr">
        <is>
          <t>12</t>
        </is>
      </c>
      <c r="F63" s="62" t="inlineStr">
        <is>
          <t>FK</t>
        </is>
      </c>
      <c r="G63" s="52" t="inlineStr">
        <is>
          <t>Order number</t>
        </is>
      </c>
      <c r="H63" s="53" t="inlineStr">
        <is>
          <t>מספר פק"ע</t>
        </is>
      </c>
      <c r="I63" s="59" t="n"/>
      <c r="J63" s="59" t="n"/>
      <c r="K63" s="59" t="n"/>
      <c r="L63" s="59" t="n"/>
    </row>
    <row r="64" ht="26" customHeight="1">
      <c r="A64" s="58" t="n">
        <v>32</v>
      </c>
      <c r="B64" s="59" t="n"/>
      <c r="C64" s="60" t="inlineStr">
        <is>
          <t>LMNGA</t>
        </is>
      </c>
      <c r="D64" s="61" t="inlineStr">
        <is>
          <t>QUAN</t>
        </is>
      </c>
      <c r="E64" s="61" t="inlineStr">
        <is>
          <t>13</t>
        </is>
      </c>
      <c r="F64" s="65" t="inlineStr">
        <is>
          <t>-</t>
        </is>
      </c>
      <c r="G64" s="63" t="inlineStr">
        <is>
          <t>Yield (confirmed qty)</t>
        </is>
      </c>
      <c r="H64" s="64" t="inlineStr">
        <is>
          <t>כמות שיוצרה</t>
        </is>
      </c>
      <c r="I64" s="59" t="n"/>
      <c r="J64" s="59" t="n"/>
      <c r="K64" s="59" t="n"/>
      <c r="L64" s="59" t="n"/>
    </row>
    <row r="65" ht="26" customHeight="1">
      <c r="A65" s="47" t="n">
        <v>33</v>
      </c>
      <c r="B65" s="66" t="n"/>
      <c r="C65" s="49" t="inlineStr">
        <is>
          <t>XMNGA</t>
        </is>
      </c>
      <c r="D65" s="50" t="inlineStr">
        <is>
          <t>QUAN</t>
        </is>
      </c>
      <c r="E65" s="50" t="inlineStr">
        <is>
          <t>13</t>
        </is>
      </c>
      <c r="F65" s="65" t="inlineStr">
        <is>
          <t>-</t>
        </is>
      </c>
      <c r="G65" s="52" t="inlineStr">
        <is>
          <t>Scrap quantity</t>
        </is>
      </c>
      <c r="H65" s="53" t="inlineStr">
        <is>
          <t>כמות פחת</t>
        </is>
      </c>
      <c r="I65" s="66" t="n"/>
      <c r="J65" s="66" t="n"/>
      <c r="K65" s="66" t="n"/>
      <c r="L65" s="66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22" customHeight="1">
      <c r="A67" s="46" t="inlineStr">
        <is>
          <t xml:space="preserve">  ◆ טבלה AFFH  -  שיוך PRT לפק"ע  (PRT allocation in order)   |   T-codes: COR2 (PRT)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26" customHeight="1">
      <c r="A68" s="58" t="n">
        <v>34</v>
      </c>
      <c r="B68" s="68" t="inlineStr">
        <is>
          <t>AFFH</t>
        </is>
      </c>
      <c r="C68" s="60" t="inlineStr">
        <is>
          <t>AUFPL</t>
        </is>
      </c>
      <c r="D68" s="61" t="inlineStr">
        <is>
          <t>NUMC</t>
        </is>
      </c>
      <c r="E68" s="61" t="inlineStr">
        <is>
          <t>10</t>
        </is>
      </c>
      <c r="F68" s="67" t="inlineStr">
        <is>
          <t>PK/FK</t>
        </is>
      </c>
      <c r="G68" s="63" t="inlineStr">
        <is>
          <t>Routing number</t>
        </is>
      </c>
      <c r="H68" s="64" t="inlineStr">
        <is>
          <t>מספר תוכנית פעולות</t>
        </is>
      </c>
      <c r="I68" s="69" t="inlineStr">
        <is>
          <t>FROM AFFH JOIN AFKO ON AFFH.AUFPL = AFKO.AUFPL</t>
        </is>
      </c>
      <c r="J68" s="70" t="inlineStr">
        <is>
          <t>כלי עזר הייצור (PRT) המשובצים לפק"ע - תבניות/פורמטים נדרשים בקו לאצווה הספציפית.</t>
        </is>
      </c>
      <c r="K68" s="71" t="inlineStr">
        <is>
          <t>ללא שינוי.</t>
        </is>
      </c>
      <c r="L68" s="72" t="inlineStr">
        <is>
          <t>SAP Help - PRT in Order</t>
        </is>
      </c>
    </row>
    <row r="69" ht="26" customHeight="1">
      <c r="A69" s="47" t="n">
        <v>35</v>
      </c>
      <c r="B69" s="59" t="n"/>
      <c r="C69" s="49" t="inlineStr">
        <is>
          <t>APLZL</t>
        </is>
      </c>
      <c r="D69" s="50" t="inlineStr">
        <is>
          <t>NUMC</t>
        </is>
      </c>
      <c r="E69" s="50" t="inlineStr">
        <is>
          <t>8</t>
        </is>
      </c>
      <c r="F69" s="51" t="inlineStr">
        <is>
          <t>PK</t>
        </is>
      </c>
      <c r="G69" s="52" t="inlineStr">
        <is>
          <t>Counter</t>
        </is>
      </c>
      <c r="H69" s="53" t="inlineStr">
        <is>
          <t>מונה</t>
        </is>
      </c>
      <c r="I69" s="59" t="n"/>
      <c r="J69" s="59" t="n"/>
      <c r="K69" s="59" t="n"/>
      <c r="L69" s="59" t="n"/>
    </row>
    <row r="70" ht="26" customHeight="1">
      <c r="A70" s="58" t="n">
        <v>36</v>
      </c>
      <c r="B70" s="66" t="n"/>
      <c r="C70" s="60" t="inlineStr">
        <is>
          <t>FHMNR</t>
        </is>
      </c>
      <c r="D70" s="61" t="inlineStr">
        <is>
          <t>CHAR</t>
        </is>
      </c>
      <c r="E70" s="61" t="inlineStr">
        <is>
          <t>18</t>
        </is>
      </c>
      <c r="F70" s="62" t="inlineStr">
        <is>
          <t>FK</t>
        </is>
      </c>
      <c r="G70" s="63" t="inlineStr">
        <is>
          <t>PRT number</t>
        </is>
      </c>
      <c r="H70" s="64" t="inlineStr">
        <is>
          <t>מספר כלי עזר</t>
        </is>
      </c>
      <c r="I70" s="66" t="n"/>
      <c r="J70" s="66" t="n"/>
      <c r="K70" s="66" t="n"/>
      <c r="L70" s="66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22" customHeight="1">
      <c r="A72" s="46" t="inlineStr">
        <is>
          <t xml:space="preserve">  ◆ טבלה AFFL  -  רצפי פעולות בפק"ע  (Order sequences (work order))   |   T-codes: COR2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26" customHeight="1">
      <c r="A73" s="47" t="n">
        <v>37</v>
      </c>
      <c r="B73" s="48" t="inlineStr">
        <is>
          <t>AFFL</t>
        </is>
      </c>
      <c r="C73" s="49" t="inlineStr">
        <is>
          <t>AUFPL</t>
        </is>
      </c>
      <c r="D73" s="50" t="inlineStr">
        <is>
          <t>NUMC</t>
        </is>
      </c>
      <c r="E73" s="50" t="inlineStr">
        <is>
          <t>10</t>
        </is>
      </c>
      <c r="F73" s="67" t="inlineStr">
        <is>
          <t>PK/FK</t>
        </is>
      </c>
      <c r="G73" s="52" t="inlineStr">
        <is>
          <t>Routing number of operations</t>
        </is>
      </c>
      <c r="H73" s="53" t="inlineStr">
        <is>
          <t>מספר תוכנית פעולות</t>
        </is>
      </c>
      <c r="I73" s="54" t="inlineStr">
        <is>
          <t>FROM AFFL JOIN AFKO ON AFFL.AUFPL = AFKO.AUFPL</t>
        </is>
      </c>
      <c r="J73" s="55" t="inlineStr">
        <is>
          <t>רצפי הפעולות בפק"ע (סטנדרטי/מקביל) - מאפשר ביצוע פאזות במקביל בקו הייצור ובסיס לתזמון מדויק.</t>
        </is>
      </c>
      <c r="K73" s="56" t="inlineStr">
        <is>
          <t>מותאם (תואם).</t>
        </is>
      </c>
      <c r="L73" s="57" t="inlineStr">
        <is>
          <t>SAP Help - Order Sequences</t>
        </is>
      </c>
    </row>
    <row r="74" ht="26" customHeight="1">
      <c r="A74" s="58" t="n">
        <v>38</v>
      </c>
      <c r="B74" s="59" t="n"/>
      <c r="C74" s="60" t="inlineStr">
        <is>
          <t>APLFL</t>
        </is>
      </c>
      <c r="D74" s="61" t="inlineStr">
        <is>
          <t>CHAR</t>
        </is>
      </c>
      <c r="E74" s="61" t="inlineStr">
        <is>
          <t>6</t>
        </is>
      </c>
      <c r="F74" s="51" t="inlineStr">
        <is>
          <t>PK</t>
        </is>
      </c>
      <c r="G74" s="63" t="inlineStr">
        <is>
          <t>Sequence</t>
        </is>
      </c>
      <c r="H74" s="64" t="inlineStr">
        <is>
          <t>רצף</t>
        </is>
      </c>
      <c r="I74" s="59" t="n"/>
      <c r="J74" s="59" t="n"/>
      <c r="K74" s="59" t="n"/>
      <c r="L74" s="59" t="n"/>
    </row>
    <row r="75" ht="26" customHeight="1">
      <c r="A75" s="47" t="n">
        <v>39</v>
      </c>
      <c r="B75" s="59" t="n"/>
      <c r="C75" s="49" t="inlineStr">
        <is>
          <t>PLNFL</t>
        </is>
      </c>
      <c r="D75" s="50" t="inlineStr">
        <is>
          <t>CHAR</t>
        </is>
      </c>
      <c r="E75" s="50" t="inlineStr">
        <is>
          <t>6</t>
        </is>
      </c>
      <c r="F75" s="65" t="inlineStr">
        <is>
          <t>-</t>
        </is>
      </c>
      <c r="G75" s="52" t="inlineStr">
        <is>
          <t>Reference sequence</t>
        </is>
      </c>
      <c r="H75" s="53" t="inlineStr">
        <is>
          <t>רצף ייחוס</t>
        </is>
      </c>
      <c r="I75" s="59" t="n"/>
      <c r="J75" s="59" t="n"/>
      <c r="K75" s="59" t="n"/>
      <c r="L75" s="59" t="n"/>
    </row>
    <row r="76" ht="26" customHeight="1">
      <c r="A76" s="58" t="n">
        <v>40</v>
      </c>
      <c r="B76" s="66" t="n"/>
      <c r="C76" s="60" t="inlineStr">
        <is>
          <t>FLGAT</t>
        </is>
      </c>
      <c r="D76" s="61" t="inlineStr">
        <is>
          <t>CHAR</t>
        </is>
      </c>
      <c r="E76" s="61" t="inlineStr">
        <is>
          <t>1</t>
        </is>
      </c>
      <c r="F76" s="65" t="inlineStr">
        <is>
          <t>-</t>
        </is>
      </c>
      <c r="G76" s="63" t="inlineStr">
        <is>
          <t>Sequence category</t>
        </is>
      </c>
      <c r="H76" s="64" t="inlineStr">
        <is>
          <t>קטגוריית רצף</t>
        </is>
      </c>
      <c r="I76" s="66" t="n"/>
      <c r="J76" s="66" t="n"/>
      <c r="K76" s="66" t="n"/>
      <c r="L76" s="66" t="n"/>
    </row>
  </sheetData>
  <mergeCells count="92">
    <mergeCell ref="K53:K58"/>
    <mergeCell ref="E18:L18"/>
    <mergeCell ref="A15:B15"/>
    <mergeCell ref="A20:D20"/>
    <mergeCell ref="A37:L37"/>
    <mergeCell ref="B68:B70"/>
    <mergeCell ref="I23:I27"/>
    <mergeCell ref="C13:F13"/>
    <mergeCell ref="K23:K27"/>
    <mergeCell ref="G14:L14"/>
    <mergeCell ref="I38:I42"/>
    <mergeCell ref="K38:K42"/>
    <mergeCell ref="C15:F15"/>
    <mergeCell ref="A52:L52"/>
    <mergeCell ref="L45:L50"/>
    <mergeCell ref="B53:B58"/>
    <mergeCell ref="D9:H9"/>
    <mergeCell ref="A6:C6"/>
    <mergeCell ref="I68:I70"/>
    <mergeCell ref="B23:B27"/>
    <mergeCell ref="L23:L27"/>
    <mergeCell ref="A17:D17"/>
    <mergeCell ref="K61:K65"/>
    <mergeCell ref="A11:B11"/>
    <mergeCell ref="I30:I35"/>
    <mergeCell ref="L38:L42"/>
    <mergeCell ref="K30:K35"/>
    <mergeCell ref="A19:D19"/>
    <mergeCell ref="A3:L3"/>
    <mergeCell ref="E17:L17"/>
    <mergeCell ref="A5:C5"/>
    <mergeCell ref="I6:L6"/>
    <mergeCell ref="E19:L19"/>
    <mergeCell ref="C14:F14"/>
    <mergeCell ref="A4:L4"/>
    <mergeCell ref="I73:I76"/>
    <mergeCell ref="K73:K76"/>
    <mergeCell ref="I7:L7"/>
    <mergeCell ref="A67:L67"/>
    <mergeCell ref="G12:L12"/>
    <mergeCell ref="A60:L60"/>
    <mergeCell ref="B30:B35"/>
    <mergeCell ref="B45:B50"/>
    <mergeCell ref="D5:H5"/>
    <mergeCell ref="A7:C7"/>
    <mergeCell ref="A16:L16"/>
    <mergeCell ref="B38:B42"/>
    <mergeCell ref="A1:B1"/>
    <mergeCell ref="I45:I50"/>
    <mergeCell ref="K45:K50"/>
    <mergeCell ref="I9:L9"/>
    <mergeCell ref="B73:B76"/>
    <mergeCell ref="I53:I58"/>
    <mergeCell ref="A22:L22"/>
    <mergeCell ref="L73:L76"/>
    <mergeCell ref="A12:B12"/>
    <mergeCell ref="J23:J27"/>
    <mergeCell ref="D7:H7"/>
    <mergeCell ref="A29:L29"/>
    <mergeCell ref="A72:L72"/>
    <mergeCell ref="A44:L44"/>
    <mergeCell ref="A14:B14"/>
    <mergeCell ref="C1:L1"/>
    <mergeCell ref="G11:L11"/>
    <mergeCell ref="D8:H8"/>
    <mergeCell ref="J68:J70"/>
    <mergeCell ref="B61:B65"/>
    <mergeCell ref="L68:L70"/>
    <mergeCell ref="C12:F12"/>
    <mergeCell ref="I8:L8"/>
    <mergeCell ref="G13:L13"/>
    <mergeCell ref="G15:L15"/>
    <mergeCell ref="D6:H6"/>
    <mergeCell ref="E20:L20"/>
    <mergeCell ref="A8:C8"/>
    <mergeCell ref="L61:L65"/>
    <mergeCell ref="J30:J35"/>
    <mergeCell ref="L30:L35"/>
    <mergeCell ref="J53:J58"/>
    <mergeCell ref="L53:L58"/>
    <mergeCell ref="K68:K70"/>
    <mergeCell ref="J61:J65"/>
    <mergeCell ref="A10:L10"/>
    <mergeCell ref="A9:C9"/>
    <mergeCell ref="I61:I65"/>
    <mergeCell ref="J38:J42"/>
    <mergeCell ref="J45:J50"/>
    <mergeCell ref="A18:D18"/>
    <mergeCell ref="A13:B13"/>
    <mergeCell ref="J73:J76"/>
    <mergeCell ref="C11:F11"/>
    <mergeCell ref="I5:L5"/>
  </mergeCells>
  <hyperlinks>
    <hyperlink xmlns:r="http://schemas.openxmlformats.org/officeDocument/2006/relationships" ref="A1" r:id="rId1"/>
    <hyperlink xmlns:r="http://schemas.openxmlformats.org/officeDocument/2006/relationships" ref="I7" r:id="rId2"/>
    <hyperlink xmlns:r="http://schemas.openxmlformats.org/officeDocument/2006/relationships" ref="L23" r:id="rId3"/>
    <hyperlink xmlns:r="http://schemas.openxmlformats.org/officeDocument/2006/relationships" ref="L30" r:id="rId4"/>
    <hyperlink xmlns:r="http://schemas.openxmlformats.org/officeDocument/2006/relationships" ref="L38" r:id="rId5"/>
    <hyperlink xmlns:r="http://schemas.openxmlformats.org/officeDocument/2006/relationships" ref="L45" r:id="rId6"/>
    <hyperlink xmlns:r="http://schemas.openxmlformats.org/officeDocument/2006/relationships" ref="L53" r:id="rId7"/>
    <hyperlink xmlns:r="http://schemas.openxmlformats.org/officeDocument/2006/relationships" ref="L61" r:id="rId8"/>
    <hyperlink xmlns:r="http://schemas.openxmlformats.org/officeDocument/2006/relationships" ref="L68" r:id="rId9"/>
    <hyperlink xmlns:r="http://schemas.openxmlformats.org/officeDocument/2006/relationships" ref="L73" r:id="rId10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L92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8" customWidth="1" min="5" max="5"/>
    <col width="9" customWidth="1" min="6" max="6"/>
    <col width="24" customWidth="1" min="7" max="7"/>
    <col width="26" customWidth="1" min="8" max="8"/>
    <col width="40" customWidth="1" min="9" max="9"/>
    <col width="46" customWidth="1" min="10" max="10"/>
    <col width="30" customWidth="1" min="11" max="11"/>
    <col width="16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7. קונפיגורציה (Customizing)   |   ECC 6.0 ➜ S/4HANA  ·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8" customHeight="1">
      <c r="A2" s="35" t="inlineStr">
        <is>
          <t>מס' (#)</t>
        </is>
      </c>
      <c r="B2" s="35" t="inlineStr">
        <is>
          <t>טבלה (Table)</t>
        </is>
      </c>
      <c r="C2" s="35" t="inlineStr">
        <is>
          <t>שדה טכני (Field)</t>
        </is>
      </c>
      <c r="D2" s="35" t="inlineStr">
        <is>
          <t>סוג נתונים (Type)</t>
        </is>
      </c>
      <c r="E2" s="35" t="inlineStr">
        <is>
          <t>אורך (Len)</t>
        </is>
      </c>
      <c r="F2" s="35" t="inlineStr">
        <is>
          <t>מפתח (Key)</t>
        </is>
      </c>
      <c r="G2" s="35" t="inlineStr">
        <is>
          <t>English Term</t>
        </is>
      </c>
      <c r="H2" s="35" t="inlineStr">
        <is>
          <t>תרגום עברי (Hebrew)</t>
        </is>
      </c>
      <c r="I2" s="35" t="inlineStr">
        <is>
          <t>JOIN ON (SQL / CDS)</t>
        </is>
      </c>
      <c r="J2" s="35" t="inlineStr">
        <is>
          <t>הסבר פונקציונלי בעברית</t>
        </is>
      </c>
      <c r="K2" s="36" t="inlineStr">
        <is>
          <t>פער / הערת S/4HANA</t>
        </is>
      </c>
      <c r="L2" s="36" t="inlineStr">
        <is>
          <t>SAP Help</t>
        </is>
      </c>
    </row>
    <row r="3" ht="22" customHeight="1">
      <c r="A3" s="37" t="inlineStr">
        <is>
          <t xml:space="preserve">  🔧 שכבה תפעולית (Operational Layer)  -  T-codes ◄► Fiori  |  ממשקים BAPI/IDoc/RFC  |  תוכניות רקע ודוחות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18" customHeight="1">
      <c r="A4" s="38" t="inlineStr">
        <is>
          <t xml:space="preserve">    מיפוי T-code ◄► Fiori App (ECC ◄► S/4HANA)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9" t="inlineStr">
        <is>
          <t>ECC T-code</t>
        </is>
      </c>
      <c r="B5" s="4" t="n"/>
      <c r="C5" s="4" t="n"/>
      <c r="D5" s="39" t="inlineStr">
        <is>
          <t>S/4HANA Fiori App</t>
        </is>
      </c>
      <c r="E5" s="4" t="n"/>
      <c r="F5" s="4" t="n"/>
      <c r="G5" s="4" t="n"/>
      <c r="H5" s="4" t="n"/>
      <c r="I5" s="39" t="inlineStr">
        <is>
          <t>Fiori ID</t>
        </is>
      </c>
      <c r="J5" s="4" t="n"/>
      <c r="K5" s="4" t="n"/>
      <c r="L5" s="4" t="n"/>
    </row>
    <row r="6" ht="18" customHeight="1">
      <c r="A6" s="40" t="inlineStr">
        <is>
          <t>COR4 (order type)</t>
        </is>
      </c>
      <c r="B6" s="4" t="n"/>
      <c r="C6" s="4" t="n"/>
      <c r="D6" s="41" t="inlineStr">
        <is>
          <t>Configure Order Types (SPRO)</t>
        </is>
      </c>
      <c r="E6" s="4" t="n"/>
      <c r="F6" s="4" t="n"/>
      <c r="G6" s="4" t="n"/>
      <c r="H6" s="4" t="n"/>
      <c r="I6" s="43" t="inlineStr">
        <is>
          <t>-</t>
        </is>
      </c>
      <c r="J6" s="4" t="n"/>
      <c r="K6" s="4" t="n"/>
      <c r="L6" s="4" t="n"/>
    </row>
    <row r="7" ht="18" customHeight="1">
      <c r="A7" s="40" t="inlineStr">
        <is>
          <t>OPL8 (plant params)</t>
        </is>
      </c>
      <c r="B7" s="4" t="n"/>
      <c r="C7" s="4" t="n"/>
      <c r="D7" s="41" t="inlineStr">
        <is>
          <t>Order Type-Dependent Parameters</t>
        </is>
      </c>
      <c r="E7" s="4" t="n"/>
      <c r="F7" s="4" t="n"/>
      <c r="G7" s="4" t="n"/>
      <c r="H7" s="4" t="n"/>
      <c r="I7" s="43" t="inlineStr">
        <is>
          <t>-</t>
        </is>
      </c>
      <c r="J7" s="4" t="n"/>
      <c r="K7" s="4" t="n"/>
      <c r="L7" s="4" t="n"/>
    </row>
    <row r="8" ht="18" customHeight="1">
      <c r="A8" s="40" t="inlineStr">
        <is>
          <t>BS02 (status profile)</t>
        </is>
      </c>
      <c r="B8" s="4" t="n"/>
      <c r="C8" s="4" t="n"/>
      <c r="D8" s="41" t="inlineStr">
        <is>
          <t>Maintain Status Profile</t>
        </is>
      </c>
      <c r="E8" s="4" t="n"/>
      <c r="F8" s="4" t="n"/>
      <c r="G8" s="4" t="n"/>
      <c r="H8" s="4" t="n"/>
      <c r="I8" s="43" t="inlineStr">
        <is>
          <t>-</t>
        </is>
      </c>
      <c r="J8" s="4" t="n"/>
      <c r="K8" s="4" t="n"/>
      <c r="L8" s="4" t="n"/>
    </row>
    <row r="9" ht="18" customHeight="1">
      <c r="A9" s="40" t="inlineStr">
        <is>
          <t>BP (Business Partner)</t>
        </is>
      </c>
      <c r="B9" s="4" t="n"/>
      <c r="C9" s="4" t="n"/>
      <c r="D9" s="41" t="inlineStr">
        <is>
          <t>Manage Business Partner Master Data</t>
        </is>
      </c>
      <c r="E9" s="4" t="n"/>
      <c r="F9" s="4" t="n"/>
      <c r="G9" s="4" t="n"/>
      <c r="H9" s="4" t="n"/>
      <c r="I9" s="43" t="inlineStr">
        <is>
          <t>-</t>
        </is>
      </c>
      <c r="J9" s="4" t="n"/>
      <c r="K9" s="4" t="n"/>
      <c r="L9" s="4" t="n"/>
    </row>
    <row r="10" ht="18" customHeight="1">
      <c r="A10" s="38" t="inlineStr">
        <is>
          <t xml:space="preserve">    ממשקים ובלוקים פונקציונליים: BAPIs / IDocs / RFCs (Extraction &amp; Messaging)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" customHeight="1">
      <c r="A11" s="39" t="inlineStr">
        <is>
          <t>Type</t>
        </is>
      </c>
      <c r="B11" s="4" t="n"/>
      <c r="C11" s="39" t="inlineStr">
        <is>
          <t>Name</t>
        </is>
      </c>
      <c r="D11" s="4" t="n"/>
      <c r="E11" s="4" t="n"/>
      <c r="F11" s="4" t="n"/>
      <c r="G11" s="39" t="inlineStr">
        <is>
          <t>תיאור / Description</t>
        </is>
      </c>
      <c r="H11" s="4" t="n"/>
      <c r="I11" s="4" t="n"/>
      <c r="J11" s="4" t="n"/>
      <c r="K11" s="4" t="n"/>
      <c r="L11" s="4" t="n"/>
    </row>
    <row r="12" ht="18" customHeight="1">
      <c r="A12" s="44" t="inlineStr">
        <is>
          <t>IDoc</t>
        </is>
      </c>
      <c r="B12" s="4" t="n"/>
      <c r="C12" s="45" t="inlineStr">
        <is>
          <t>LOIPRO</t>
        </is>
      </c>
      <c r="D12" s="4" t="n"/>
      <c r="E12" s="4" t="n"/>
      <c r="F12" s="4" t="n"/>
      <c r="G12" s="41" t="inlineStr">
        <is>
          <t>פק"ע/הוראות ייצור ל-MES</t>
        </is>
      </c>
      <c r="H12" s="4" t="n"/>
      <c r="I12" s="4" t="n"/>
      <c r="J12" s="4" t="n"/>
      <c r="K12" s="4" t="n"/>
      <c r="L12" s="4" t="n"/>
    </row>
    <row r="13" ht="18" customHeight="1">
      <c r="A13" s="44" t="inlineStr">
        <is>
          <t>BAPI</t>
        </is>
      </c>
      <c r="B13" s="4" t="n"/>
      <c r="C13" s="45" t="inlineStr">
        <is>
          <t>BAPI_BUPA_CREATE_FROM_DATA</t>
        </is>
      </c>
      <c r="D13" s="4" t="n"/>
      <c r="E13" s="4" t="n"/>
      <c r="F13" s="4" t="n"/>
      <c r="G13" s="41" t="inlineStr">
        <is>
          <t>יצירת שותף עסקי (BP)</t>
        </is>
      </c>
      <c r="H13" s="4" t="n"/>
      <c r="I13" s="4" t="n"/>
      <c r="J13" s="4" t="n"/>
      <c r="K13" s="4" t="n"/>
      <c r="L13" s="4" t="n"/>
    </row>
    <row r="14" ht="18" customHeight="1">
      <c r="A14" s="44" t="inlineStr">
        <is>
          <t>FM</t>
        </is>
      </c>
      <c r="B14" s="4" t="n"/>
      <c r="C14" s="45" t="inlineStr">
        <is>
          <t>CVI_VENDOR_TO_BP_CONVERT</t>
        </is>
      </c>
      <c r="D14" s="4" t="n"/>
      <c r="E14" s="4" t="n"/>
      <c r="F14" s="4" t="n"/>
      <c r="G14" s="41" t="inlineStr">
        <is>
          <t>המרת ספק ל-BP (CVI)</t>
        </is>
      </c>
      <c r="H14" s="4" t="n"/>
      <c r="I14" s="4" t="n"/>
      <c r="J14" s="4" t="n"/>
      <c r="K14" s="4" t="n"/>
      <c r="L14" s="4" t="n"/>
    </row>
    <row r="15" ht="18" customHeight="1">
      <c r="A15" s="44" t="inlineStr">
        <is>
          <t>RFC</t>
        </is>
      </c>
      <c r="B15" s="4" t="n"/>
      <c r="C15" s="45" t="inlineStr">
        <is>
          <t>STATUS_CHANGE_INTERN</t>
        </is>
      </c>
      <c r="D15" s="4" t="n"/>
      <c r="E15" s="4" t="n"/>
      <c r="F15" s="4" t="n"/>
      <c r="G15" s="41" t="inlineStr">
        <is>
          <t>שינוי סטטוס פנימי</t>
        </is>
      </c>
      <c r="H15" s="4" t="n"/>
      <c r="I15" s="4" t="n"/>
      <c r="J15" s="4" t="n"/>
      <c r="K15" s="4" t="n"/>
      <c r="L15" s="4" t="n"/>
    </row>
    <row r="16" ht="18" customHeight="1">
      <c r="A16" s="38" t="inlineStr">
        <is>
          <t xml:space="preserve">    תוכניות רקע ודוחות סטנדרטיים (Background Programs / Reports)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39" t="inlineStr">
        <is>
          <t>Program / Report</t>
        </is>
      </c>
      <c r="B17" s="4" t="n"/>
      <c r="C17" s="4" t="n"/>
      <c r="D17" s="4" t="n"/>
      <c r="E17" s="39" t="inlineStr">
        <is>
          <t>תיאור ומטרה / Usage &amp; Trigger</t>
        </is>
      </c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5" t="inlineStr">
        <is>
          <t>RBDMIDOC</t>
        </is>
      </c>
      <c r="B18" s="4" t="n"/>
      <c r="C18" s="4" t="n"/>
      <c r="D18" s="4" t="n"/>
      <c r="E18" s="41" t="inlineStr">
        <is>
          <t>יצירת IDocs להפצה (MATMAS/LOIPRO)</t>
        </is>
      </c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5" t="inlineStr">
        <is>
          <t>MDS_LOAD_COCKPIT</t>
        </is>
      </c>
      <c r="B19" s="4" t="n"/>
      <c r="C19" s="4" t="n"/>
      <c r="D19" s="4" t="n"/>
      <c r="E19" s="41" t="inlineStr">
        <is>
          <t>סנכרון Customer/Vendor Integration ל-BP</t>
        </is>
      </c>
      <c r="F19" s="4" t="n"/>
      <c r="G19" s="4" t="n"/>
      <c r="H19" s="4" t="n"/>
      <c r="I19" s="4" t="n"/>
      <c r="J19" s="4" t="n"/>
      <c r="K19" s="4" t="n"/>
      <c r="L19" s="4" t="n"/>
    </row>
    <row r="20" ht="18" customHeight="1">
      <c r="A20" s="45" t="inlineStr">
        <is>
          <t>RHALTD00 / RCOZP</t>
        </is>
      </c>
      <c r="B20" s="4" t="n"/>
      <c r="C20" s="4" t="n"/>
      <c r="D20" s="4" t="n"/>
      <c r="E20" s="41" t="inlineStr">
        <is>
          <t>עיבוד/בדיקת קונפיגורציה</t>
        </is>
      </c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2" customHeight="1">
      <c r="A22" s="46" t="inlineStr">
        <is>
          <t xml:space="preserve">  ◆ טבלה T134  -  סוגי חומר (Customizing)  (Material types)   |   T-codes: OMS2; SPRO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6" customHeight="1">
      <c r="A23" s="47" t="n">
        <v>1</v>
      </c>
      <c r="B23" s="48" t="inlineStr">
        <is>
          <t>T134</t>
        </is>
      </c>
      <c r="C23" s="49" t="inlineStr">
        <is>
          <t>MTART</t>
        </is>
      </c>
      <c r="D23" s="50" t="inlineStr">
        <is>
          <t>CHAR</t>
        </is>
      </c>
      <c r="E23" s="50" t="inlineStr">
        <is>
          <t>4</t>
        </is>
      </c>
      <c r="F23" s="51" t="inlineStr">
        <is>
          <t>PK</t>
        </is>
      </c>
      <c r="G23" s="52" t="inlineStr">
        <is>
          <t>Material type</t>
        </is>
      </c>
      <c r="H23" s="53" t="inlineStr">
        <is>
          <t>סוג חומר</t>
        </is>
      </c>
      <c r="I23" s="54" t="inlineStr">
        <is>
          <t>FROM MARA JOIN T134 ON MARA.MTART = T134.MTART</t>
        </is>
      </c>
      <c r="J23" s="55" t="inlineStr">
        <is>
          <t>מגדיר סוגי חומר (ROH גלם, FERT מוגמר, HALB ביניים, VERP אריזה) ושולט באילו תצוגות/שדות חובה. בסיס לסיווג כל חומרי CBC.</t>
        </is>
      </c>
      <c r="K23" s="56" t="inlineStr">
        <is>
          <t>ללא שינוי (Customizing).</t>
        </is>
      </c>
      <c r="L23" s="57" t="inlineStr">
        <is>
          <t>SAP Help - Material Types</t>
        </is>
      </c>
    </row>
    <row r="24" ht="26" customHeight="1">
      <c r="A24" s="58" t="n">
        <v>2</v>
      </c>
      <c r="B24" s="59" t="n"/>
      <c r="C24" s="60" t="inlineStr">
        <is>
          <t>MBRSH</t>
        </is>
      </c>
      <c r="D24" s="61" t="inlineStr">
        <is>
          <t>CHAR</t>
        </is>
      </c>
      <c r="E24" s="61" t="inlineStr">
        <is>
          <t>1</t>
        </is>
      </c>
      <c r="F24" s="65" t="inlineStr">
        <is>
          <t>-</t>
        </is>
      </c>
      <c r="G24" s="63" t="inlineStr">
        <is>
          <t>Industry sector</t>
        </is>
      </c>
      <c r="H24" s="64" t="inlineStr">
        <is>
          <t>ענף</t>
        </is>
      </c>
      <c r="I24" s="59" t="n"/>
      <c r="J24" s="59" t="n"/>
      <c r="K24" s="59" t="n"/>
      <c r="L24" s="59" t="n"/>
    </row>
    <row r="25" ht="26" customHeight="1">
      <c r="A25" s="47" t="n">
        <v>3</v>
      </c>
      <c r="B25" s="66" t="n"/>
      <c r="C25" s="49" t="inlineStr">
        <is>
          <t>KKREF</t>
        </is>
      </c>
      <c r="D25" s="50" t="inlineStr">
        <is>
          <t>CHAR</t>
        </is>
      </c>
      <c r="E25" s="50" t="inlineStr">
        <is>
          <t>4</t>
        </is>
      </c>
      <c r="F25" s="65" t="inlineStr">
        <is>
          <t>-</t>
        </is>
      </c>
      <c r="G25" s="52" t="inlineStr">
        <is>
          <t>Account category reference</t>
        </is>
      </c>
      <c r="H25" s="53" t="inlineStr">
        <is>
          <t>הפניית קטגוריית חשבון</t>
        </is>
      </c>
      <c r="I25" s="66" t="n"/>
      <c r="J25" s="66" t="n"/>
      <c r="K25" s="66" t="n"/>
      <c r="L25" s="66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22" customHeight="1">
      <c r="A27" s="46" t="inlineStr">
        <is>
          <t xml:space="preserve">  ◆ טבלה T134T  -  טקסטים לסוגי חומר  (Material type descriptions)   |   T-codes: OMS2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6" customHeight="1">
      <c r="A28" s="58" t="n">
        <v>4</v>
      </c>
      <c r="B28" s="68" t="inlineStr">
        <is>
          <t>T134T</t>
        </is>
      </c>
      <c r="C28" s="60" t="inlineStr">
        <is>
          <t>MTART</t>
        </is>
      </c>
      <c r="D28" s="61" t="inlineStr">
        <is>
          <t>CHAR</t>
        </is>
      </c>
      <c r="E28" s="61" t="inlineStr">
        <is>
          <t>4</t>
        </is>
      </c>
      <c r="F28" s="67" t="inlineStr">
        <is>
          <t>PK/FK</t>
        </is>
      </c>
      <c r="G28" s="63" t="inlineStr">
        <is>
          <t>Material type</t>
        </is>
      </c>
      <c r="H28" s="64" t="inlineStr">
        <is>
          <t>סוג חומר</t>
        </is>
      </c>
      <c r="I28" s="69" t="inlineStr">
        <is>
          <t>FROM T134T JOIN T134 ON T134T.MTART = T134.MTART</t>
        </is>
      </c>
      <c r="J28" s="70" t="inlineStr">
        <is>
          <t>תיאורי סוגי החומר הרב-לשוניים.</t>
        </is>
      </c>
      <c r="K28" s="71" t="inlineStr">
        <is>
          <t>ללא שינוי.</t>
        </is>
      </c>
      <c r="L28" s="72" t="inlineStr">
        <is>
          <t>SAP Help - Material Types</t>
        </is>
      </c>
    </row>
    <row r="29" ht="26" customHeight="1">
      <c r="A29" s="47" t="n">
        <v>5</v>
      </c>
      <c r="B29" s="59" t="n"/>
      <c r="C29" s="49" t="inlineStr">
        <is>
          <t>SPRAS</t>
        </is>
      </c>
      <c r="D29" s="50" t="inlineStr">
        <is>
          <t>LANG</t>
        </is>
      </c>
      <c r="E29" s="50" t="inlineStr">
        <is>
          <t>1</t>
        </is>
      </c>
      <c r="F29" s="51" t="inlineStr">
        <is>
          <t>PK</t>
        </is>
      </c>
      <c r="G29" s="52" t="inlineStr">
        <is>
          <t>Language key</t>
        </is>
      </c>
      <c r="H29" s="53" t="inlineStr">
        <is>
          <t>שפה</t>
        </is>
      </c>
      <c r="I29" s="59" t="n"/>
      <c r="J29" s="59" t="n"/>
      <c r="K29" s="59" t="n"/>
      <c r="L29" s="59" t="n"/>
    </row>
    <row r="30" ht="26" customHeight="1">
      <c r="A30" s="58" t="n">
        <v>6</v>
      </c>
      <c r="B30" s="66" t="n"/>
      <c r="C30" s="60" t="inlineStr">
        <is>
          <t>MTBEZ</t>
        </is>
      </c>
      <c r="D30" s="61" t="inlineStr">
        <is>
          <t>CHAR</t>
        </is>
      </c>
      <c r="E30" s="61" t="inlineStr">
        <is>
          <t>25</t>
        </is>
      </c>
      <c r="F30" s="65" t="inlineStr">
        <is>
          <t>-</t>
        </is>
      </c>
      <c r="G30" s="63" t="inlineStr">
        <is>
          <t>Material type description</t>
        </is>
      </c>
      <c r="H30" s="64" t="inlineStr">
        <is>
          <t>תיאור סוג חומר</t>
        </is>
      </c>
      <c r="I30" s="66" t="n"/>
      <c r="J30" s="66" t="n"/>
      <c r="K30" s="66" t="n"/>
      <c r="L30" s="66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22" customHeight="1">
      <c r="A32" s="46" t="inlineStr">
        <is>
          <t xml:space="preserve">  ◆ טבלה T023  -  קבוצות חומר (Customizing)  (Material groups)   |   T-codes: OMSF; SPRO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6" customHeight="1">
      <c r="A33" s="47" t="n">
        <v>7</v>
      </c>
      <c r="B33" s="48" t="inlineStr">
        <is>
          <t>T023</t>
        </is>
      </c>
      <c r="C33" s="49" t="inlineStr">
        <is>
          <t>MATKL</t>
        </is>
      </c>
      <c r="D33" s="50" t="inlineStr">
        <is>
          <t>CHAR</t>
        </is>
      </c>
      <c r="E33" s="50" t="inlineStr">
        <is>
          <t>9</t>
        </is>
      </c>
      <c r="F33" s="51" t="inlineStr">
        <is>
          <t>PK</t>
        </is>
      </c>
      <c r="G33" s="52" t="inlineStr">
        <is>
          <t>Material group</t>
        </is>
      </c>
      <c r="H33" s="53" t="inlineStr">
        <is>
          <t>קבוצת חומר</t>
        </is>
      </c>
      <c r="I33" s="54" t="inlineStr">
        <is>
          <t>FROM MARA JOIN T023 ON MARA.MATKL = T023.MATKL</t>
        </is>
      </c>
      <c r="J33" s="55" t="inlineStr">
        <is>
          <t>מגדיר קבוצות חומר לקיבוץ דיווחי וניתוח רכש/ייצור - לדוגמה 'תרכיזים', 'בקבוקי PET', 'פחיות'.</t>
        </is>
      </c>
      <c r="K33" s="56" t="inlineStr">
        <is>
          <t>ללא שינוי.</t>
        </is>
      </c>
      <c r="L33" s="57" t="inlineStr">
        <is>
          <t>SAP Help - Material Groups</t>
        </is>
      </c>
    </row>
    <row r="34" ht="26" customHeight="1">
      <c r="A34" s="58" t="n">
        <v>8</v>
      </c>
      <c r="B34" s="66" t="n"/>
      <c r="C34" s="60" t="inlineStr">
        <is>
          <t>BKLAS</t>
        </is>
      </c>
      <c r="D34" s="61" t="inlineStr">
        <is>
          <t>CHAR</t>
        </is>
      </c>
      <c r="E34" s="61" t="inlineStr">
        <is>
          <t>4</t>
        </is>
      </c>
      <c r="F34" s="65" t="inlineStr">
        <is>
          <t>-</t>
        </is>
      </c>
      <c r="G34" s="63" t="inlineStr">
        <is>
          <t>Valuation class</t>
        </is>
      </c>
      <c r="H34" s="64" t="inlineStr">
        <is>
          <t>מחלקת הערכה</t>
        </is>
      </c>
      <c r="I34" s="66" t="n"/>
      <c r="J34" s="66" t="n"/>
      <c r="K34" s="66" t="n"/>
      <c r="L34" s="6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22" customHeight="1">
      <c r="A36" s="46" t="inlineStr">
        <is>
          <t xml:space="preserve">  ◆ טבלה T023T  -  טקסטים לקבוצות חומר  (Material group descriptions)   |   T-codes: OMSF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6" customHeight="1">
      <c r="A37" s="47" t="n">
        <v>9</v>
      </c>
      <c r="B37" s="48" t="inlineStr">
        <is>
          <t>T023T</t>
        </is>
      </c>
      <c r="C37" s="49" t="inlineStr">
        <is>
          <t>MATKL</t>
        </is>
      </c>
      <c r="D37" s="50" t="inlineStr">
        <is>
          <t>CHAR</t>
        </is>
      </c>
      <c r="E37" s="50" t="inlineStr">
        <is>
          <t>9</t>
        </is>
      </c>
      <c r="F37" s="67" t="inlineStr">
        <is>
          <t>PK/FK</t>
        </is>
      </c>
      <c r="G37" s="52" t="inlineStr">
        <is>
          <t>Material group</t>
        </is>
      </c>
      <c r="H37" s="53" t="inlineStr">
        <is>
          <t>קבוצת חומר</t>
        </is>
      </c>
      <c r="I37" s="54" t="inlineStr">
        <is>
          <t>FROM T023T JOIN T023 ON T023T.MATKL = T023.MATKL</t>
        </is>
      </c>
      <c r="J37" s="55" t="inlineStr">
        <is>
          <t>תיאורי קבוצות החומר הרב-לשוניים.</t>
        </is>
      </c>
      <c r="K37" s="56" t="inlineStr">
        <is>
          <t>ללא שינוי.</t>
        </is>
      </c>
      <c r="L37" s="57" t="inlineStr">
        <is>
          <t>SAP Help - Material Groups</t>
        </is>
      </c>
    </row>
    <row r="38" ht="26" customHeight="1">
      <c r="A38" s="58" t="n">
        <v>10</v>
      </c>
      <c r="B38" s="59" t="n"/>
      <c r="C38" s="60" t="inlineStr">
        <is>
          <t>SPRAS</t>
        </is>
      </c>
      <c r="D38" s="61" t="inlineStr">
        <is>
          <t>LANG</t>
        </is>
      </c>
      <c r="E38" s="61" t="inlineStr">
        <is>
          <t>1</t>
        </is>
      </c>
      <c r="F38" s="51" t="inlineStr">
        <is>
          <t>PK</t>
        </is>
      </c>
      <c r="G38" s="63" t="inlineStr">
        <is>
          <t>Language key</t>
        </is>
      </c>
      <c r="H38" s="64" t="inlineStr">
        <is>
          <t>שפה</t>
        </is>
      </c>
      <c r="I38" s="59" t="n"/>
      <c r="J38" s="59" t="n"/>
      <c r="K38" s="59" t="n"/>
      <c r="L38" s="59" t="n"/>
    </row>
    <row r="39" ht="26" customHeight="1">
      <c r="A39" s="47" t="n">
        <v>11</v>
      </c>
      <c r="B39" s="66" t="n"/>
      <c r="C39" s="49" t="inlineStr">
        <is>
          <t>WGBEZ</t>
        </is>
      </c>
      <c r="D39" s="50" t="inlineStr">
        <is>
          <t>CHAR</t>
        </is>
      </c>
      <c r="E39" s="50" t="inlineStr">
        <is>
          <t>20</t>
        </is>
      </c>
      <c r="F39" s="65" t="inlineStr">
        <is>
          <t>-</t>
        </is>
      </c>
      <c r="G39" s="52" t="inlineStr">
        <is>
          <t>Material group description</t>
        </is>
      </c>
      <c r="H39" s="53" t="inlineStr">
        <is>
          <t>תיאור קבוצת חומר</t>
        </is>
      </c>
      <c r="I39" s="66" t="n"/>
      <c r="J39" s="66" t="n"/>
      <c r="K39" s="66" t="n"/>
      <c r="L39" s="66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2" customHeight="1">
      <c r="A41" s="46" t="inlineStr">
        <is>
          <t xml:space="preserve">  ◆ טבלה T399X  -  פרמטרי בקרת ייצור למפעל  (Plant production control parameters)   |   T-codes: OPL8; SPRO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6" customHeight="1">
      <c r="A42" s="58" t="n">
        <v>12</v>
      </c>
      <c r="B42" s="68" t="inlineStr">
        <is>
          <t>T399X</t>
        </is>
      </c>
      <c r="C42" s="60" t="inlineStr">
        <is>
          <t>WERKS</t>
        </is>
      </c>
      <c r="D42" s="61" t="inlineStr">
        <is>
          <t>CHAR</t>
        </is>
      </c>
      <c r="E42" s="61" t="inlineStr">
        <is>
          <t>4</t>
        </is>
      </c>
      <c r="F42" s="51" t="inlineStr">
        <is>
          <t>PK</t>
        </is>
      </c>
      <c r="G42" s="63" t="inlineStr">
        <is>
          <t>Plant</t>
        </is>
      </c>
      <c r="H42" s="64" t="inlineStr">
        <is>
          <t>מפעל</t>
        </is>
      </c>
      <c r="I42" s="69" t="inlineStr">
        <is>
          <t>FROM AUFK JOIN T399X ON AUFK.WERKS = T399X.WERKS AND AUFK.AUART = T399X.AUART</t>
        </is>
      </c>
      <c r="J42" s="70" t="inlineStr">
        <is>
          <t>פרמטרי בקרה לפק"ע לפי מפעל/סוג פק"ע: זמינות, אופק שחרור, פרופיל סטטוס, IDoc. כאן מוגדרת זרימת ה-Control Recipe ל-Zetes/Daymax.</t>
        </is>
      </c>
      <c r="K42" s="71" t="inlineStr">
        <is>
          <t>ללא שינוי (Customizing).</t>
        </is>
      </c>
      <c r="L42" s="72" t="inlineStr">
        <is>
          <t>SAP Help - Order Type Plant Parameters</t>
        </is>
      </c>
    </row>
    <row r="43" ht="26" customHeight="1">
      <c r="A43" s="47" t="n">
        <v>13</v>
      </c>
      <c r="B43" s="59" t="n"/>
      <c r="C43" s="49" t="inlineStr">
        <is>
          <t>AUART</t>
        </is>
      </c>
      <c r="D43" s="50" t="inlineStr">
        <is>
          <t>CHAR</t>
        </is>
      </c>
      <c r="E43" s="50" t="inlineStr">
        <is>
          <t>4</t>
        </is>
      </c>
      <c r="F43" s="51" t="inlineStr">
        <is>
          <t>PK</t>
        </is>
      </c>
      <c r="G43" s="52" t="inlineStr">
        <is>
          <t>Order type</t>
        </is>
      </c>
      <c r="H43" s="53" t="inlineStr">
        <is>
          <t>סוג פק"ע</t>
        </is>
      </c>
      <c r="I43" s="59" t="n"/>
      <c r="J43" s="59" t="n"/>
      <c r="K43" s="59" t="n"/>
      <c r="L43" s="59" t="n"/>
    </row>
    <row r="44" ht="26" customHeight="1">
      <c r="A44" s="58" t="n">
        <v>14</v>
      </c>
      <c r="B44" s="59" t="n"/>
      <c r="C44" s="60" t="inlineStr">
        <is>
          <t>APROFIL</t>
        </is>
      </c>
      <c r="D44" s="61" t="inlineStr">
        <is>
          <t>CHAR</t>
        </is>
      </c>
      <c r="E44" s="61" t="inlineStr">
        <is>
          <t>4</t>
        </is>
      </c>
      <c r="F44" s="65" t="inlineStr">
        <is>
          <t>-</t>
        </is>
      </c>
      <c r="G44" s="63" t="inlineStr">
        <is>
          <t>Availability check profile</t>
        </is>
      </c>
      <c r="H44" s="64" t="inlineStr">
        <is>
          <t>פרופיל בדיקת זמינות</t>
        </is>
      </c>
      <c r="I44" s="59" t="n"/>
      <c r="J44" s="59" t="n"/>
      <c r="K44" s="59" t="n"/>
      <c r="L44" s="59" t="n"/>
    </row>
    <row r="45" ht="26" customHeight="1">
      <c r="A45" s="47" t="n">
        <v>15</v>
      </c>
      <c r="B45" s="66" t="n"/>
      <c r="C45" s="49" t="inlineStr">
        <is>
          <t>TERHO</t>
        </is>
      </c>
      <c r="D45" s="50" t="inlineStr">
        <is>
          <t>NUMC</t>
        </is>
      </c>
      <c r="E45" s="50" t="inlineStr">
        <is>
          <t>3</t>
        </is>
      </c>
      <c r="F45" s="65" t="inlineStr">
        <is>
          <t>-</t>
        </is>
      </c>
      <c r="G45" s="52" t="inlineStr">
        <is>
          <t>Scheduling / release horizon</t>
        </is>
      </c>
      <c r="H45" s="53" t="inlineStr">
        <is>
          <t>אופק שחרור</t>
        </is>
      </c>
      <c r="I45" s="66" t="n"/>
      <c r="J45" s="66" t="n"/>
      <c r="K45" s="66" t="n"/>
      <c r="L45" s="66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22" customHeight="1">
      <c r="A47" s="46" t="inlineStr">
        <is>
          <t xml:space="preserve">  ◆ טבלה TCK03  -  וריאנט תמחיר (Costing Variant)  (Costing variant)   |   T-codes: OKKN; SPRO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6" customHeight="1">
      <c r="A48" s="58" t="n">
        <v>16</v>
      </c>
      <c r="B48" s="68" t="inlineStr">
        <is>
          <t>TCK03</t>
        </is>
      </c>
      <c r="C48" s="60" t="inlineStr">
        <is>
          <t>KLVAR</t>
        </is>
      </c>
      <c r="D48" s="61" t="inlineStr">
        <is>
          <t>CHAR</t>
        </is>
      </c>
      <c r="E48" s="61" t="inlineStr">
        <is>
          <t>4</t>
        </is>
      </c>
      <c r="F48" s="51" t="inlineStr">
        <is>
          <t>PK</t>
        </is>
      </c>
      <c r="G48" s="63" t="inlineStr">
        <is>
          <t>Costing variant</t>
        </is>
      </c>
      <c r="H48" s="64" t="inlineStr">
        <is>
          <t>וריאנט תמחיר</t>
        </is>
      </c>
      <c r="I48" s="69" t="inlineStr">
        <is>
          <t>FROM T399X JOIN TCK03 ON T399X.KLVARP = TCK03.KLVAR</t>
        </is>
      </c>
      <c r="J48" s="70" t="inlineStr">
        <is>
          <t>מגדיר את וריאנט התמחיר המתוכנן/בפועל של פק"ע (אסטרטגיית מחיר, אזור). בסיס לחישוב עלות התקן של משקה.</t>
        </is>
      </c>
      <c r="K48" s="71" t="inlineStr">
        <is>
          <t>תואם; הערכה ב-Material Ledger/ACDOCA.</t>
        </is>
      </c>
      <c r="L48" s="72" t="inlineStr">
        <is>
          <t>SAP Help - Costing Variant</t>
        </is>
      </c>
    </row>
    <row r="49" ht="26" customHeight="1">
      <c r="A49" s="47" t="n">
        <v>17</v>
      </c>
      <c r="B49" s="59" t="n"/>
      <c r="C49" s="49" t="inlineStr">
        <is>
          <t>BWVAR</t>
        </is>
      </c>
      <c r="D49" s="50" t="inlineStr">
        <is>
          <t>CHAR</t>
        </is>
      </c>
      <c r="E49" s="50" t="inlineStr">
        <is>
          <t>3</t>
        </is>
      </c>
      <c r="F49" s="65" t="inlineStr">
        <is>
          <t>-</t>
        </is>
      </c>
      <c r="G49" s="52" t="inlineStr">
        <is>
          <t>Valuation variant</t>
        </is>
      </c>
      <c r="H49" s="53" t="inlineStr">
        <is>
          <t>וריאנט הערכה</t>
        </is>
      </c>
      <c r="I49" s="59" t="n"/>
      <c r="J49" s="59" t="n"/>
      <c r="K49" s="59" t="n"/>
      <c r="L49" s="59" t="n"/>
    </row>
    <row r="50" ht="26" customHeight="1">
      <c r="A50" s="58" t="n">
        <v>18</v>
      </c>
      <c r="B50" s="66" t="n"/>
      <c r="C50" s="60" t="inlineStr">
        <is>
          <t>KALAW</t>
        </is>
      </c>
      <c r="D50" s="61" t="inlineStr">
        <is>
          <t>CHAR</t>
        </is>
      </c>
      <c r="E50" s="61" t="inlineStr">
        <is>
          <t>2</t>
        </is>
      </c>
      <c r="F50" s="65" t="inlineStr">
        <is>
          <t>-</t>
        </is>
      </c>
      <c r="G50" s="63" t="inlineStr">
        <is>
          <t>Costing type</t>
        </is>
      </c>
      <c r="H50" s="64" t="inlineStr">
        <is>
          <t>סוג תמחיר</t>
        </is>
      </c>
      <c r="I50" s="66" t="n"/>
      <c r="J50" s="66" t="n"/>
      <c r="K50" s="66" t="n"/>
      <c r="L50" s="66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22" customHeight="1">
      <c r="A52" s="46" t="inlineStr">
        <is>
          <t xml:space="preserve">  ◆ טבלה T438M  -  פרמטרי MRP לחומר/מפעל  (MRP control parameters)   |   T-codes: OPPQ; SPRO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6" customHeight="1">
      <c r="A53" s="47" t="n">
        <v>19</v>
      </c>
      <c r="B53" s="48" t="inlineStr">
        <is>
          <t>T438M</t>
        </is>
      </c>
      <c r="C53" s="49" t="inlineStr">
        <is>
          <t>DISMM</t>
        </is>
      </c>
      <c r="D53" s="50" t="inlineStr">
        <is>
          <t>CHAR</t>
        </is>
      </c>
      <c r="E53" s="50" t="inlineStr">
        <is>
          <t>2</t>
        </is>
      </c>
      <c r="F53" s="51" t="inlineStr">
        <is>
          <t>PK</t>
        </is>
      </c>
      <c r="G53" s="52" t="inlineStr">
        <is>
          <t>MRP type</t>
        </is>
      </c>
      <c r="H53" s="53" t="inlineStr">
        <is>
          <t>סוג MRP</t>
        </is>
      </c>
      <c r="I53" s="54" t="inlineStr">
        <is>
          <t>FROM MARC JOIN T438M ON MARC.DISMM = T438M.DISMM</t>
        </is>
      </c>
      <c r="J53" s="55" t="inlineStr">
        <is>
          <t>פרמטרי בקרת MRP (סוג תכנון, גודל אצווה) - שולטים בתכנון אוטומטי של חומרי גלם וייצור ב-MRP Live.</t>
        </is>
      </c>
      <c r="K53" s="56" t="inlineStr">
        <is>
          <t>MRP Live - חלק מהפרמטרים מותאמים; אמת מול SAP Help.</t>
        </is>
      </c>
      <c r="L53" s="57" t="inlineStr">
        <is>
          <t>SAP Help - MRP Parameters</t>
        </is>
      </c>
    </row>
    <row r="54" ht="26" customHeight="1">
      <c r="A54" s="58" t="n">
        <v>20</v>
      </c>
      <c r="B54" s="66" t="n"/>
      <c r="C54" s="60" t="inlineStr">
        <is>
          <t>DISVF</t>
        </is>
      </c>
      <c r="D54" s="61" t="inlineStr">
        <is>
          <t>CHAR</t>
        </is>
      </c>
      <c r="E54" s="61" t="inlineStr">
        <is>
          <t>1</t>
        </is>
      </c>
      <c r="F54" s="65" t="inlineStr">
        <is>
          <t>-</t>
        </is>
      </c>
      <c r="G54" s="63" t="inlineStr">
        <is>
          <t>MRP procedure</t>
        </is>
      </c>
      <c r="H54" s="64" t="inlineStr">
        <is>
          <t>שיטת MRP</t>
        </is>
      </c>
      <c r="I54" s="66" t="n"/>
      <c r="J54" s="66" t="n"/>
      <c r="K54" s="66" t="n"/>
      <c r="L54" s="66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2" customHeight="1">
      <c r="A56" s="46" t="inlineStr">
        <is>
          <t xml:space="preserve">  ◆ טבלה T003O  -  סוגי פקודת ייצור (Process Order Types)  (Order types (process orders))   |   T-codes: COR4; SPRO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26" customHeight="1">
      <c r="A57" s="47" t="n">
        <v>21</v>
      </c>
      <c r="B57" s="48" t="inlineStr">
        <is>
          <t>T003O</t>
        </is>
      </c>
      <c r="C57" s="49" t="inlineStr">
        <is>
          <t>AUART</t>
        </is>
      </c>
      <c r="D57" s="50" t="inlineStr">
        <is>
          <t>CHAR</t>
        </is>
      </c>
      <c r="E57" s="50" t="inlineStr">
        <is>
          <t>4</t>
        </is>
      </c>
      <c r="F57" s="51" t="inlineStr">
        <is>
          <t>PK</t>
        </is>
      </c>
      <c r="G57" s="52" t="inlineStr">
        <is>
          <t>Order type</t>
        </is>
      </c>
      <c r="H57" s="53" t="inlineStr">
        <is>
          <t>סוג פק"ע</t>
        </is>
      </c>
      <c r="I57" s="54" t="inlineStr">
        <is>
          <t>FROM AUFK JOIN T003O ON AUFK.AUART = T003O.AUART</t>
        </is>
      </c>
      <c r="J57" s="55" t="inlineStr">
        <is>
          <t>מגדיר סוגי פק"ע ייצור (PI01 תהליך, PI02 שיפוץ) - קטגוריה, טווח מספרים ופרופיל סטטוס. ב-CBC מפריד תהליכי ייצור (ערבול/מילוי) מתהליכי תחזוקה. שחרור הפק"ע מפעיל IDoc LOIPRO לקו.</t>
        </is>
      </c>
      <c r="K57" s="56" t="inlineStr">
        <is>
          <t>ללא שינוי (Customizing).</t>
        </is>
      </c>
      <c r="L57" s="57" t="inlineStr">
        <is>
          <t>SAP Help - Order Types</t>
        </is>
      </c>
    </row>
    <row r="58" ht="26" customHeight="1">
      <c r="A58" s="58" t="n">
        <v>22</v>
      </c>
      <c r="B58" s="59" t="n"/>
      <c r="C58" s="60" t="inlineStr">
        <is>
          <t>AUTYP</t>
        </is>
      </c>
      <c r="D58" s="61" t="inlineStr">
        <is>
          <t>NUMC</t>
        </is>
      </c>
      <c r="E58" s="61" t="inlineStr">
        <is>
          <t>2</t>
        </is>
      </c>
      <c r="F58" s="65" t="inlineStr">
        <is>
          <t>-</t>
        </is>
      </c>
      <c r="G58" s="63" t="inlineStr">
        <is>
          <t>Order category (40=process)</t>
        </is>
      </c>
      <c r="H58" s="64" t="inlineStr">
        <is>
          <t>קטגוריית פק"ע</t>
        </is>
      </c>
      <c r="I58" s="59" t="n"/>
      <c r="J58" s="59" t="n"/>
      <c r="K58" s="59" t="n"/>
      <c r="L58" s="59" t="n"/>
    </row>
    <row r="59" ht="26" customHeight="1">
      <c r="A59" s="47" t="n">
        <v>23</v>
      </c>
      <c r="B59" s="59" t="n"/>
      <c r="C59" s="49" t="inlineStr">
        <is>
          <t>STSMA</t>
        </is>
      </c>
      <c r="D59" s="50" t="inlineStr">
        <is>
          <t>CHAR</t>
        </is>
      </c>
      <c r="E59" s="50" t="inlineStr">
        <is>
          <t>8</t>
        </is>
      </c>
      <c r="F59" s="62" t="inlineStr">
        <is>
          <t>FK</t>
        </is>
      </c>
      <c r="G59" s="52" t="inlineStr">
        <is>
          <t>Status profile</t>
        </is>
      </c>
      <c r="H59" s="53" t="inlineStr">
        <is>
          <t>פרופיל סטטוס</t>
        </is>
      </c>
      <c r="I59" s="59" t="n"/>
      <c r="J59" s="59" t="n"/>
      <c r="K59" s="59" t="n"/>
      <c r="L59" s="59" t="n"/>
    </row>
    <row r="60" ht="26" customHeight="1">
      <c r="A60" s="58" t="n">
        <v>24</v>
      </c>
      <c r="B60" s="66" t="n"/>
      <c r="C60" s="60" t="inlineStr">
        <is>
          <t>NUMKI</t>
        </is>
      </c>
      <c r="D60" s="61" t="inlineStr">
        <is>
          <t>CHAR</t>
        </is>
      </c>
      <c r="E60" s="61" t="inlineStr">
        <is>
          <t>2</t>
        </is>
      </c>
      <c r="F60" s="65" t="inlineStr">
        <is>
          <t>-</t>
        </is>
      </c>
      <c r="G60" s="63" t="inlineStr">
        <is>
          <t>Internal number range</t>
        </is>
      </c>
      <c r="H60" s="64" t="inlineStr">
        <is>
          <t>טווח מספרים פנימי</t>
        </is>
      </c>
      <c r="I60" s="66" t="n"/>
      <c r="J60" s="66" t="n"/>
      <c r="K60" s="66" t="n"/>
      <c r="L60" s="66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22" customHeight="1">
      <c r="A62" s="46" t="inlineStr">
        <is>
          <t xml:space="preserve">  ◆ טבלה TCO01  -  פרמטרים תלויי סוג פק"ע (Order Profile)  (Order type-dependent parameters)   |   T-codes: COR4; SPRO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26" customHeight="1">
      <c r="A63" s="47" t="n">
        <v>25</v>
      </c>
      <c r="B63" s="48" t="inlineStr">
        <is>
          <t>TCO01</t>
        </is>
      </c>
      <c r="C63" s="49" t="inlineStr">
        <is>
          <t>WERKS</t>
        </is>
      </c>
      <c r="D63" s="50" t="inlineStr">
        <is>
          <t>CHAR</t>
        </is>
      </c>
      <c r="E63" s="50" t="inlineStr">
        <is>
          <t>4</t>
        </is>
      </c>
      <c r="F63" s="51" t="inlineStr">
        <is>
          <t>PK</t>
        </is>
      </c>
      <c r="G63" s="52" t="inlineStr">
        <is>
          <t>Plant</t>
        </is>
      </c>
      <c r="H63" s="53" t="inlineStr">
        <is>
          <t>מפעל</t>
        </is>
      </c>
      <c r="I63" s="54" t="inlineStr">
        <is>
          <t>FROM TCO01 JOIN T003O ON TCO01.AUART = T003O.AUART</t>
        </is>
      </c>
      <c r="J63" s="55" t="inlineStr">
        <is>
          <t>פרמטרי ברירת מחדל לפק"ע לפי סוג/מפעל: וריאנט תמחיר, פרופיל זמינות, פרופיל שחרור Control Recipe ל-MES. כאן מוגדרת זרימת ההוראות ל-Zetes/Daymax.</t>
        </is>
      </c>
      <c r="K63" s="56" t="inlineStr">
        <is>
          <t>ללא שינוי (Customizing).</t>
        </is>
      </c>
      <c r="L63" s="57" t="inlineStr">
        <is>
          <t>SAP Help - Order Parameters</t>
        </is>
      </c>
    </row>
    <row r="64" ht="26" customHeight="1">
      <c r="A64" s="58" t="n">
        <v>26</v>
      </c>
      <c r="B64" s="59" t="n"/>
      <c r="C64" s="60" t="inlineStr">
        <is>
          <t>AUART</t>
        </is>
      </c>
      <c r="D64" s="61" t="inlineStr">
        <is>
          <t>CHAR</t>
        </is>
      </c>
      <c r="E64" s="61" t="inlineStr">
        <is>
          <t>4</t>
        </is>
      </c>
      <c r="F64" s="67" t="inlineStr">
        <is>
          <t>PK/FK</t>
        </is>
      </c>
      <c r="G64" s="63" t="inlineStr">
        <is>
          <t>Order type</t>
        </is>
      </c>
      <c r="H64" s="64" t="inlineStr">
        <is>
          <t>סוג פק"ע</t>
        </is>
      </c>
      <c r="I64" s="59" t="n"/>
      <c r="J64" s="59" t="n"/>
      <c r="K64" s="59" t="n"/>
      <c r="L64" s="59" t="n"/>
    </row>
    <row r="65" ht="26" customHeight="1">
      <c r="A65" s="47" t="n">
        <v>27</v>
      </c>
      <c r="B65" s="59" t="n"/>
      <c r="C65" s="49" t="inlineStr">
        <is>
          <t>KLVARP</t>
        </is>
      </c>
      <c r="D65" s="50" t="inlineStr">
        <is>
          <t>CHAR</t>
        </is>
      </c>
      <c r="E65" s="50" t="inlineStr">
        <is>
          <t>4</t>
        </is>
      </c>
      <c r="F65" s="62" t="inlineStr">
        <is>
          <t>FK</t>
        </is>
      </c>
      <c r="G65" s="52" t="inlineStr">
        <is>
          <t>Costing variant (plan)</t>
        </is>
      </c>
      <c r="H65" s="53" t="inlineStr">
        <is>
          <t>וריאנט תמחיר מתוכנן</t>
        </is>
      </c>
      <c r="I65" s="59" t="n"/>
      <c r="J65" s="59" t="n"/>
      <c r="K65" s="59" t="n"/>
      <c r="L65" s="59" t="n"/>
    </row>
    <row r="66" ht="26" customHeight="1">
      <c r="A66" s="58" t="n">
        <v>28</v>
      </c>
      <c r="B66" s="66" t="n"/>
      <c r="C66" s="60" t="inlineStr">
        <is>
          <t>APROF</t>
        </is>
      </c>
      <c r="D66" s="61" t="inlineStr">
        <is>
          <t>CHAR</t>
        </is>
      </c>
      <c r="E66" s="61" t="inlineStr">
        <is>
          <t>4</t>
        </is>
      </c>
      <c r="F66" s="65" t="inlineStr">
        <is>
          <t>-</t>
        </is>
      </c>
      <c r="G66" s="63" t="inlineStr">
        <is>
          <t>Availability check profile</t>
        </is>
      </c>
      <c r="H66" s="64" t="inlineStr">
        <is>
          <t>פרופיל בדיקת זמינות</t>
        </is>
      </c>
      <c r="I66" s="66" t="n"/>
      <c r="J66" s="66" t="n"/>
      <c r="K66" s="66" t="n"/>
      <c r="L66" s="66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22" customHeight="1">
      <c r="A68" s="46" t="inlineStr">
        <is>
          <t xml:space="preserve">  ◆ טבלה TJ30  -  סטטוסי משתמש בפרופיל (User Status)  (User status within profile)   |   T-codes: BS02/BS03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26" customHeight="1">
      <c r="A69" s="47" t="n">
        <v>29</v>
      </c>
      <c r="B69" s="48" t="inlineStr">
        <is>
          <t>TJ30</t>
        </is>
      </c>
      <c r="C69" s="49" t="inlineStr">
        <is>
          <t>STSMA</t>
        </is>
      </c>
      <c r="D69" s="50" t="inlineStr">
        <is>
          <t>CHAR</t>
        </is>
      </c>
      <c r="E69" s="50" t="inlineStr">
        <is>
          <t>8</t>
        </is>
      </c>
      <c r="F69" s="51" t="inlineStr">
        <is>
          <t>PK</t>
        </is>
      </c>
      <c r="G69" s="52" t="inlineStr">
        <is>
          <t>Status profile</t>
        </is>
      </c>
      <c r="H69" s="53" t="inlineStr">
        <is>
          <t>פרופיל סטטוס</t>
        </is>
      </c>
      <c r="I69" s="54" t="inlineStr">
        <is>
          <t>FROM JEST JOIN TJ30 ON JEST.STAT = TJ30.ESTAT</t>
        </is>
      </c>
      <c r="J69" s="55" t="inlineStr">
        <is>
          <t>מגדיר סטטוסי משתמש מותאמים (למשל 'אושר QA', 'ממתין חומר') וחסימת/התרת תהליכים. ב-CBC אוכף תהליכי עבודה ברמת התא/קו (cell-level) - חוסם שחרור פק"ע עד אישור.</t>
        </is>
      </c>
      <c r="K69" s="56" t="inlineStr">
        <is>
          <t>ללא שינוי.</t>
        </is>
      </c>
      <c r="L69" s="57" t="inlineStr">
        <is>
          <t>SAP Help - Status Management</t>
        </is>
      </c>
    </row>
    <row r="70" ht="26" customHeight="1">
      <c r="A70" s="58" t="n">
        <v>30</v>
      </c>
      <c r="B70" s="59" t="n"/>
      <c r="C70" s="60" t="inlineStr">
        <is>
          <t>ESTAT</t>
        </is>
      </c>
      <c r="D70" s="61" t="inlineStr">
        <is>
          <t>CHAR</t>
        </is>
      </c>
      <c r="E70" s="61" t="inlineStr">
        <is>
          <t>5</t>
        </is>
      </c>
      <c r="F70" s="51" t="inlineStr">
        <is>
          <t>PK</t>
        </is>
      </c>
      <c r="G70" s="63" t="inlineStr">
        <is>
          <t>User status</t>
        </is>
      </c>
      <c r="H70" s="64" t="inlineStr">
        <is>
          <t>סטטוס משתמש</t>
        </is>
      </c>
      <c r="I70" s="59" t="n"/>
      <c r="J70" s="59" t="n"/>
      <c r="K70" s="59" t="n"/>
      <c r="L70" s="59" t="n"/>
    </row>
    <row r="71" ht="26" customHeight="1">
      <c r="A71" s="47" t="n">
        <v>31</v>
      </c>
      <c r="B71" s="59" t="n"/>
      <c r="C71" s="49" t="inlineStr">
        <is>
          <t>VRGNG</t>
        </is>
      </c>
      <c r="D71" s="50" t="inlineStr">
        <is>
          <t>CHAR</t>
        </is>
      </c>
      <c r="E71" s="50" t="inlineStr">
        <is>
          <t>8</t>
        </is>
      </c>
      <c r="F71" s="65" t="inlineStr">
        <is>
          <t>-</t>
        </is>
      </c>
      <c r="G71" s="52" t="inlineStr">
        <is>
          <t>Business transaction</t>
        </is>
      </c>
      <c r="H71" s="53" t="inlineStr">
        <is>
          <t>תהליך עסקי</t>
        </is>
      </c>
      <c r="I71" s="59" t="n"/>
      <c r="J71" s="59" t="n"/>
      <c r="K71" s="59" t="n"/>
      <c r="L71" s="59" t="n"/>
    </row>
    <row r="72" ht="26" customHeight="1">
      <c r="A72" s="58" t="n">
        <v>32</v>
      </c>
      <c r="B72" s="66" t="n"/>
      <c r="C72" s="60" t="inlineStr">
        <is>
          <t>ANWND</t>
        </is>
      </c>
      <c r="D72" s="61" t="inlineStr">
        <is>
          <t>CHAR</t>
        </is>
      </c>
      <c r="E72" s="61" t="inlineStr">
        <is>
          <t>8</t>
        </is>
      </c>
      <c r="F72" s="65" t="inlineStr">
        <is>
          <t>-</t>
        </is>
      </c>
      <c r="G72" s="63" t="inlineStr">
        <is>
          <t>Application (PP)</t>
        </is>
      </c>
      <c r="H72" s="64" t="inlineStr">
        <is>
          <t>יישום</t>
        </is>
      </c>
      <c r="I72" s="66" t="n"/>
      <c r="J72" s="66" t="n"/>
      <c r="K72" s="66" t="n"/>
      <c r="L72" s="66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22" customHeight="1">
      <c r="A74" s="46" t="inlineStr">
        <is>
          <t xml:space="preserve">  ◆ טבלה TJ30T  -  טקסטים לסטטוסי משתמש  (User status texts)   |   T-codes: BS02/BS03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26" customHeight="1">
      <c r="A75" s="47" t="n">
        <v>33</v>
      </c>
      <c r="B75" s="48" t="inlineStr">
        <is>
          <t>TJ30T</t>
        </is>
      </c>
      <c r="C75" s="49" t="inlineStr">
        <is>
          <t>STSMA</t>
        </is>
      </c>
      <c r="D75" s="50" t="inlineStr">
        <is>
          <t>CHAR</t>
        </is>
      </c>
      <c r="E75" s="50" t="inlineStr">
        <is>
          <t>8</t>
        </is>
      </c>
      <c r="F75" s="67" t="inlineStr">
        <is>
          <t>PK/FK</t>
        </is>
      </c>
      <c r="G75" s="52" t="inlineStr">
        <is>
          <t>Status profile</t>
        </is>
      </c>
      <c r="H75" s="53" t="inlineStr">
        <is>
          <t>פרופיל סטטוס</t>
        </is>
      </c>
      <c r="I75" s="54" t="inlineStr">
        <is>
          <t>FROM TJ30T JOIN TJ30 ON TJ30T.STSMA = TJ30.STSMA AND TJ30T.ESTAT = TJ30.ESTAT</t>
        </is>
      </c>
      <c r="J75" s="55" t="inlineStr">
        <is>
          <t>התיאורים הרב-לשוניים (עברית/אנגלית) של סטטוסי המשתמש - חיוני לתצוגה דו-לשונית בלוח הייצור (COIO).</t>
        </is>
      </c>
      <c r="K75" s="56" t="inlineStr">
        <is>
          <t>ללא שינוי.</t>
        </is>
      </c>
      <c r="L75" s="57" t="inlineStr">
        <is>
          <t>SAP Help - Status Texts</t>
        </is>
      </c>
    </row>
    <row r="76" ht="26" customHeight="1">
      <c r="A76" s="58" t="n">
        <v>34</v>
      </c>
      <c r="B76" s="59" t="n"/>
      <c r="C76" s="60" t="inlineStr">
        <is>
          <t>ESTAT</t>
        </is>
      </c>
      <c r="D76" s="61" t="inlineStr">
        <is>
          <t>CHAR</t>
        </is>
      </c>
      <c r="E76" s="61" t="inlineStr">
        <is>
          <t>5</t>
        </is>
      </c>
      <c r="F76" s="67" t="inlineStr">
        <is>
          <t>PK/FK</t>
        </is>
      </c>
      <c r="G76" s="63" t="inlineStr">
        <is>
          <t>User status</t>
        </is>
      </c>
      <c r="H76" s="64" t="inlineStr">
        <is>
          <t>סטטוס משתמש</t>
        </is>
      </c>
      <c r="I76" s="59" t="n"/>
      <c r="J76" s="59" t="n"/>
      <c r="K76" s="59" t="n"/>
      <c r="L76" s="59" t="n"/>
    </row>
    <row r="77" ht="26" customHeight="1">
      <c r="A77" s="47" t="n">
        <v>35</v>
      </c>
      <c r="B77" s="59" t="n"/>
      <c r="C77" s="49" t="inlineStr">
        <is>
          <t>SPRAS</t>
        </is>
      </c>
      <c r="D77" s="50" t="inlineStr">
        <is>
          <t>LANG</t>
        </is>
      </c>
      <c r="E77" s="50" t="inlineStr">
        <is>
          <t>1</t>
        </is>
      </c>
      <c r="F77" s="51" t="inlineStr">
        <is>
          <t>PK</t>
        </is>
      </c>
      <c r="G77" s="52" t="inlineStr">
        <is>
          <t>Language key</t>
        </is>
      </c>
      <c r="H77" s="53" t="inlineStr">
        <is>
          <t>שפה</t>
        </is>
      </c>
      <c r="I77" s="59" t="n"/>
      <c r="J77" s="59" t="n"/>
      <c r="K77" s="59" t="n"/>
      <c r="L77" s="59" t="n"/>
    </row>
    <row r="78" ht="26" customHeight="1">
      <c r="A78" s="58" t="n">
        <v>36</v>
      </c>
      <c r="B78" s="59" t="n"/>
      <c r="C78" s="60" t="inlineStr">
        <is>
          <t>TXT04</t>
        </is>
      </c>
      <c r="D78" s="61" t="inlineStr">
        <is>
          <t>CHAR</t>
        </is>
      </c>
      <c r="E78" s="61" t="inlineStr">
        <is>
          <t>4</t>
        </is>
      </c>
      <c r="F78" s="65" t="inlineStr">
        <is>
          <t>-</t>
        </is>
      </c>
      <c r="G78" s="63" t="inlineStr">
        <is>
          <t>Short code</t>
        </is>
      </c>
      <c r="H78" s="64" t="inlineStr">
        <is>
          <t>קוד מקוצר</t>
        </is>
      </c>
      <c r="I78" s="59" t="n"/>
      <c r="J78" s="59" t="n"/>
      <c r="K78" s="59" t="n"/>
      <c r="L78" s="59" t="n"/>
    </row>
    <row r="79" ht="26" customHeight="1">
      <c r="A79" s="47" t="n">
        <v>37</v>
      </c>
      <c r="B79" s="66" t="n"/>
      <c r="C79" s="49" t="inlineStr">
        <is>
          <t>TXT30</t>
        </is>
      </c>
      <c r="D79" s="50" t="inlineStr">
        <is>
          <t>CHAR</t>
        </is>
      </c>
      <c r="E79" s="50" t="inlineStr">
        <is>
          <t>30</t>
        </is>
      </c>
      <c r="F79" s="65" t="inlineStr">
        <is>
          <t>-</t>
        </is>
      </c>
      <c r="G79" s="52" t="inlineStr">
        <is>
          <t>Status text</t>
        </is>
      </c>
      <c r="H79" s="53" t="inlineStr">
        <is>
          <t>תיאור סטטוס</t>
        </is>
      </c>
      <c r="I79" s="66" t="n"/>
      <c r="J79" s="66" t="n"/>
      <c r="K79" s="66" t="n"/>
      <c r="L79" s="66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22" customHeight="1">
      <c r="A81" s="46" t="inlineStr">
        <is>
          <t xml:space="preserve">  ◆ טבלה BUT000  -  שותף עסקי (BP - השפעת מעבר S/4)  (Business Partner general data)   |   T-codes: BP; (ECC: XK01/MK01)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26" customHeight="1">
      <c r="A82" s="58" t="n">
        <v>38</v>
      </c>
      <c r="B82" s="68" t="inlineStr">
        <is>
          <t>BUT000</t>
        </is>
      </c>
      <c r="C82" s="60" t="inlineStr">
        <is>
          <t>PARTNER</t>
        </is>
      </c>
      <c r="D82" s="61" t="inlineStr">
        <is>
          <t>CHAR</t>
        </is>
      </c>
      <c r="E82" s="61" t="inlineStr">
        <is>
          <t>10</t>
        </is>
      </c>
      <c r="F82" s="51" t="inlineStr">
        <is>
          <t>PK</t>
        </is>
      </c>
      <c r="G82" s="63" t="inlineStr">
        <is>
          <t>Business partner number</t>
        </is>
      </c>
      <c r="H82" s="64" t="inlineStr">
        <is>
          <t>מספר שותף עסקי</t>
        </is>
      </c>
      <c r="I82" s="69" t="inlineStr">
        <is>
          <t>FROM EKKO JOIN BUT000 ON EKKO.LIFNR = BUT000.PARTNER</t>
        </is>
      </c>
      <c r="J82" s="70" t="inlineStr">
        <is>
          <t>ב-S/4HANA ספקי חומרי הגלם/אריזה של CBC מנוהלים כ-Business Partner (BP) במקום ספק קלאסי. נדרש CVI להמרת LFA1-&gt;BUT000 לפני ההמרה. כל רכש חומר גלם לייצור מצריך BP פעיל עם תפקיד ספק (FLVN01).</t>
        </is>
      </c>
      <c r="K82" s="71" t="inlineStr">
        <is>
          <t>הוחלף - Business Partner חובה (CVI); ראה SAP Note 2265093.</t>
        </is>
      </c>
      <c r="L82" s="72" t="inlineStr">
        <is>
          <t>SAP Note 2265093 (BP)</t>
        </is>
      </c>
    </row>
    <row r="83" ht="26" customHeight="1">
      <c r="A83" s="47" t="n">
        <v>39</v>
      </c>
      <c r="B83" s="59" t="n"/>
      <c r="C83" s="49" t="inlineStr">
        <is>
          <t>TYPE</t>
        </is>
      </c>
      <c r="D83" s="50" t="inlineStr">
        <is>
          <t>CHAR</t>
        </is>
      </c>
      <c r="E83" s="50" t="inlineStr">
        <is>
          <t>1</t>
        </is>
      </c>
      <c r="F83" s="65" t="inlineStr">
        <is>
          <t>-</t>
        </is>
      </c>
      <c r="G83" s="52" t="inlineStr">
        <is>
          <t>BP category</t>
        </is>
      </c>
      <c r="H83" s="53" t="inlineStr">
        <is>
          <t>קטגוריית שותף</t>
        </is>
      </c>
      <c r="I83" s="59" t="n"/>
      <c r="J83" s="59" t="n"/>
      <c r="K83" s="59" t="n"/>
      <c r="L83" s="59" t="n"/>
    </row>
    <row r="84" ht="26" customHeight="1">
      <c r="A84" s="58" t="n">
        <v>40</v>
      </c>
      <c r="B84" s="59" t="n"/>
      <c r="C84" s="60" t="inlineStr">
        <is>
          <t>BU_GROUP</t>
        </is>
      </c>
      <c r="D84" s="61" t="inlineStr">
        <is>
          <t>CHAR</t>
        </is>
      </c>
      <c r="E84" s="61" t="inlineStr">
        <is>
          <t>4</t>
        </is>
      </c>
      <c r="F84" s="62" t="inlineStr">
        <is>
          <t>FK</t>
        </is>
      </c>
      <c r="G84" s="63" t="inlineStr">
        <is>
          <t>BP grouping</t>
        </is>
      </c>
      <c r="H84" s="64" t="inlineStr">
        <is>
          <t>קבוצת שותף</t>
        </is>
      </c>
      <c r="I84" s="59" t="n"/>
      <c r="J84" s="59" t="n"/>
      <c r="K84" s="59" t="n"/>
      <c r="L84" s="59" t="n"/>
    </row>
    <row r="85" ht="26" customHeight="1">
      <c r="A85" s="47" t="n">
        <v>41</v>
      </c>
      <c r="B85" s="59" t="n"/>
      <c r="C85" s="49" t="inlineStr">
        <is>
          <t>BPKIND</t>
        </is>
      </c>
      <c r="D85" s="50" t="inlineStr">
        <is>
          <t>CHAR</t>
        </is>
      </c>
      <c r="E85" s="50" t="inlineStr">
        <is>
          <t>4</t>
        </is>
      </c>
      <c r="F85" s="65" t="inlineStr">
        <is>
          <t>-</t>
        </is>
      </c>
      <c r="G85" s="52" t="inlineStr">
        <is>
          <t>BP type</t>
        </is>
      </c>
      <c r="H85" s="53" t="inlineStr">
        <is>
          <t>סוג שותף</t>
        </is>
      </c>
      <c r="I85" s="59" t="n"/>
      <c r="J85" s="59" t="n"/>
      <c r="K85" s="59" t="n"/>
      <c r="L85" s="59" t="n"/>
    </row>
    <row r="86" ht="26" customHeight="1">
      <c r="A86" s="58" t="n">
        <v>42</v>
      </c>
      <c r="B86" s="66" t="n"/>
      <c r="C86" s="60" t="inlineStr">
        <is>
          <t>NAME_ORG1</t>
        </is>
      </c>
      <c r="D86" s="61" t="inlineStr">
        <is>
          <t>CHAR</t>
        </is>
      </c>
      <c r="E86" s="61" t="inlineStr">
        <is>
          <t>40</t>
        </is>
      </c>
      <c r="F86" s="65" t="inlineStr">
        <is>
          <t>-</t>
        </is>
      </c>
      <c r="G86" s="63" t="inlineStr">
        <is>
          <t>Organization name</t>
        </is>
      </c>
      <c r="H86" s="64" t="inlineStr">
        <is>
          <t>שם ארגון</t>
        </is>
      </c>
      <c r="I86" s="66" t="n"/>
      <c r="J86" s="66" t="n"/>
      <c r="K86" s="66" t="n"/>
      <c r="L86" s="66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22" customHeight="1">
      <c r="A88" s="46" t="inlineStr">
        <is>
          <t xml:space="preserve">  ◆ טבלה TC22  -  מפתחות בקרת תהליך/פעולה (PI Control)  (Process/operation control keys config)   |   T-codes: SPRO; OPL8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26" customHeight="1">
      <c r="A89" s="47" t="n">
        <v>43</v>
      </c>
      <c r="B89" s="48" t="inlineStr">
        <is>
          <t>TC22</t>
        </is>
      </c>
      <c r="C89" s="49" t="inlineStr">
        <is>
          <t>STEUS</t>
        </is>
      </c>
      <c r="D89" s="50" t="inlineStr">
        <is>
          <t>CHAR</t>
        </is>
      </c>
      <c r="E89" s="50" t="inlineStr">
        <is>
          <t>4</t>
        </is>
      </c>
      <c r="F89" s="51" t="inlineStr">
        <is>
          <t>PK</t>
        </is>
      </c>
      <c r="G89" s="52" t="inlineStr">
        <is>
          <t>Control key</t>
        </is>
      </c>
      <c r="H89" s="53" t="inlineStr">
        <is>
          <t>מפתח בקרה</t>
        </is>
      </c>
      <c r="I89" s="54" t="inlineStr">
        <is>
          <t>FROM PLPO JOIN TC22 ON PLPO.STEUS = TC22.STEUS</t>
        </is>
      </c>
      <c r="J89" s="55" t="inlineStr">
        <is>
          <t>הגדרת מפתחות הבקרה (STEUS) הקובעים אם פעולה מפעילה הוראות תהליך (PI), דיווח, תמחיר או רכש חיצוני. לב חיבור ה-PP-PI לאוטומציית הקו. (אמת מול SE11 - מפתחות בקרה גם ב-TC30).</t>
        </is>
      </c>
      <c r="K89" s="56" t="inlineStr">
        <is>
          <t>ללא שינוי (Customizing).</t>
        </is>
      </c>
      <c r="L89" s="57" t="inlineStr">
        <is>
          <t>SAP Help - Control Keys</t>
        </is>
      </c>
    </row>
    <row r="90" ht="26" customHeight="1">
      <c r="A90" s="58" t="n">
        <v>44</v>
      </c>
      <c r="B90" s="59" t="n"/>
      <c r="C90" s="60" t="inlineStr">
        <is>
          <t>RUECK</t>
        </is>
      </c>
      <c r="D90" s="61" t="inlineStr">
        <is>
          <t>CHAR</t>
        </is>
      </c>
      <c r="E90" s="61" t="inlineStr">
        <is>
          <t>1</t>
        </is>
      </c>
      <c r="F90" s="65" t="inlineStr">
        <is>
          <t>-</t>
        </is>
      </c>
      <c r="G90" s="63" t="inlineStr">
        <is>
          <t>Confirmation indicator</t>
        </is>
      </c>
      <c r="H90" s="64" t="inlineStr">
        <is>
          <t>מחוון דיווח</t>
        </is>
      </c>
      <c r="I90" s="59" t="n"/>
      <c r="J90" s="59" t="n"/>
      <c r="K90" s="59" t="n"/>
      <c r="L90" s="59" t="n"/>
    </row>
    <row r="91" ht="26" customHeight="1">
      <c r="A91" s="47" t="n">
        <v>45</v>
      </c>
      <c r="B91" s="59" t="n"/>
      <c r="C91" s="49" t="inlineStr">
        <is>
          <t>BANFK</t>
        </is>
      </c>
      <c r="D91" s="50" t="inlineStr">
        <is>
          <t>CHAR</t>
        </is>
      </c>
      <c r="E91" s="50" t="inlineStr">
        <is>
          <t>1</t>
        </is>
      </c>
      <c r="F91" s="65" t="inlineStr">
        <is>
          <t>-</t>
        </is>
      </c>
      <c r="G91" s="52" t="inlineStr">
        <is>
          <t>External processing (PReq)</t>
        </is>
      </c>
      <c r="H91" s="53" t="inlineStr">
        <is>
          <t>עיבוד חיצוני</t>
        </is>
      </c>
      <c r="I91" s="59" t="n"/>
      <c r="J91" s="59" t="n"/>
      <c r="K91" s="59" t="n"/>
      <c r="L91" s="59" t="n"/>
    </row>
    <row r="92" ht="26" customHeight="1">
      <c r="A92" s="58" t="n">
        <v>46</v>
      </c>
      <c r="B92" s="66" t="n"/>
      <c r="C92" s="60" t="inlineStr">
        <is>
          <t>PROZESS</t>
        </is>
      </c>
      <c r="D92" s="61" t="inlineStr">
        <is>
          <t>CHAR</t>
        </is>
      </c>
      <c r="E92" s="61" t="inlineStr">
        <is>
          <t>1</t>
        </is>
      </c>
      <c r="F92" s="65" t="inlineStr">
        <is>
          <t>-</t>
        </is>
      </c>
      <c r="G92" s="63" t="inlineStr">
        <is>
          <t>Process instruction indicator</t>
        </is>
      </c>
      <c r="H92" s="64" t="inlineStr">
        <is>
          <t>מחוון הוראות תהליך</t>
        </is>
      </c>
      <c r="I92" s="66" t="n"/>
      <c r="J92" s="66" t="n"/>
      <c r="K92" s="66" t="n"/>
      <c r="L92" s="66" t="n"/>
    </row>
  </sheetData>
  <mergeCells count="122">
    <mergeCell ref="J57:J60"/>
    <mergeCell ref="E18:L18"/>
    <mergeCell ref="L57:L60"/>
    <mergeCell ref="K89:K92"/>
    <mergeCell ref="A15:B15"/>
    <mergeCell ref="I48:I50"/>
    <mergeCell ref="B82:B86"/>
    <mergeCell ref="K48:K50"/>
    <mergeCell ref="A20:D20"/>
    <mergeCell ref="L53:L54"/>
    <mergeCell ref="K63:K66"/>
    <mergeCell ref="C13:F13"/>
    <mergeCell ref="G14:L14"/>
    <mergeCell ref="C15:F15"/>
    <mergeCell ref="L42:L45"/>
    <mergeCell ref="A52:L52"/>
    <mergeCell ref="K42:K45"/>
    <mergeCell ref="L48:L50"/>
    <mergeCell ref="L75:L79"/>
    <mergeCell ref="D9:H9"/>
    <mergeCell ref="B23:B25"/>
    <mergeCell ref="K53:K54"/>
    <mergeCell ref="K75:K79"/>
    <mergeCell ref="I69:I72"/>
    <mergeCell ref="A6:C6"/>
    <mergeCell ref="A36:L36"/>
    <mergeCell ref="K69:K72"/>
    <mergeCell ref="I28:I30"/>
    <mergeCell ref="B63:B66"/>
    <mergeCell ref="I37:I39"/>
    <mergeCell ref="I75:I79"/>
    <mergeCell ref="A17:D17"/>
    <mergeCell ref="A11:B11"/>
    <mergeCell ref="A19:D19"/>
    <mergeCell ref="A3:L3"/>
    <mergeCell ref="I23:I25"/>
    <mergeCell ref="K23:K25"/>
    <mergeCell ref="B42:B45"/>
    <mergeCell ref="K37:K39"/>
    <mergeCell ref="E17:L17"/>
    <mergeCell ref="A5:C5"/>
    <mergeCell ref="L33:L34"/>
    <mergeCell ref="A32:L32"/>
    <mergeCell ref="I6:L6"/>
    <mergeCell ref="E19:L19"/>
    <mergeCell ref="J89:J92"/>
    <mergeCell ref="I33:I34"/>
    <mergeCell ref="C14:F14"/>
    <mergeCell ref="A4:L4"/>
    <mergeCell ref="B53:B54"/>
    <mergeCell ref="A81:L81"/>
    <mergeCell ref="B69:B72"/>
    <mergeCell ref="J82:J86"/>
    <mergeCell ref="L69:L72"/>
    <mergeCell ref="L82:L86"/>
    <mergeCell ref="J28:J30"/>
    <mergeCell ref="I7:L7"/>
    <mergeCell ref="L28:L30"/>
    <mergeCell ref="J37:J39"/>
    <mergeCell ref="G12:L12"/>
    <mergeCell ref="L37:L39"/>
    <mergeCell ref="B75:B79"/>
    <mergeCell ref="I63:I66"/>
    <mergeCell ref="K57:K60"/>
    <mergeCell ref="B48:B50"/>
    <mergeCell ref="D5:H5"/>
    <mergeCell ref="J42:J45"/>
    <mergeCell ref="A7:C7"/>
    <mergeCell ref="L23:L25"/>
    <mergeCell ref="A16:L16"/>
    <mergeCell ref="A1:B1"/>
    <mergeCell ref="K28:K30"/>
    <mergeCell ref="I53:I54"/>
    <mergeCell ref="I9:L9"/>
    <mergeCell ref="L89:L92"/>
    <mergeCell ref="J48:J50"/>
    <mergeCell ref="A47:L47"/>
    <mergeCell ref="A22:L22"/>
    <mergeCell ref="B57:B60"/>
    <mergeCell ref="J63:J66"/>
    <mergeCell ref="A12:B12"/>
    <mergeCell ref="L63:L66"/>
    <mergeCell ref="D7:H7"/>
    <mergeCell ref="B33:B34"/>
    <mergeCell ref="A14:B14"/>
    <mergeCell ref="C1:L1"/>
    <mergeCell ref="G11:L11"/>
    <mergeCell ref="D8:H8"/>
    <mergeCell ref="C12:F12"/>
    <mergeCell ref="J33:J34"/>
    <mergeCell ref="A88:L88"/>
    <mergeCell ref="B28:B30"/>
    <mergeCell ref="B37:B39"/>
    <mergeCell ref="J53:J54"/>
    <mergeCell ref="A41:L41"/>
    <mergeCell ref="I8:L8"/>
    <mergeCell ref="K33:K34"/>
    <mergeCell ref="G13:L13"/>
    <mergeCell ref="J69:J72"/>
    <mergeCell ref="I89:I92"/>
    <mergeCell ref="A74:L74"/>
    <mergeCell ref="A56:L56"/>
    <mergeCell ref="A27:L27"/>
    <mergeCell ref="G15:L15"/>
    <mergeCell ref="I57:I60"/>
    <mergeCell ref="J75:J79"/>
    <mergeCell ref="D6:H6"/>
    <mergeCell ref="E20:L20"/>
    <mergeCell ref="I82:I86"/>
    <mergeCell ref="A8:C8"/>
    <mergeCell ref="K82:K86"/>
    <mergeCell ref="J23:J25"/>
    <mergeCell ref="A62:L62"/>
    <mergeCell ref="A10:L10"/>
    <mergeCell ref="A68:L68"/>
    <mergeCell ref="A9:C9"/>
    <mergeCell ref="I42:I45"/>
    <mergeCell ref="A18:D18"/>
    <mergeCell ref="B89:B92"/>
    <mergeCell ref="A13:B13"/>
    <mergeCell ref="C11:F11"/>
    <mergeCell ref="I5:L5"/>
  </mergeCells>
  <hyperlinks>
    <hyperlink xmlns:r="http://schemas.openxmlformats.org/officeDocument/2006/relationships" ref="A1" r:id="rId1"/>
    <hyperlink xmlns:r="http://schemas.openxmlformats.org/officeDocument/2006/relationships" ref="L23" r:id="rId2"/>
    <hyperlink xmlns:r="http://schemas.openxmlformats.org/officeDocument/2006/relationships" ref="L28" r:id="rId3"/>
    <hyperlink xmlns:r="http://schemas.openxmlformats.org/officeDocument/2006/relationships" ref="L33" r:id="rId4"/>
    <hyperlink xmlns:r="http://schemas.openxmlformats.org/officeDocument/2006/relationships" ref="L37" r:id="rId5"/>
    <hyperlink xmlns:r="http://schemas.openxmlformats.org/officeDocument/2006/relationships" ref="L42" r:id="rId6"/>
    <hyperlink xmlns:r="http://schemas.openxmlformats.org/officeDocument/2006/relationships" ref="L48" r:id="rId7"/>
    <hyperlink xmlns:r="http://schemas.openxmlformats.org/officeDocument/2006/relationships" ref="L53" r:id="rId8"/>
    <hyperlink xmlns:r="http://schemas.openxmlformats.org/officeDocument/2006/relationships" ref="L57" r:id="rId9"/>
    <hyperlink xmlns:r="http://schemas.openxmlformats.org/officeDocument/2006/relationships" ref="L63" r:id="rId10"/>
    <hyperlink xmlns:r="http://schemas.openxmlformats.org/officeDocument/2006/relationships" ref="L69" r:id="rId11"/>
    <hyperlink xmlns:r="http://schemas.openxmlformats.org/officeDocument/2006/relationships" ref="L75" r:id="rId12"/>
    <hyperlink xmlns:r="http://schemas.openxmlformats.org/officeDocument/2006/relationships" ref="L82" r:id="rId13"/>
    <hyperlink xmlns:r="http://schemas.openxmlformats.org/officeDocument/2006/relationships" ref="L89" r:id="rId14"/>
  </hyperlinks>
  <printOptions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PP-PI  ECC 6.0 -&gt; S/4HANA</oddHeader>
    <oddFooter>&amp;C&amp;"Segoe UI"&amp;8&amp;K6B7280Page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62027"/>
    <outlinePr summaryBelow="1" summaryRight="1"/>
    <pageSetUpPr/>
  </sheetPr>
  <dimension ref="A1:L72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8" customWidth="1" min="4" max="4"/>
    <col width="12" customWidth="1" min="5" max="5"/>
    <col width="34" customWidth="1" min="6" max="6"/>
    <col width="15" customWidth="1" min="11" max="11"/>
    <col width="10" customWidth="1" min="12" max="12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Cockpit מעקב מיגרציה  -  PP-PI Migration Tracking (Project NEO)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n"/>
      <c r="B2" s="9" t="inlineStr">
        <is>
          <t>KPI &amp; Summary  -  סיכום חי (COUNTIF; בסיס מוכן לגרף נייטיב ב-2 קליקים)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73" t="inlineStr">
        <is>
          <t>Status</t>
        </is>
      </c>
      <c r="L2" s="73" t="inlineStr">
        <is>
          <t>Count</t>
        </is>
      </c>
    </row>
    <row r="3" ht="30" customHeight="1">
      <c r="A3" s="4" t="n"/>
      <c r="B3" s="10">
        <f>COUNTA($C$8:$C$72)</f>
        <v/>
      </c>
      <c r="C3" s="11">
        <f>COUNTIF($D$8:$D$72,"Done")</f>
        <v/>
      </c>
      <c r="D3" s="12">
        <f>COUNTIF($D$8:$D$72,"Tested")</f>
        <v/>
      </c>
      <c r="E3" s="13">
        <f>COUNTIF($D$8:$D$72,"In analysis")+COUNTIF($D$8:$D$72,"In conversion")</f>
        <v/>
      </c>
      <c r="F3" s="14">
        <f>COUNTIF($D$8:$D$72,"Not started")</f>
        <v/>
      </c>
      <c r="G3" s="15">
        <f>IFERROR(COUNTIF($D$8:$D$72,"Done")/COUNTA($C$8:$C$72),0)</f>
        <v/>
      </c>
      <c r="H3" s="4" t="n"/>
      <c r="I3" s="4" t="n"/>
      <c r="J3" s="4" t="n"/>
      <c r="K3" s="74" t="inlineStr">
        <is>
          <t>Not started</t>
        </is>
      </c>
      <c r="L3" s="75">
        <f>COUNTIF($D$8:$D$72,$K3)</f>
        <v/>
      </c>
    </row>
    <row r="4">
      <c r="A4" s="4" t="n"/>
      <c r="B4" s="76" t="inlineStr">
        <is>
          <t>סה"כ</t>
        </is>
      </c>
      <c r="C4" s="77" t="inlineStr">
        <is>
          <t>Done</t>
        </is>
      </c>
      <c r="D4" s="78" t="inlineStr">
        <is>
          <t>Tested</t>
        </is>
      </c>
      <c r="E4" s="79" t="inlineStr">
        <is>
          <t>In Progress</t>
        </is>
      </c>
      <c r="F4" s="80" t="inlineStr">
        <is>
          <t>Open</t>
        </is>
      </c>
      <c r="G4" s="81" t="inlineStr">
        <is>
          <t>% Done</t>
        </is>
      </c>
      <c r="H4" s="4" t="n"/>
      <c r="I4" s="4" t="n"/>
      <c r="J4" s="4" t="n"/>
      <c r="K4" s="82" t="inlineStr">
        <is>
          <t>In analysis</t>
        </is>
      </c>
      <c r="L4" s="75">
        <f>COUNTIF($D$8:$D$72,$K4)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83" t="inlineStr">
        <is>
          <t>In conversion</t>
        </is>
      </c>
      <c r="L5" s="75">
        <f>COUNTIF($D$8:$D$72,$K5)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84" t="inlineStr">
        <is>
          <t>Tested</t>
        </is>
      </c>
      <c r="L6" s="75">
        <f>COUNTIF($D$8:$D$72,$K6)</f>
        <v/>
      </c>
    </row>
    <row r="7" ht="26" customHeight="1">
      <c r="A7" s="85" t="inlineStr">
        <is>
          <t>מס' (#)</t>
        </is>
      </c>
      <c r="B7" s="85" t="inlineStr">
        <is>
          <t>מודול / נושא</t>
        </is>
      </c>
      <c r="C7" s="85" t="inlineStr">
        <is>
          <t>טבלה</t>
        </is>
      </c>
      <c r="D7" s="85" t="inlineStr">
        <is>
          <t>סטטוס מעבר (Status)</t>
        </is>
      </c>
      <c r="E7" s="85" t="inlineStr">
        <is>
          <t>קישור</t>
        </is>
      </c>
      <c r="F7" s="85" t="inlineStr">
        <is>
          <t>תיאור</t>
        </is>
      </c>
      <c r="G7" s="4" t="n"/>
      <c r="H7" s="4" t="n"/>
      <c r="I7" s="4" t="n"/>
      <c r="J7" s="4" t="n"/>
      <c r="K7" s="86" t="inlineStr">
        <is>
          <t>Done</t>
        </is>
      </c>
      <c r="L7" s="75">
        <f>COUNTIF($D$8:$D$72,$K7)</f>
        <v/>
      </c>
    </row>
    <row r="8">
      <c r="A8" s="50" t="n">
        <v>1</v>
      </c>
      <c r="B8" s="53" t="inlineStr">
        <is>
          <t>1. נתוני אב חומר ויחידות מידה (Material &amp; UoM)</t>
        </is>
      </c>
      <c r="C8" s="49" t="inlineStr">
        <is>
          <t>MARA</t>
        </is>
      </c>
      <c r="D8" s="51" t="inlineStr">
        <is>
          <t>Not started</t>
        </is>
      </c>
      <c r="E8" s="87">
        <f>HYPERLINK("#'"&amp;"1. נתוני אב חומר ויחידות מידה ("&amp;"'!A22","➜ פתח")</f>
        <v/>
      </c>
      <c r="F8" s="53" t="inlineStr">
        <is>
          <t>נתוני אב חומר כלליים</t>
        </is>
      </c>
      <c r="G8" s="4" t="n"/>
      <c r="H8" s="4" t="n"/>
      <c r="I8" s="4" t="n"/>
      <c r="J8" s="4" t="n"/>
      <c r="K8" s="4" t="n"/>
      <c r="L8" s="4" t="n"/>
    </row>
    <row r="9">
      <c r="A9" s="61" t="n">
        <v>2</v>
      </c>
      <c r="B9" s="64" t="inlineStr">
        <is>
          <t>1. נתוני אב חומר ויחידות מידה (Material &amp; UoM)</t>
        </is>
      </c>
      <c r="C9" s="60" t="inlineStr">
        <is>
          <t>MAKT</t>
        </is>
      </c>
      <c r="D9" s="51" t="inlineStr">
        <is>
          <t>Not started</t>
        </is>
      </c>
      <c r="E9" s="88">
        <f>HYPERLINK("#'"&amp;"1. נתוני אב חומר ויחידות מידה ("&amp;"'!A32","➜ פתח")</f>
        <v/>
      </c>
      <c r="F9" s="64" t="inlineStr">
        <is>
          <t>תיאורי חומר (טקסטים)</t>
        </is>
      </c>
      <c r="G9" s="4" t="n"/>
      <c r="H9" s="4" t="n"/>
      <c r="I9" s="4" t="n"/>
      <c r="J9" s="4" t="n"/>
      <c r="K9" s="4" t="n"/>
      <c r="L9" s="4" t="n"/>
    </row>
    <row r="10">
      <c r="A10" s="50" t="n">
        <v>3</v>
      </c>
      <c r="B10" s="53" t="inlineStr">
        <is>
          <t>1. נתוני אב חומר ויחידות מידה (Material &amp; UoM)</t>
        </is>
      </c>
      <c r="C10" s="49" t="inlineStr">
        <is>
          <t>MARC</t>
        </is>
      </c>
      <c r="D10" s="51" t="inlineStr">
        <is>
          <t>Not started</t>
        </is>
      </c>
      <c r="E10" s="87">
        <f>HYPERLINK("#'"&amp;"1. נתוני אב חומר ויחידות מידה ("&amp;"'!A38","➜ פתח")</f>
        <v/>
      </c>
      <c r="F10" s="53" t="inlineStr">
        <is>
          <t>נתוני חומר ברמת מפעל</t>
        </is>
      </c>
      <c r="G10" s="4" t="n"/>
      <c r="H10" s="4" t="n"/>
      <c r="I10" s="4" t="n"/>
      <c r="J10" s="4" t="n"/>
      <c r="K10" s="4" t="n"/>
      <c r="L10" s="4" t="n"/>
    </row>
    <row r="11">
      <c r="A11" s="61" t="n">
        <v>4</v>
      </c>
      <c r="B11" s="64" t="inlineStr">
        <is>
          <t>1. נתוני אב חומר ויחידות מידה (Material &amp; UoM)</t>
        </is>
      </c>
      <c r="C11" s="60" t="inlineStr">
        <is>
          <t>MARD</t>
        </is>
      </c>
      <c r="D11" s="51" t="inlineStr">
        <is>
          <t>Not started</t>
        </is>
      </c>
      <c r="E11" s="88">
        <f>HYPERLINK("#'"&amp;"1. נתוני אב חומר ויחידות מידה ("&amp;"'!A48","➜ פתח")</f>
        <v/>
      </c>
      <c r="F11" s="64" t="inlineStr">
        <is>
          <t>נתוני חומר ברמת מחסן/מלאי</t>
        </is>
      </c>
      <c r="G11" s="4" t="n"/>
      <c r="H11" s="4" t="n"/>
      <c r="I11" s="4" t="n"/>
      <c r="J11" s="4" t="n"/>
      <c r="K11" s="4" t="n"/>
      <c r="L11" s="4" t="n"/>
    </row>
    <row r="12">
      <c r="A12" s="50" t="n">
        <v>5</v>
      </c>
      <c r="B12" s="53" t="inlineStr">
        <is>
          <t>1. נתוני אב חומר ויחידות מידה (Material &amp; UoM)</t>
        </is>
      </c>
      <c r="C12" s="49" t="inlineStr">
        <is>
          <t>MARM</t>
        </is>
      </c>
      <c r="D12" s="51" t="inlineStr">
        <is>
          <t>Not started</t>
        </is>
      </c>
      <c r="E12" s="87">
        <f>HYPERLINK("#'"&amp;"1. נתוני אב חומר ויחידות מידה ("&amp;"'!A55","➜ פתח")</f>
        <v/>
      </c>
      <c r="F12" s="53" t="inlineStr">
        <is>
          <t>המרות יחידות מידה חלופיות</t>
        </is>
      </c>
      <c r="G12" s="4" t="n"/>
      <c r="H12" s="4" t="n"/>
      <c r="I12" s="4" t="n"/>
      <c r="J12" s="4" t="n"/>
      <c r="K12" s="4" t="n"/>
      <c r="L12" s="4" t="n"/>
    </row>
    <row r="13">
      <c r="A13" s="61" t="n">
        <v>6</v>
      </c>
      <c r="B13" s="64" t="inlineStr">
        <is>
          <t>1. נתוני אב חומר ויחידות מידה (Material &amp; UoM)</t>
        </is>
      </c>
      <c r="C13" s="60" t="inlineStr">
        <is>
          <t>MEAN</t>
        </is>
      </c>
      <c r="D13" s="51" t="inlineStr">
        <is>
          <t>Not started</t>
        </is>
      </c>
      <c r="E13" s="88">
        <f>HYPERLINK("#'"&amp;"1. נתוני אב חומר ויחידות מידה ("&amp;"'!A63","➜ פתח")</f>
        <v/>
      </c>
      <c r="F13" s="64" t="inlineStr">
        <is>
          <t>ברקודים / EAN לחומר</t>
        </is>
      </c>
      <c r="G13" s="4" t="n"/>
      <c r="H13" s="4" t="n"/>
      <c r="I13" s="4" t="n"/>
      <c r="J13" s="4" t="n"/>
      <c r="K13" s="4" t="n"/>
      <c r="L13" s="4" t="n"/>
    </row>
    <row r="14">
      <c r="A14" s="50" t="n">
        <v>7</v>
      </c>
      <c r="B14" s="53" t="inlineStr">
        <is>
          <t>1. נתוני אב חומר ויחידות מידה (Material &amp; UoM)</t>
        </is>
      </c>
      <c r="C14" s="49" t="inlineStr">
        <is>
          <t>MBEW</t>
        </is>
      </c>
      <c r="D14" s="51" t="inlineStr">
        <is>
          <t>Not started</t>
        </is>
      </c>
      <c r="E14" s="87">
        <f>HYPERLINK("#'"&amp;"1. נתוני אב חומר ויחידות מידה ("&amp;"'!A70","➜ פתח")</f>
        <v/>
      </c>
      <c r="F14" s="53" t="inlineStr">
        <is>
          <t>הערכת חומר (Valuation)</t>
        </is>
      </c>
      <c r="G14" s="4" t="n"/>
      <c r="H14" s="4" t="n"/>
      <c r="I14" s="4" t="n"/>
      <c r="J14" s="4" t="n"/>
      <c r="K14" s="4" t="n"/>
      <c r="L14" s="4" t="n"/>
    </row>
    <row r="15">
      <c r="A15" s="61" t="n">
        <v>8</v>
      </c>
      <c r="B15" s="64" t="inlineStr">
        <is>
          <t>1. נתוני אב חומר ויחידות מידה (Material &amp; UoM)</t>
        </is>
      </c>
      <c r="C15" s="60" t="inlineStr">
        <is>
          <t>MVKE</t>
        </is>
      </c>
      <c r="D15" s="51" t="inlineStr">
        <is>
          <t>Not started</t>
        </is>
      </c>
      <c r="E15" s="88">
        <f>HYPERLINK("#'"&amp;"1. נתוני אב חומר ויחידות מידה ("&amp;"'!A78","➜ פתח")</f>
        <v/>
      </c>
      <c r="F15" s="64" t="inlineStr">
        <is>
          <t>נתוני חומר ברמת מכירות</t>
        </is>
      </c>
      <c r="G15" s="4" t="n"/>
      <c r="H15" s="4" t="n"/>
      <c r="I15" s="4" t="n"/>
      <c r="J15" s="4" t="n"/>
      <c r="K15" s="4" t="n"/>
      <c r="L15" s="4" t="n"/>
    </row>
    <row r="16">
      <c r="A16" s="50" t="n">
        <v>9</v>
      </c>
      <c r="B16" s="53" t="inlineStr">
        <is>
          <t>1. נתוני אב חומר ויחידות מידה (Material &amp; UoM)</t>
        </is>
      </c>
      <c r="C16" s="49" t="inlineStr">
        <is>
          <t>MLAN</t>
        </is>
      </c>
      <c r="D16" s="51" t="inlineStr">
        <is>
          <t>Not started</t>
        </is>
      </c>
      <c r="E16" s="87">
        <f>HYPERLINK("#'"&amp;"1. נתוני אב חומר ויחידות מידה ("&amp;"'!A84","➜ פתח")</f>
        <v/>
      </c>
      <c r="F16" s="53" t="inlineStr">
        <is>
          <t>נתוני מס לחומר (לפי מדינה)</t>
        </is>
      </c>
      <c r="G16" s="4" t="n"/>
      <c r="H16" s="4" t="n"/>
      <c r="I16" s="4" t="n"/>
      <c r="J16" s="4" t="n"/>
      <c r="K16" s="4" t="n"/>
      <c r="L16" s="4" t="n"/>
    </row>
    <row r="17">
      <c r="A17" s="61" t="n">
        <v>10</v>
      </c>
      <c r="B17" s="64" t="inlineStr">
        <is>
          <t>1. נתוני אב חומר ויחידות מידה (Material &amp; UoM)</t>
        </is>
      </c>
      <c r="C17" s="60" t="inlineStr">
        <is>
          <t>MLGN</t>
        </is>
      </c>
      <c r="D17" s="51" t="inlineStr">
        <is>
          <t>Not started</t>
        </is>
      </c>
      <c r="E17" s="88">
        <f>HYPERLINK("#'"&amp;"1. נתוני אב חומר ויחידות מידה ("&amp;"'!A89","➜ פתח")</f>
        <v/>
      </c>
      <c r="F17" s="64" t="inlineStr">
        <is>
          <t>נתוני חומר ברמת מחסן (WM)</t>
        </is>
      </c>
      <c r="G17" s="4" t="n"/>
      <c r="H17" s="4" t="n"/>
      <c r="I17" s="4" t="n"/>
      <c r="J17" s="4" t="n"/>
      <c r="K17" s="4" t="n"/>
      <c r="L17" s="4" t="n"/>
    </row>
    <row r="18">
      <c r="A18" s="50" t="n">
        <v>11</v>
      </c>
      <c r="B18" s="53" t="inlineStr">
        <is>
          <t>1. נתוני אב חומר ויחידות מידה (Material &amp; UoM)</t>
        </is>
      </c>
      <c r="C18" s="49" t="inlineStr">
        <is>
          <t>MLGT</t>
        </is>
      </c>
      <c r="D18" s="51" t="inlineStr">
        <is>
          <t>Not started</t>
        </is>
      </c>
      <c r="E18" s="87">
        <f>HYPERLINK("#'"&amp;"1. נתוני אב חומר ויחידות מידה ("&amp;"'!A95","➜ פתח")</f>
        <v/>
      </c>
      <c r="F18" s="53" t="inlineStr">
        <is>
          <t>נתוני חומר לפי טיפוס אחסון</t>
        </is>
      </c>
      <c r="G18" s="4" t="n"/>
      <c r="H18" s="4" t="n"/>
      <c r="I18" s="4" t="n"/>
      <c r="J18" s="4" t="n"/>
      <c r="K18" s="4" t="n"/>
      <c r="L18" s="4" t="n"/>
    </row>
    <row r="19">
      <c r="A19" s="61" t="n">
        <v>12</v>
      </c>
      <c r="B19" s="64" t="inlineStr">
        <is>
          <t>1. נתוני אב חומר ויחידות מידה (Material &amp; UoM)</t>
        </is>
      </c>
      <c r="C19" s="60" t="inlineStr">
        <is>
          <t>MDMA</t>
        </is>
      </c>
      <c r="D19" s="51" t="inlineStr">
        <is>
          <t>Not started</t>
        </is>
      </c>
      <c r="E19" s="88">
        <f>HYPERLINK("#'"&amp;"1. נתוני אב חומר ויחידות מידה ("&amp;"'!A101","➜ פתח")</f>
        <v/>
      </c>
      <c r="F19" s="64" t="inlineStr">
        <is>
          <t>אזורי MRP לחומר</t>
        </is>
      </c>
      <c r="G19" s="4" t="n"/>
      <c r="H19" s="4" t="n"/>
      <c r="I19" s="4" t="n"/>
      <c r="J19" s="4" t="n"/>
      <c r="K19" s="4" t="n"/>
      <c r="L19" s="4" t="n"/>
    </row>
    <row r="20">
      <c r="A20" s="50" t="n">
        <v>13</v>
      </c>
      <c r="B20" s="53" t="inlineStr">
        <is>
          <t>1. נתוני אב חומר ויחידות מידה (Material &amp; UoM)</t>
        </is>
      </c>
      <c r="C20" s="49" t="inlineStr">
        <is>
          <t>QMAT</t>
        </is>
      </c>
      <c r="D20" s="51" t="inlineStr">
        <is>
          <t>Not started</t>
        </is>
      </c>
      <c r="E20" s="87">
        <f>HYPERLINK("#'"&amp;"1. נתוני אב חומר ויחידות מידה ("&amp;"'!A107","➜ פתח")</f>
        <v/>
      </c>
      <c r="F20" s="53" t="inlineStr">
        <is>
          <t>הגדרות בדיקת איכות לחומר</t>
        </is>
      </c>
      <c r="G20" s="4" t="n"/>
      <c r="H20" s="4" t="n"/>
      <c r="I20" s="4" t="n"/>
      <c r="J20" s="4" t="n"/>
      <c r="K20" s="4" t="n"/>
      <c r="L20" s="4" t="n"/>
    </row>
    <row r="21">
      <c r="A21" s="61" t="n">
        <v>14</v>
      </c>
      <c r="B21" s="64" t="inlineStr">
        <is>
          <t>1. נתוני אב חומר ויחידות מידה (Material &amp; UoM)</t>
        </is>
      </c>
      <c r="C21" s="60" t="inlineStr">
        <is>
          <t>MCH1</t>
        </is>
      </c>
      <c r="D21" s="51" t="inlineStr">
        <is>
          <t>Not started</t>
        </is>
      </c>
      <c r="E21" s="88">
        <f>HYPERLINK("#'"&amp;"1. נתוני אב חומר ויחידות מידה ("&amp;"'!A113","➜ פתח")</f>
        <v/>
      </c>
      <c r="F21" s="64" t="inlineStr">
        <is>
          <t>אצוות חומר (Batches)</t>
        </is>
      </c>
      <c r="G21" s="4" t="n"/>
      <c r="H21" s="4" t="n"/>
      <c r="I21" s="4" t="n"/>
      <c r="J21" s="4" t="n"/>
      <c r="K21" s="4" t="n"/>
      <c r="L21" s="4" t="n"/>
    </row>
    <row r="22">
      <c r="A22" s="50" t="n">
        <v>15</v>
      </c>
      <c r="B22" s="53" t="inlineStr">
        <is>
          <t>1. נתוני אב חומר ויחידות מידה (Material &amp; UoM)</t>
        </is>
      </c>
      <c r="C22" s="49" t="inlineStr">
        <is>
          <t>MCHA</t>
        </is>
      </c>
      <c r="D22" s="51" t="inlineStr">
        <is>
          <t>Not started</t>
        </is>
      </c>
      <c r="E22" s="87">
        <f>HYPERLINK("#'"&amp;"1. נתוני אב חומר ויחידות מידה ("&amp;"'!A122","➜ פתח")</f>
        <v/>
      </c>
      <c r="F22" s="53" t="inlineStr">
        <is>
          <t>אצוות חומר ברמת מפעל</t>
        </is>
      </c>
      <c r="G22" s="4" t="n"/>
      <c r="H22" s="4" t="n"/>
      <c r="I22" s="4" t="n"/>
      <c r="J22" s="4" t="n"/>
      <c r="K22" s="4" t="n"/>
      <c r="L22" s="4" t="n"/>
    </row>
    <row r="23">
      <c r="A23" s="61" t="n">
        <v>16</v>
      </c>
      <c r="B23" s="64" t="inlineStr">
        <is>
          <t>1. נתוני אב חומר ויחידות מידה (Material &amp; UoM)</t>
        </is>
      </c>
      <c r="C23" s="60" t="inlineStr">
        <is>
          <t>T006</t>
        </is>
      </c>
      <c r="D23" s="51" t="inlineStr">
        <is>
          <t>Not started</t>
        </is>
      </c>
      <c r="E23" s="88">
        <f>HYPERLINK("#'"&amp;"1. נתוני אב חומר ויחידות מידה ("&amp;"'!A128","➜ פתח")</f>
        <v/>
      </c>
      <c r="F23" s="64" t="inlineStr">
        <is>
          <t>יחידות מידה (Customizing)</t>
        </is>
      </c>
      <c r="G23" s="4" t="n"/>
      <c r="H23" s="4" t="n"/>
      <c r="I23" s="4" t="n"/>
      <c r="J23" s="4" t="n"/>
      <c r="K23" s="4" t="n"/>
      <c r="L23" s="4" t="n"/>
    </row>
    <row r="24">
      <c r="A24" s="50" t="n">
        <v>17</v>
      </c>
      <c r="B24" s="53" t="inlineStr">
        <is>
          <t>2. עץ מוצר (BOM)</t>
        </is>
      </c>
      <c r="C24" s="49" t="inlineStr">
        <is>
          <t>MAST</t>
        </is>
      </c>
      <c r="D24" s="51" t="inlineStr">
        <is>
          <t>Not started</t>
        </is>
      </c>
      <c r="E24" s="87">
        <f>HYPERLINK("#'"&amp;"2. עץ מוצר (BOM)"&amp;"'!A21","➜ פתח")</f>
        <v/>
      </c>
      <c r="F24" s="53" t="inlineStr">
        <is>
          <t>קישור חומר לעץ מוצר</t>
        </is>
      </c>
      <c r="G24" s="4" t="n"/>
      <c r="H24" s="4" t="n"/>
      <c r="I24" s="4" t="n"/>
      <c r="J24" s="4" t="n"/>
      <c r="K24" s="4" t="n"/>
      <c r="L24" s="4" t="n"/>
    </row>
    <row r="25">
      <c r="A25" s="61" t="n">
        <v>18</v>
      </c>
      <c r="B25" s="64" t="inlineStr">
        <is>
          <t>2. עץ מוצר (BOM)</t>
        </is>
      </c>
      <c r="C25" s="60" t="inlineStr">
        <is>
          <t>STKO</t>
        </is>
      </c>
      <c r="D25" s="51" t="inlineStr">
        <is>
          <t>Not started</t>
        </is>
      </c>
      <c r="E25" s="88">
        <f>HYPERLINK("#'"&amp;"2. עץ מוצר (BOM)"&amp;"'!A28","➜ פתח")</f>
        <v/>
      </c>
      <c r="F25" s="64" t="inlineStr">
        <is>
          <t>כותרת עץ מוצר</t>
        </is>
      </c>
      <c r="G25" s="4" t="n"/>
      <c r="H25" s="4" t="n"/>
      <c r="I25" s="4" t="n"/>
      <c r="J25" s="4" t="n"/>
      <c r="K25" s="4" t="n"/>
      <c r="L25" s="4" t="n"/>
    </row>
    <row r="26">
      <c r="A26" s="50" t="n">
        <v>19</v>
      </c>
      <c r="B26" s="53" t="inlineStr">
        <is>
          <t>2. עץ מוצר (BOM)</t>
        </is>
      </c>
      <c r="C26" s="49" t="inlineStr">
        <is>
          <t>STPO</t>
        </is>
      </c>
      <c r="D26" s="51" t="inlineStr">
        <is>
          <t>Not started</t>
        </is>
      </c>
      <c r="E26" s="87">
        <f>HYPERLINK("#'"&amp;"2. עץ מוצר (BOM)"&amp;"'!A36","➜ פתח")</f>
        <v/>
      </c>
      <c r="F26" s="53" t="inlineStr">
        <is>
          <t>פריטי עץ מוצר (רכיבים)</t>
        </is>
      </c>
      <c r="G26" s="4" t="n"/>
      <c r="H26" s="4" t="n"/>
      <c r="I26" s="4" t="n"/>
      <c r="J26" s="4" t="n"/>
      <c r="K26" s="4" t="n"/>
      <c r="L26" s="4" t="n"/>
    </row>
    <row r="27">
      <c r="A27" s="61" t="n">
        <v>20</v>
      </c>
      <c r="B27" s="64" t="inlineStr">
        <is>
          <t>2. עץ מוצר (BOM)</t>
        </is>
      </c>
      <c r="C27" s="60" t="inlineStr">
        <is>
          <t>STAS</t>
        </is>
      </c>
      <c r="D27" s="51" t="inlineStr">
        <is>
          <t>Not started</t>
        </is>
      </c>
      <c r="E27" s="88">
        <f>HYPERLINK("#'"&amp;"2. עץ מוצר (BOM)"&amp;"'!A47","➜ פתח")</f>
        <v/>
      </c>
      <c r="F27" s="64" t="inlineStr">
        <is>
          <t>בחירת פריטי עץ מוצר</t>
        </is>
      </c>
      <c r="G27" s="4" t="n"/>
      <c r="H27" s="4" t="n"/>
      <c r="I27" s="4" t="n"/>
      <c r="J27" s="4" t="n"/>
      <c r="K27" s="4" t="n"/>
      <c r="L27" s="4" t="n"/>
    </row>
    <row r="28">
      <c r="A28" s="50" t="n">
        <v>21</v>
      </c>
      <c r="B28" s="53" t="inlineStr">
        <is>
          <t>2. עץ מוצר (BOM)</t>
        </is>
      </c>
      <c r="C28" s="49" t="inlineStr">
        <is>
          <t>STZU</t>
        </is>
      </c>
      <c r="D28" s="51" t="inlineStr">
        <is>
          <t>Not started</t>
        </is>
      </c>
      <c r="E28" s="87">
        <f>HYPERLINK("#'"&amp;"2. עץ מוצר (BOM)"&amp;"'!A54","➜ פתח")</f>
        <v/>
      </c>
      <c r="F28" s="53" t="inlineStr">
        <is>
          <t>טבלת היסטוריה/קישור לעץ מוצר</t>
        </is>
      </c>
      <c r="G28" s="4" t="n"/>
      <c r="H28" s="4" t="n"/>
      <c r="I28" s="4" t="n"/>
      <c r="J28" s="4" t="n"/>
      <c r="K28" s="4" t="n"/>
      <c r="L28" s="4" t="n"/>
    </row>
    <row r="29">
      <c r="A29" s="61" t="n">
        <v>22</v>
      </c>
      <c r="B29" s="64" t="inlineStr">
        <is>
          <t>2. עץ מוצר (BOM)</t>
        </is>
      </c>
      <c r="C29" s="60" t="inlineStr">
        <is>
          <t>STPU</t>
        </is>
      </c>
      <c r="D29" s="51" t="inlineStr">
        <is>
          <t>Not started</t>
        </is>
      </c>
      <c r="E29" s="88">
        <f>HYPERLINK("#'"&amp;"2. עץ מוצר (BOM)"&amp;"'!A60","➜ פתח")</f>
        <v/>
      </c>
      <c r="F29" s="64" t="inlineStr">
        <is>
          <t>טקסטים ארוכים לפריט עץ מוצר</t>
        </is>
      </c>
      <c r="G29" s="4" t="n"/>
      <c r="H29" s="4" t="n"/>
      <c r="I29" s="4" t="n"/>
      <c r="J29" s="4" t="n"/>
      <c r="K29" s="4" t="n"/>
      <c r="L29" s="4" t="n"/>
    </row>
    <row r="30">
      <c r="A30" s="50" t="n">
        <v>23</v>
      </c>
      <c r="B30" s="53" t="inlineStr">
        <is>
          <t>2. עץ מוצר (BOM)</t>
        </is>
      </c>
      <c r="C30" s="49" t="inlineStr">
        <is>
          <t>KDST</t>
        </is>
      </c>
      <c r="D30" s="51" t="inlineStr">
        <is>
          <t>Not started</t>
        </is>
      </c>
      <c r="E30" s="87">
        <f>HYPERLINK("#'"&amp;"2. עץ מוצר (BOM)"&amp;"'!A65","➜ פתח")</f>
        <v/>
      </c>
      <c r="F30" s="53" t="inlineStr">
        <is>
          <t>שימוש עץ מוצר בהזמנת לקוח</t>
        </is>
      </c>
      <c r="G30" s="4" t="n"/>
      <c r="H30" s="4" t="n"/>
      <c r="I30" s="4" t="n"/>
      <c r="J30" s="4" t="n"/>
      <c r="K30" s="4" t="n"/>
      <c r="L30" s="4" t="n"/>
    </row>
    <row r="31">
      <c r="A31" s="61" t="n">
        <v>24</v>
      </c>
      <c r="B31" s="64" t="inlineStr">
        <is>
          <t>3. מתכון ייצור ופעולות (Master Recipe)</t>
        </is>
      </c>
      <c r="C31" s="60" t="inlineStr">
        <is>
          <t>PLKO</t>
        </is>
      </c>
      <c r="D31" s="51" t="inlineStr">
        <is>
          <t>Not started</t>
        </is>
      </c>
      <c r="E31" s="88">
        <f>HYPERLINK("#'"&amp;"3. מתכון ייצור ופעולות (Master "&amp;"'!A21","➜ פתח")</f>
        <v/>
      </c>
      <c r="F31" s="64" t="inlineStr">
        <is>
          <t>כותרת מתכון ייצור / רשימת פעולות</t>
        </is>
      </c>
      <c r="G31" s="4" t="n"/>
      <c r="H31" s="4" t="n"/>
      <c r="I31" s="4" t="n"/>
      <c r="J31" s="4" t="n"/>
      <c r="K31" s="4" t="n"/>
      <c r="L31" s="4" t="n"/>
    </row>
    <row r="32">
      <c r="A32" s="50" t="n">
        <v>25</v>
      </c>
      <c r="B32" s="53" t="inlineStr">
        <is>
          <t>3. מתכון ייצור ופעולות (Master Recipe)</t>
        </is>
      </c>
      <c r="C32" s="49" t="inlineStr">
        <is>
          <t>PLPO</t>
        </is>
      </c>
      <c r="D32" s="51" t="inlineStr">
        <is>
          <t>Not started</t>
        </is>
      </c>
      <c r="E32" s="87">
        <f>HYPERLINK("#'"&amp;"3. מתכון ייצור ופעולות (Master "&amp;"'!A30","➜ פתח")</f>
        <v/>
      </c>
      <c r="F32" s="53" t="inlineStr">
        <is>
          <t>פעולות/פאזות במתכון</t>
        </is>
      </c>
      <c r="G32" s="4" t="n"/>
      <c r="H32" s="4" t="n"/>
      <c r="I32" s="4" t="n"/>
      <c r="J32" s="4" t="n"/>
      <c r="K32" s="4" t="n"/>
      <c r="L32" s="4" t="n"/>
    </row>
    <row r="33">
      <c r="A33" s="61" t="n">
        <v>26</v>
      </c>
      <c r="B33" s="64" t="inlineStr">
        <is>
          <t>3. מתכון ייצור ופעולות (Master Recipe)</t>
        </is>
      </c>
      <c r="C33" s="60" t="inlineStr">
        <is>
          <t>PLAS</t>
        </is>
      </c>
      <c r="D33" s="51" t="inlineStr">
        <is>
          <t>Not started</t>
        </is>
      </c>
      <c r="E33" s="88">
        <f>HYPERLINK("#'"&amp;"3. מתכון ייצור ופעולות (Master "&amp;"'!A41","➜ פתח")</f>
        <v/>
      </c>
      <c r="F33" s="64" t="inlineStr">
        <is>
          <t>שיוך/בחירת פעולות לרשימה</t>
        </is>
      </c>
      <c r="G33" s="4" t="n"/>
      <c r="H33" s="4" t="n"/>
      <c r="I33" s="4" t="n"/>
      <c r="J33" s="4" t="n"/>
      <c r="K33" s="4" t="n"/>
      <c r="L33" s="4" t="n"/>
    </row>
    <row r="34">
      <c r="A34" s="50" t="n">
        <v>27</v>
      </c>
      <c r="B34" s="53" t="inlineStr">
        <is>
          <t>3. מתכון ייצור ופעולות (Master Recipe)</t>
        </is>
      </c>
      <c r="C34" s="49" t="inlineStr">
        <is>
          <t>PLFL</t>
        </is>
      </c>
      <c r="D34" s="51" t="inlineStr">
        <is>
          <t>Not started</t>
        </is>
      </c>
      <c r="E34" s="87">
        <f>HYPERLINK("#'"&amp;"3. מתכון ייצור ופעולות (Master "&amp;"'!A49","➜ פתח")</f>
        <v/>
      </c>
      <c r="F34" s="53" t="inlineStr">
        <is>
          <t>רצפים במתכון</t>
        </is>
      </c>
      <c r="G34" s="4" t="n"/>
      <c r="H34" s="4" t="n"/>
      <c r="I34" s="4" t="n"/>
      <c r="J34" s="4" t="n"/>
      <c r="K34" s="4" t="n"/>
      <c r="L34" s="4" t="n"/>
    </row>
    <row r="35">
      <c r="A35" s="61" t="n">
        <v>28</v>
      </c>
      <c r="B35" s="64" t="inlineStr">
        <is>
          <t>3. מתכון ייצור ופעולות (Master Recipe)</t>
        </is>
      </c>
      <c r="C35" s="60" t="inlineStr">
        <is>
          <t>PLMZ</t>
        </is>
      </c>
      <c r="D35" s="51" t="inlineStr">
        <is>
          <t>Not started</t>
        </is>
      </c>
      <c r="E35" s="88">
        <f>HYPERLINK("#'"&amp;"3. מתכון ייצור ופעולות (Master "&amp;"'!A55","➜ פתח")</f>
        <v/>
      </c>
      <c r="F35" s="64" t="inlineStr">
        <is>
          <t>שיוך רכיבים לפעולות</t>
        </is>
      </c>
      <c r="G35" s="4" t="n"/>
      <c r="H35" s="4" t="n"/>
      <c r="I35" s="4" t="n"/>
      <c r="J35" s="4" t="n"/>
      <c r="K35" s="4" t="n"/>
      <c r="L35" s="4" t="n"/>
    </row>
    <row r="36">
      <c r="A36" s="50" t="n">
        <v>29</v>
      </c>
      <c r="B36" s="53" t="inlineStr">
        <is>
          <t>3. מתכון ייצור ופעולות (Master Recipe)</t>
        </is>
      </c>
      <c r="C36" s="49" t="inlineStr">
        <is>
          <t>PLMK</t>
        </is>
      </c>
      <c r="D36" s="51" t="inlineStr">
        <is>
          <t>Not started</t>
        </is>
      </c>
      <c r="E36" s="87">
        <f>HYPERLINK("#'"&amp;"3. מתכון ייצור ופעולות (Master "&amp;"'!A62","➜ פתח")</f>
        <v/>
      </c>
      <c r="F36" s="53" t="inlineStr">
        <is>
          <t>מאפייני בדיקה במתכון</t>
        </is>
      </c>
      <c r="G36" s="4" t="n"/>
      <c r="H36" s="4" t="n"/>
      <c r="I36" s="4" t="n"/>
      <c r="J36" s="4" t="n"/>
      <c r="K36" s="4" t="n"/>
      <c r="L36" s="4" t="n"/>
    </row>
    <row r="37">
      <c r="A37" s="61" t="n">
        <v>30</v>
      </c>
      <c r="B37" s="64" t="inlineStr">
        <is>
          <t>3. מתכון ייצור ופעולות (Master Recipe)</t>
        </is>
      </c>
      <c r="C37" s="60" t="inlineStr">
        <is>
          <t>MAPL</t>
        </is>
      </c>
      <c r="D37" s="51" t="inlineStr">
        <is>
          <t>Not started</t>
        </is>
      </c>
      <c r="E37" s="88">
        <f>HYPERLINK("#'"&amp;"3. מתכון ייצור ופעולות (Master "&amp;"'!A70","➜ פתח")</f>
        <v/>
      </c>
      <c r="F37" s="64" t="inlineStr">
        <is>
          <t>שיוך חומר למתכון/רשימת פעולות</t>
        </is>
      </c>
      <c r="G37" s="4" t="n"/>
      <c r="H37" s="4" t="n"/>
      <c r="I37" s="4" t="n"/>
      <c r="J37" s="4" t="n"/>
      <c r="K37" s="4" t="n"/>
      <c r="L37" s="4" t="n"/>
    </row>
    <row r="38">
      <c r="A38" s="50" t="n">
        <v>31</v>
      </c>
      <c r="B38" s="53" t="inlineStr">
        <is>
          <t>3. מתכון ייצור ופעולות (Master Recipe)</t>
        </is>
      </c>
      <c r="C38" s="49" t="inlineStr">
        <is>
          <t>FHMI</t>
        </is>
      </c>
      <c r="D38" s="51" t="inlineStr">
        <is>
          <t>Not started</t>
        </is>
      </c>
      <c r="E38" s="87">
        <f>HYPERLINK("#'"&amp;"3. מתכון ייצור ופעולות (Master "&amp;"'!A77","➜ פתח")</f>
        <v/>
      </c>
      <c r="F38" s="53" t="inlineStr">
        <is>
          <t>שיוך כלי עזר ייצור (PRT) לפעולה</t>
        </is>
      </c>
      <c r="G38" s="4" t="n"/>
      <c r="H38" s="4" t="n"/>
      <c r="I38" s="4" t="n"/>
      <c r="J38" s="4" t="n"/>
      <c r="K38" s="4" t="n"/>
      <c r="L38" s="4" t="n"/>
    </row>
    <row r="39">
      <c r="A39" s="61" t="n">
        <v>32</v>
      </c>
      <c r="B39" s="64" t="inlineStr">
        <is>
          <t>3. מתכון ייצור ופעולות (Master Recipe)</t>
        </is>
      </c>
      <c r="C39" s="60" t="inlineStr">
        <is>
          <t>PLZU</t>
        </is>
      </c>
      <c r="D39" s="51" t="inlineStr">
        <is>
          <t>Not started</t>
        </is>
      </c>
      <c r="E39" s="88">
        <f>HYPERLINK("#'"&amp;"3. מתכון ייצור ופעולות (Master "&amp;"'!A83","➜ פתח")</f>
        <v/>
      </c>
      <c r="F39" s="64" t="inlineStr">
        <is>
          <t>קישור היסטוריית רשימת פעולות</t>
        </is>
      </c>
      <c r="G39" s="4" t="n"/>
      <c r="H39" s="4" t="n"/>
      <c r="I39" s="4" t="n"/>
      <c r="J39" s="4" t="n"/>
      <c r="K39" s="4" t="n"/>
      <c r="L39" s="4" t="n"/>
    </row>
    <row r="40">
      <c r="A40" s="50" t="n">
        <v>33</v>
      </c>
      <c r="B40" s="53" t="inlineStr">
        <is>
          <t>3. מתכון ייצור ופעולות (Master Recipe)</t>
        </is>
      </c>
      <c r="C40" s="49" t="inlineStr">
        <is>
          <t>TC60</t>
        </is>
      </c>
      <c r="D40" s="51" t="inlineStr">
        <is>
          <t>Not started</t>
        </is>
      </c>
      <c r="E40" s="87">
        <f>HYPERLINK("#'"&amp;"3. מתכון ייצור ופעולות (Master "&amp;"'!A88","➜ פתח")</f>
        <v/>
      </c>
      <c r="F40" s="53" t="inlineStr">
        <is>
          <t>מאפייני הוראות תהליך (PI)</t>
        </is>
      </c>
      <c r="G40" s="4" t="n"/>
      <c r="H40" s="4" t="n"/>
      <c r="I40" s="4" t="n"/>
      <c r="J40" s="4" t="n"/>
      <c r="K40" s="4" t="n"/>
      <c r="L40" s="4" t="n"/>
    </row>
    <row r="41">
      <c r="A41" s="61" t="n">
        <v>34</v>
      </c>
      <c r="B41" s="64" t="inlineStr">
        <is>
          <t>3. מתכון ייצור ופעולות (Master Recipe)</t>
        </is>
      </c>
      <c r="C41" s="60" t="inlineStr">
        <is>
          <t>TCA01</t>
        </is>
      </c>
      <c r="D41" s="51" t="inlineStr">
        <is>
          <t>Not started</t>
        </is>
      </c>
      <c r="E41" s="88">
        <f>HYPERLINK("#'"&amp;"3. מתכון ייצור ופעולות (Master "&amp;"'!A93","➜ פתח")</f>
        <v/>
      </c>
      <c r="F41" s="64" t="inlineStr">
        <is>
          <t>פרופיל רשימת פעולות (Customizing)</t>
        </is>
      </c>
      <c r="G41" s="4" t="n"/>
      <c r="H41" s="4" t="n"/>
      <c r="I41" s="4" t="n"/>
      <c r="J41" s="4" t="n"/>
      <c r="K41" s="4" t="n"/>
      <c r="L41" s="4" t="n"/>
    </row>
    <row r="42">
      <c r="A42" s="50" t="n">
        <v>35</v>
      </c>
      <c r="B42" s="53" t="inlineStr">
        <is>
          <t>4. גרסאות ייצור (Production Versions - חובה ב-S/4)</t>
        </is>
      </c>
      <c r="C42" s="49" t="inlineStr">
        <is>
          <t>MKAL</t>
        </is>
      </c>
      <c r="D42" s="51" t="inlineStr">
        <is>
          <t>Not started</t>
        </is>
      </c>
      <c r="E42" s="87">
        <f>HYPERLINK("#'"&amp;"4. גרסאות ייצור (Production Ver"&amp;"'!A19","➜ פתח")</f>
        <v/>
      </c>
      <c r="F42" s="53" t="inlineStr">
        <is>
          <t>גרסאות ייצור לחומר</t>
        </is>
      </c>
      <c r="G42" s="4" t="n"/>
      <c r="H42" s="4" t="n"/>
      <c r="I42" s="4" t="n"/>
      <c r="J42" s="4" t="n"/>
      <c r="K42" s="4" t="n"/>
      <c r="L42" s="4" t="n"/>
    </row>
    <row r="43">
      <c r="A43" s="61" t="n">
        <v>36</v>
      </c>
      <c r="B43" s="64" t="inlineStr">
        <is>
          <t>5. משאבים / מרכזי עבודה (Resources)</t>
        </is>
      </c>
      <c r="C43" s="60" t="inlineStr">
        <is>
          <t>CRHD</t>
        </is>
      </c>
      <c r="D43" s="51" t="inlineStr">
        <is>
          <t>Not started</t>
        </is>
      </c>
      <c r="E43" s="88">
        <f>HYPERLINK("#'"&amp;"5. משאבים  מרכזי עבודה (Resourc"&amp;"'!A20","➜ פתח")</f>
        <v/>
      </c>
      <c r="F43" s="64" t="inlineStr">
        <is>
          <t>כותרת משאב / מרכז עבודה</t>
        </is>
      </c>
      <c r="G43" s="4" t="n"/>
      <c r="H43" s="4" t="n"/>
      <c r="I43" s="4" t="n"/>
      <c r="J43" s="4" t="n"/>
      <c r="K43" s="4" t="n"/>
      <c r="L43" s="4" t="n"/>
    </row>
    <row r="44">
      <c r="A44" s="50" t="n">
        <v>37</v>
      </c>
      <c r="B44" s="53" t="inlineStr">
        <is>
          <t>5. משאבים / מרכזי עבודה (Resources)</t>
        </is>
      </c>
      <c r="C44" s="49" t="inlineStr">
        <is>
          <t>CRTX</t>
        </is>
      </c>
      <c r="D44" s="51" t="inlineStr">
        <is>
          <t>Not started</t>
        </is>
      </c>
      <c r="E44" s="87">
        <f>HYPERLINK("#'"&amp;"5. משאבים  מרכזי עבודה (Resourc"&amp;"'!A29","➜ פתח")</f>
        <v/>
      </c>
      <c r="F44" s="53" t="inlineStr">
        <is>
          <t>טקסטים של משאב</t>
        </is>
      </c>
      <c r="G44" s="4" t="n"/>
      <c r="H44" s="4" t="n"/>
      <c r="I44" s="4" t="n"/>
      <c r="J44" s="4" t="n"/>
      <c r="K44" s="4" t="n"/>
      <c r="L44" s="4" t="n"/>
    </row>
    <row r="45">
      <c r="A45" s="61" t="n">
        <v>38</v>
      </c>
      <c r="B45" s="64" t="inlineStr">
        <is>
          <t>5. משאבים / מרכזי עבודה (Resources)</t>
        </is>
      </c>
      <c r="C45" s="60" t="inlineStr">
        <is>
          <t>CRCO</t>
        </is>
      </c>
      <c r="D45" s="51" t="inlineStr">
        <is>
          <t>Not started</t>
        </is>
      </c>
      <c r="E45" s="88">
        <f>HYPERLINK("#'"&amp;"5. משאבים  מרכזי עבודה (Resourc"&amp;"'!A35","➜ פתח")</f>
        <v/>
      </c>
      <c r="F45" s="64" t="inlineStr">
        <is>
          <t>שיוך משאב למרכז עלות</t>
        </is>
      </c>
      <c r="G45" s="4" t="n"/>
      <c r="H45" s="4" t="n"/>
      <c r="I45" s="4" t="n"/>
      <c r="J45" s="4" t="n"/>
      <c r="K45" s="4" t="n"/>
      <c r="L45" s="4" t="n"/>
    </row>
    <row r="46">
      <c r="A46" s="50" t="n">
        <v>39</v>
      </c>
      <c r="B46" s="53" t="inlineStr">
        <is>
          <t>5. משאבים / מרכזי עבודה (Resources)</t>
        </is>
      </c>
      <c r="C46" s="49" t="inlineStr">
        <is>
          <t>CRCA</t>
        </is>
      </c>
      <c r="D46" s="51" t="inlineStr">
        <is>
          <t>Not started</t>
        </is>
      </c>
      <c r="E46" s="87">
        <f>HYPERLINK("#'"&amp;"5. משאבים  מרכזי עבודה (Resourc"&amp;"'!A43","➜ פתח")</f>
        <v/>
      </c>
      <c r="F46" s="53" t="inlineStr">
        <is>
          <t>הקצאת קיבולת למשאב</t>
        </is>
      </c>
      <c r="G46" s="4" t="n"/>
      <c r="H46" s="4" t="n"/>
      <c r="I46" s="4" t="n"/>
      <c r="J46" s="4" t="n"/>
      <c r="K46" s="4" t="n"/>
      <c r="L46" s="4" t="n"/>
    </row>
    <row r="47">
      <c r="A47" s="61" t="n">
        <v>40</v>
      </c>
      <c r="B47" s="64" t="inlineStr">
        <is>
          <t>5. משאבים / מרכזי עבודה (Resources)</t>
        </is>
      </c>
      <c r="C47" s="60" t="inlineStr">
        <is>
          <t>KAKO</t>
        </is>
      </c>
      <c r="D47" s="51" t="inlineStr">
        <is>
          <t>Not started</t>
        </is>
      </c>
      <c r="E47" s="88">
        <f>HYPERLINK("#'"&amp;"5. משאבים  מרכזי עבודה (Resourc"&amp;"'!A49","➜ פתח")</f>
        <v/>
      </c>
      <c r="F47" s="64" t="inlineStr">
        <is>
          <t>כותרת קיבולת</t>
        </is>
      </c>
      <c r="G47" s="4" t="n"/>
      <c r="H47" s="4" t="n"/>
      <c r="I47" s="4" t="n"/>
      <c r="J47" s="4" t="n"/>
      <c r="K47" s="4" t="n"/>
      <c r="L47" s="4" t="n"/>
    </row>
    <row r="48">
      <c r="A48" s="50" t="n">
        <v>41</v>
      </c>
      <c r="B48" s="53" t="inlineStr">
        <is>
          <t>5. משאבים / מרכזי עבודה (Resources)</t>
        </is>
      </c>
      <c r="C48" s="49" t="inlineStr">
        <is>
          <t>CRFH</t>
        </is>
      </c>
      <c r="D48" s="51" t="inlineStr">
        <is>
          <t>Not started</t>
        </is>
      </c>
      <c r="E48" s="87">
        <f>HYPERLINK("#'"&amp;"5. משאבים  מרכזי עבודה (Resourc"&amp;"'!A55","➜ פתח")</f>
        <v/>
      </c>
      <c r="F48" s="53" t="inlineStr">
        <is>
          <t>אב כלי עזר ייצור (PRT)</t>
        </is>
      </c>
      <c r="G48" s="4" t="n"/>
      <c r="H48" s="4" t="n"/>
      <c r="I48" s="4" t="n"/>
      <c r="J48" s="4" t="n"/>
      <c r="K48" s="4" t="n"/>
      <c r="L48" s="4" t="n"/>
    </row>
    <row r="49">
      <c r="A49" s="61" t="n">
        <v>42</v>
      </c>
      <c r="B49" s="64" t="inlineStr">
        <is>
          <t>5. משאבים / מרכזי עבודה (Resources)</t>
        </is>
      </c>
      <c r="C49" s="60" t="inlineStr">
        <is>
          <t>CRVD_A</t>
        </is>
      </c>
      <c r="D49" s="51" t="inlineStr">
        <is>
          <t>Not started</t>
        </is>
      </c>
      <c r="E49" s="88">
        <f>HYPERLINK("#'"&amp;"5. משאבים  מרכזי עבודה (Resourc"&amp;"'!A61","➜ פתח")</f>
        <v/>
      </c>
      <c r="F49" s="64" t="inlineStr">
        <is>
          <t>ברירות מחדל למשאב (PI)</t>
        </is>
      </c>
      <c r="G49" s="4" t="n"/>
      <c r="H49" s="4" t="n"/>
      <c r="I49" s="4" t="n"/>
      <c r="J49" s="4" t="n"/>
      <c r="K49" s="4" t="n"/>
      <c r="L49" s="4" t="n"/>
    </row>
    <row r="50">
      <c r="A50" s="50" t="n">
        <v>43</v>
      </c>
      <c r="B50" s="53" t="inlineStr">
        <is>
          <t>5. משאבים / מרכזי עבודה (Resources)</t>
        </is>
      </c>
      <c r="C50" s="49" t="inlineStr">
        <is>
          <t>CSLA</t>
        </is>
      </c>
      <c r="D50" s="51" t="inlineStr">
        <is>
          <t>Not started</t>
        </is>
      </c>
      <c r="E50" s="87">
        <f>HYPERLINK("#'"&amp;"5. משאבים  מרכזי עבודה (Resourc"&amp;"'!A66","➜ פתח")</f>
        <v/>
      </c>
      <c r="F50" s="53" t="inlineStr">
        <is>
          <t>סוגי פעילות למרכז עבודה</t>
        </is>
      </c>
      <c r="G50" s="4" t="n"/>
      <c r="H50" s="4" t="n"/>
      <c r="I50" s="4" t="n"/>
      <c r="J50" s="4" t="n"/>
      <c r="K50" s="4" t="n"/>
      <c r="L50" s="4" t="n"/>
    </row>
    <row r="51">
      <c r="A51" s="61" t="n">
        <v>44</v>
      </c>
      <c r="B51" s="64" t="inlineStr">
        <is>
          <t>5. משאבים / מרכזי עבודה (Resources)</t>
        </is>
      </c>
      <c r="C51" s="60" t="inlineStr">
        <is>
          <t>KAZT</t>
        </is>
      </c>
      <c r="D51" s="51" t="inlineStr">
        <is>
          <t>Not started</t>
        </is>
      </c>
      <c r="E51" s="88">
        <f>HYPERLINK("#'"&amp;"5. משאבים  מרכזי עבודה (Resourc"&amp;"'!A71","➜ פתח")</f>
        <v/>
      </c>
      <c r="F51" s="64" t="inlineStr">
        <is>
          <t>מרווחי קיבולת זמינה</t>
        </is>
      </c>
      <c r="G51" s="4" t="n"/>
      <c r="H51" s="4" t="n"/>
      <c r="I51" s="4" t="n"/>
      <c r="J51" s="4" t="n"/>
      <c r="K51" s="4" t="n"/>
      <c r="L51" s="4" t="n"/>
    </row>
    <row r="52">
      <c r="A52" s="50" t="n">
        <v>45</v>
      </c>
      <c r="B52" s="53" t="inlineStr">
        <is>
          <t>6. פק"ע ייצור ומתכון בקרה (Process Order)</t>
        </is>
      </c>
      <c r="C52" s="49" t="inlineStr">
        <is>
          <t>AUFK</t>
        </is>
      </c>
      <c r="D52" s="51" t="inlineStr">
        <is>
          <t>Not started</t>
        </is>
      </c>
      <c r="E52" s="87">
        <f>HYPERLINK("#'"&amp;"6. פק"ע ייצור ומתכון בקרה (Proc"&amp;"'!A22","➜ פתח")</f>
        <v/>
      </c>
      <c r="F52" s="53" t="inlineStr">
        <is>
          <t>נתוני אב של פקודת ייצור</t>
        </is>
      </c>
      <c r="G52" s="4" t="n"/>
      <c r="H52" s="4" t="n"/>
      <c r="I52" s="4" t="n"/>
      <c r="J52" s="4" t="n"/>
      <c r="K52" s="4" t="n"/>
      <c r="L52" s="4" t="n"/>
    </row>
    <row r="53">
      <c r="A53" s="61" t="n">
        <v>46</v>
      </c>
      <c r="B53" s="64" t="inlineStr">
        <is>
          <t>6. פק"ע ייצור ומתכון בקרה (Process Order)</t>
        </is>
      </c>
      <c r="C53" s="60" t="inlineStr">
        <is>
          <t>AFKO</t>
        </is>
      </c>
      <c r="D53" s="51" t="inlineStr">
        <is>
          <t>Not started</t>
        </is>
      </c>
      <c r="E53" s="88">
        <f>HYPERLINK("#'"&amp;"6. פק"ע ייצור ומתכון בקרה (Proc"&amp;"'!A29","➜ פתח")</f>
        <v/>
      </c>
      <c r="F53" s="64" t="inlineStr">
        <is>
          <t>כותרת פקודת ייצור</t>
        </is>
      </c>
      <c r="G53" s="4" t="n"/>
      <c r="H53" s="4" t="n"/>
      <c r="I53" s="4" t="n"/>
      <c r="J53" s="4" t="n"/>
      <c r="K53" s="4" t="n"/>
      <c r="L53" s="4" t="n"/>
    </row>
    <row r="54">
      <c r="A54" s="50" t="n">
        <v>47</v>
      </c>
      <c r="B54" s="53" t="inlineStr">
        <is>
          <t>6. פק"ע ייצור ומתכון בקרה (Process Order)</t>
        </is>
      </c>
      <c r="C54" s="49" t="inlineStr">
        <is>
          <t>AFPO</t>
        </is>
      </c>
      <c r="D54" s="51" t="inlineStr">
        <is>
          <t>Not started</t>
        </is>
      </c>
      <c r="E54" s="87">
        <f>HYPERLINK("#'"&amp;"6. פק"ע ייצור ומתכון בקרה (Proc"&amp;"'!A37","➜ פתח")</f>
        <v/>
      </c>
      <c r="F54" s="53" t="inlineStr">
        <is>
          <t>פריט פקודת ייצור</t>
        </is>
      </c>
      <c r="G54" s="4" t="n"/>
      <c r="H54" s="4" t="n"/>
      <c r="I54" s="4" t="n"/>
      <c r="J54" s="4" t="n"/>
      <c r="K54" s="4" t="n"/>
      <c r="L54" s="4" t="n"/>
    </row>
    <row r="55">
      <c r="A55" s="61" t="n">
        <v>48</v>
      </c>
      <c r="B55" s="64" t="inlineStr">
        <is>
          <t>6. פק"ע ייצור ומתכון בקרה (Process Order)</t>
        </is>
      </c>
      <c r="C55" s="60" t="inlineStr">
        <is>
          <t>AFVC</t>
        </is>
      </c>
      <c r="D55" s="51" t="inlineStr">
        <is>
          <t>Not started</t>
        </is>
      </c>
      <c r="E55" s="88">
        <f>HYPERLINK("#'"&amp;"6. פק"ע ייצור ומתכון בקרה (Proc"&amp;"'!A44","➜ פתח")</f>
        <v/>
      </c>
      <c r="F55" s="64" t="inlineStr">
        <is>
          <t>פעולות פקודת הייצור</t>
        </is>
      </c>
      <c r="G55" s="4" t="n"/>
      <c r="H55" s="4" t="n"/>
      <c r="I55" s="4" t="n"/>
      <c r="J55" s="4" t="n"/>
      <c r="K55" s="4" t="n"/>
      <c r="L55" s="4" t="n"/>
    </row>
    <row r="56">
      <c r="A56" s="50" t="n">
        <v>49</v>
      </c>
      <c r="B56" s="53" t="inlineStr">
        <is>
          <t>6. פק"ע ייצור ומתכון בקרה (Process Order)</t>
        </is>
      </c>
      <c r="C56" s="49" t="inlineStr">
        <is>
          <t>RESB</t>
        </is>
      </c>
      <c r="D56" s="51" t="inlineStr">
        <is>
          <t>Not started</t>
        </is>
      </c>
      <c r="E56" s="87">
        <f>HYPERLINK("#'"&amp;"6. פק"ע ייצור ומתכון בקרה (Proc"&amp;"'!A52","➜ פתח")</f>
        <v/>
      </c>
      <c r="F56" s="53" t="inlineStr">
        <is>
          <t>הזמנת רכיבים לפק"ע</t>
        </is>
      </c>
      <c r="G56" s="4" t="n"/>
      <c r="H56" s="4" t="n"/>
      <c r="I56" s="4" t="n"/>
      <c r="J56" s="4" t="n"/>
      <c r="K56" s="4" t="n"/>
      <c r="L56" s="4" t="n"/>
    </row>
    <row r="57">
      <c r="A57" s="61" t="n">
        <v>50</v>
      </c>
      <c r="B57" s="64" t="inlineStr">
        <is>
          <t>6. פק"ע ייצור ומתכון בקרה (Process Order)</t>
        </is>
      </c>
      <c r="C57" s="60" t="inlineStr">
        <is>
          <t>AFRU</t>
        </is>
      </c>
      <c r="D57" s="51" t="inlineStr">
        <is>
          <t>Not started</t>
        </is>
      </c>
      <c r="E57" s="88">
        <f>HYPERLINK("#'"&amp;"6. פק"ע ייצור ומתכון בקרה (Proc"&amp;"'!A60","➜ פתח")</f>
        <v/>
      </c>
      <c r="F57" s="64" t="inlineStr">
        <is>
          <t>דיווחי ביצוע פק"ע</t>
        </is>
      </c>
      <c r="G57" s="4" t="n"/>
      <c r="H57" s="4" t="n"/>
      <c r="I57" s="4" t="n"/>
      <c r="J57" s="4" t="n"/>
      <c r="K57" s="4" t="n"/>
      <c r="L57" s="4" t="n"/>
    </row>
    <row r="58">
      <c r="A58" s="50" t="n">
        <v>51</v>
      </c>
      <c r="B58" s="53" t="inlineStr">
        <is>
          <t>6. פק"ע ייצור ומתכון בקרה (Process Order)</t>
        </is>
      </c>
      <c r="C58" s="49" t="inlineStr">
        <is>
          <t>AFFH</t>
        </is>
      </c>
      <c r="D58" s="51" t="inlineStr">
        <is>
          <t>Not started</t>
        </is>
      </c>
      <c r="E58" s="87">
        <f>HYPERLINK("#'"&amp;"6. פק"ע ייצור ומתכון בקרה (Proc"&amp;"'!A67","➜ פתח")</f>
        <v/>
      </c>
      <c r="F58" s="53" t="inlineStr">
        <is>
          <t>שיוך PRT לפק"ע</t>
        </is>
      </c>
      <c r="G58" s="4" t="n"/>
      <c r="H58" s="4" t="n"/>
      <c r="I58" s="4" t="n"/>
      <c r="J58" s="4" t="n"/>
      <c r="K58" s="4" t="n"/>
      <c r="L58" s="4" t="n"/>
    </row>
    <row r="59">
      <c r="A59" s="61" t="n">
        <v>52</v>
      </c>
      <c r="B59" s="64" t="inlineStr">
        <is>
          <t>6. פק"ע ייצור ומתכון בקרה (Process Order)</t>
        </is>
      </c>
      <c r="C59" s="60" t="inlineStr">
        <is>
          <t>AFFL</t>
        </is>
      </c>
      <c r="D59" s="51" t="inlineStr">
        <is>
          <t>Not started</t>
        </is>
      </c>
      <c r="E59" s="88">
        <f>HYPERLINK("#'"&amp;"6. פק"ע ייצור ומתכון בקרה (Proc"&amp;"'!A72","➜ פתח")</f>
        <v/>
      </c>
      <c r="F59" s="64" t="inlineStr">
        <is>
          <t>רצפי פעולות בפק"ע</t>
        </is>
      </c>
      <c r="G59" s="4" t="n"/>
      <c r="H59" s="4" t="n"/>
      <c r="I59" s="4" t="n"/>
      <c r="J59" s="4" t="n"/>
      <c r="K59" s="4" t="n"/>
      <c r="L59" s="4" t="n"/>
    </row>
    <row r="60">
      <c r="A60" s="50" t="n">
        <v>53</v>
      </c>
      <c r="B60" s="53" t="inlineStr">
        <is>
          <t>7. קונפיגורציה (Customizing)</t>
        </is>
      </c>
      <c r="C60" s="49" t="inlineStr">
        <is>
          <t>T134</t>
        </is>
      </c>
      <c r="D60" s="51" t="inlineStr">
        <is>
          <t>Not started</t>
        </is>
      </c>
      <c r="E60" s="87">
        <f>HYPERLINK("#'"&amp;"7. קונפיגורציה (Customizing)"&amp;"'!A22","➜ פתח")</f>
        <v/>
      </c>
      <c r="F60" s="53" t="inlineStr">
        <is>
          <t>סוגי חומר (Customizing)</t>
        </is>
      </c>
      <c r="G60" s="4" t="n"/>
      <c r="H60" s="4" t="n"/>
      <c r="I60" s="4" t="n"/>
      <c r="J60" s="4" t="n"/>
      <c r="K60" s="4" t="n"/>
      <c r="L60" s="4" t="n"/>
    </row>
    <row r="61">
      <c r="A61" s="61" t="n">
        <v>54</v>
      </c>
      <c r="B61" s="64" t="inlineStr">
        <is>
          <t>7. קונפיגורציה (Customizing)</t>
        </is>
      </c>
      <c r="C61" s="60" t="inlineStr">
        <is>
          <t>T134T</t>
        </is>
      </c>
      <c r="D61" s="51" t="inlineStr">
        <is>
          <t>Not started</t>
        </is>
      </c>
      <c r="E61" s="88">
        <f>HYPERLINK("#'"&amp;"7. קונפיגורציה (Customizing)"&amp;"'!A27","➜ פתח")</f>
        <v/>
      </c>
      <c r="F61" s="64" t="inlineStr">
        <is>
          <t>טקסטים לסוגי חומר</t>
        </is>
      </c>
      <c r="G61" s="4" t="n"/>
      <c r="H61" s="4" t="n"/>
      <c r="I61" s="4" t="n"/>
      <c r="J61" s="4" t="n"/>
      <c r="K61" s="4" t="n"/>
      <c r="L61" s="4" t="n"/>
    </row>
    <row r="62">
      <c r="A62" s="50" t="n">
        <v>55</v>
      </c>
      <c r="B62" s="53" t="inlineStr">
        <is>
          <t>7. קונפיגורציה (Customizing)</t>
        </is>
      </c>
      <c r="C62" s="49" t="inlineStr">
        <is>
          <t>T023</t>
        </is>
      </c>
      <c r="D62" s="51" t="inlineStr">
        <is>
          <t>Not started</t>
        </is>
      </c>
      <c r="E62" s="87">
        <f>HYPERLINK("#'"&amp;"7. קונפיגורציה (Customizing)"&amp;"'!A32","➜ פתח")</f>
        <v/>
      </c>
      <c r="F62" s="53" t="inlineStr">
        <is>
          <t>קבוצות חומר (Customizing)</t>
        </is>
      </c>
      <c r="G62" s="4" t="n"/>
      <c r="H62" s="4" t="n"/>
      <c r="I62" s="4" t="n"/>
      <c r="J62" s="4" t="n"/>
      <c r="K62" s="4" t="n"/>
      <c r="L62" s="4" t="n"/>
    </row>
    <row r="63">
      <c r="A63" s="61" t="n">
        <v>56</v>
      </c>
      <c r="B63" s="64" t="inlineStr">
        <is>
          <t>7. קונפיגורציה (Customizing)</t>
        </is>
      </c>
      <c r="C63" s="60" t="inlineStr">
        <is>
          <t>T023T</t>
        </is>
      </c>
      <c r="D63" s="51" t="inlineStr">
        <is>
          <t>Not started</t>
        </is>
      </c>
      <c r="E63" s="88">
        <f>HYPERLINK("#'"&amp;"7. קונפיגורציה (Customizing)"&amp;"'!A36","➜ פתח")</f>
        <v/>
      </c>
      <c r="F63" s="64" t="inlineStr">
        <is>
          <t>טקסטים לקבוצות חומר</t>
        </is>
      </c>
      <c r="G63" s="4" t="n"/>
      <c r="H63" s="4" t="n"/>
      <c r="I63" s="4" t="n"/>
      <c r="J63" s="4" t="n"/>
      <c r="K63" s="4" t="n"/>
      <c r="L63" s="4" t="n"/>
    </row>
    <row r="64">
      <c r="A64" s="50" t="n">
        <v>57</v>
      </c>
      <c r="B64" s="53" t="inlineStr">
        <is>
          <t>7. קונפיגורציה (Customizing)</t>
        </is>
      </c>
      <c r="C64" s="49" t="inlineStr">
        <is>
          <t>T399X</t>
        </is>
      </c>
      <c r="D64" s="51" t="inlineStr">
        <is>
          <t>Not started</t>
        </is>
      </c>
      <c r="E64" s="87">
        <f>HYPERLINK("#'"&amp;"7. קונפיגורציה (Customizing)"&amp;"'!A41","➜ פתח")</f>
        <v/>
      </c>
      <c r="F64" s="53" t="inlineStr">
        <is>
          <t>פרמטרי בקרת ייצור למפעל</t>
        </is>
      </c>
      <c r="G64" s="4" t="n"/>
      <c r="H64" s="4" t="n"/>
      <c r="I64" s="4" t="n"/>
      <c r="J64" s="4" t="n"/>
      <c r="K64" s="4" t="n"/>
      <c r="L64" s="4" t="n"/>
    </row>
    <row r="65">
      <c r="A65" s="61" t="n">
        <v>58</v>
      </c>
      <c r="B65" s="64" t="inlineStr">
        <is>
          <t>7. קונפיגורציה (Customizing)</t>
        </is>
      </c>
      <c r="C65" s="60" t="inlineStr">
        <is>
          <t>TCK03</t>
        </is>
      </c>
      <c r="D65" s="51" t="inlineStr">
        <is>
          <t>Not started</t>
        </is>
      </c>
      <c r="E65" s="88">
        <f>HYPERLINK("#'"&amp;"7. קונפיגורציה (Customizing)"&amp;"'!A47","➜ פתח")</f>
        <v/>
      </c>
      <c r="F65" s="64" t="inlineStr">
        <is>
          <t>וריאנט תמחיר (Costing Variant)</t>
        </is>
      </c>
      <c r="G65" s="4" t="n"/>
      <c r="H65" s="4" t="n"/>
      <c r="I65" s="4" t="n"/>
      <c r="J65" s="4" t="n"/>
      <c r="K65" s="4" t="n"/>
      <c r="L65" s="4" t="n"/>
    </row>
    <row r="66">
      <c r="A66" s="50" t="n">
        <v>59</v>
      </c>
      <c r="B66" s="53" t="inlineStr">
        <is>
          <t>7. קונפיגורציה (Customizing)</t>
        </is>
      </c>
      <c r="C66" s="49" t="inlineStr">
        <is>
          <t>T438M</t>
        </is>
      </c>
      <c r="D66" s="51" t="inlineStr">
        <is>
          <t>Not started</t>
        </is>
      </c>
      <c r="E66" s="87">
        <f>HYPERLINK("#'"&amp;"7. קונפיגורציה (Customizing)"&amp;"'!A52","➜ פתח")</f>
        <v/>
      </c>
      <c r="F66" s="53" t="inlineStr">
        <is>
          <t>פרמטרי MRP לחומר/מפעל</t>
        </is>
      </c>
      <c r="G66" s="4" t="n"/>
      <c r="H66" s="4" t="n"/>
      <c r="I66" s="4" t="n"/>
      <c r="J66" s="4" t="n"/>
      <c r="K66" s="4" t="n"/>
      <c r="L66" s="4" t="n"/>
    </row>
    <row r="67">
      <c r="A67" s="61" t="n">
        <v>60</v>
      </c>
      <c r="B67" s="64" t="inlineStr">
        <is>
          <t>7. קונפיגורציה (Customizing)</t>
        </is>
      </c>
      <c r="C67" s="60" t="inlineStr">
        <is>
          <t>T003O</t>
        </is>
      </c>
      <c r="D67" s="51" t="inlineStr">
        <is>
          <t>Not started</t>
        </is>
      </c>
      <c r="E67" s="88">
        <f>HYPERLINK("#'"&amp;"7. קונפיגורציה (Customizing)"&amp;"'!A56","➜ פתח")</f>
        <v/>
      </c>
      <c r="F67" s="64" t="inlineStr">
        <is>
          <t>סוגי פקודת ייצור (Process Order Types)</t>
        </is>
      </c>
      <c r="G67" s="4" t="n"/>
      <c r="H67" s="4" t="n"/>
      <c r="I67" s="4" t="n"/>
      <c r="J67" s="4" t="n"/>
      <c r="K67" s="4" t="n"/>
      <c r="L67" s="4" t="n"/>
    </row>
    <row r="68">
      <c r="A68" s="50" t="n">
        <v>61</v>
      </c>
      <c r="B68" s="53" t="inlineStr">
        <is>
          <t>7. קונפיגורציה (Customizing)</t>
        </is>
      </c>
      <c r="C68" s="49" t="inlineStr">
        <is>
          <t>TCO01</t>
        </is>
      </c>
      <c r="D68" s="51" t="inlineStr">
        <is>
          <t>Not started</t>
        </is>
      </c>
      <c r="E68" s="87">
        <f>HYPERLINK("#'"&amp;"7. קונפיגורציה (Customizing)"&amp;"'!A62","➜ פתח")</f>
        <v/>
      </c>
      <c r="F68" s="53" t="inlineStr">
        <is>
          <t>פרמטרים תלויי סוג פק"ע (Order Profile)</t>
        </is>
      </c>
      <c r="G68" s="4" t="n"/>
      <c r="H68" s="4" t="n"/>
      <c r="I68" s="4" t="n"/>
      <c r="J68" s="4" t="n"/>
      <c r="K68" s="4" t="n"/>
      <c r="L68" s="4" t="n"/>
    </row>
    <row r="69">
      <c r="A69" s="61" t="n">
        <v>62</v>
      </c>
      <c r="B69" s="64" t="inlineStr">
        <is>
          <t>7. קונפיגורציה (Customizing)</t>
        </is>
      </c>
      <c r="C69" s="60" t="inlineStr">
        <is>
          <t>TJ30</t>
        </is>
      </c>
      <c r="D69" s="51" t="inlineStr">
        <is>
          <t>Not started</t>
        </is>
      </c>
      <c r="E69" s="88">
        <f>HYPERLINK("#'"&amp;"7. קונפיגורציה (Customizing)"&amp;"'!A68","➜ פתח")</f>
        <v/>
      </c>
      <c r="F69" s="64" t="inlineStr">
        <is>
          <t>סטטוסי משתמש בפרופיל (User Status)</t>
        </is>
      </c>
      <c r="G69" s="4" t="n"/>
      <c r="H69" s="4" t="n"/>
      <c r="I69" s="4" t="n"/>
      <c r="J69" s="4" t="n"/>
      <c r="K69" s="4" t="n"/>
      <c r="L69" s="4" t="n"/>
    </row>
    <row r="70">
      <c r="A70" s="50" t="n">
        <v>63</v>
      </c>
      <c r="B70" s="53" t="inlineStr">
        <is>
          <t>7. קונפיגורציה (Customizing)</t>
        </is>
      </c>
      <c r="C70" s="49" t="inlineStr">
        <is>
          <t>TJ30T</t>
        </is>
      </c>
      <c r="D70" s="51" t="inlineStr">
        <is>
          <t>Not started</t>
        </is>
      </c>
      <c r="E70" s="87">
        <f>HYPERLINK("#'"&amp;"7. קונפיגורציה (Customizing)"&amp;"'!A74","➜ פתח")</f>
        <v/>
      </c>
      <c r="F70" s="53" t="inlineStr">
        <is>
          <t>טקסטים לסטטוסי משתמש</t>
        </is>
      </c>
      <c r="G70" s="4" t="n"/>
      <c r="H70" s="4" t="n"/>
      <c r="I70" s="4" t="n"/>
      <c r="J70" s="4" t="n"/>
      <c r="K70" s="4" t="n"/>
      <c r="L70" s="4" t="n"/>
    </row>
    <row r="71">
      <c r="A71" s="61" t="n">
        <v>64</v>
      </c>
      <c r="B71" s="64" t="inlineStr">
        <is>
          <t>7. קונפיגורציה (Customizing)</t>
        </is>
      </c>
      <c r="C71" s="60" t="inlineStr">
        <is>
          <t>BUT000</t>
        </is>
      </c>
      <c r="D71" s="51" t="inlineStr">
        <is>
          <t>Not started</t>
        </is>
      </c>
      <c r="E71" s="88">
        <f>HYPERLINK("#'"&amp;"7. קונפיגורציה (Customizing)"&amp;"'!A81","➜ פתח")</f>
        <v/>
      </c>
      <c r="F71" s="64" t="inlineStr">
        <is>
          <t>שותף עסקי (BP - השפעת מעבר S/4)</t>
        </is>
      </c>
      <c r="G71" s="4" t="n"/>
      <c r="H71" s="4" t="n"/>
      <c r="I71" s="4" t="n"/>
      <c r="J71" s="4" t="n"/>
      <c r="K71" s="4" t="n"/>
      <c r="L71" s="4" t="n"/>
    </row>
    <row r="72">
      <c r="A72" s="50" t="n">
        <v>65</v>
      </c>
      <c r="B72" s="53" t="inlineStr">
        <is>
          <t>7. קונפיגורציה (Customizing)</t>
        </is>
      </c>
      <c r="C72" s="49" t="inlineStr">
        <is>
          <t>TC22</t>
        </is>
      </c>
      <c r="D72" s="51" t="inlineStr">
        <is>
          <t>Not started</t>
        </is>
      </c>
      <c r="E72" s="87">
        <f>HYPERLINK("#'"&amp;"7. קונפיגורציה (Customizing)"&amp;"'!A88","➜ פתח")</f>
        <v/>
      </c>
      <c r="F72" s="53" t="inlineStr">
        <is>
          <t>מפתחות בקרת תהליך/פעולה (PI Control)</t>
        </is>
      </c>
      <c r="G72" s="4" t="n"/>
      <c r="H72" s="4" t="n"/>
      <c r="I72" s="4" t="n"/>
      <c r="J72" s="4" t="n"/>
      <c r="K72" s="4" t="n"/>
      <c r="L72" s="4" t="n"/>
    </row>
  </sheetData>
  <mergeCells count="3">
    <mergeCell ref="B2:F2"/>
    <mergeCell ref="C1:F1"/>
    <mergeCell ref="A1:B1"/>
  </mergeCells>
  <conditionalFormatting sqref="D8:D72">
    <cfRule type="cellIs" priority="1" operator="equal" dxfId="0">
      <formula>"Not started"</formula>
    </cfRule>
    <cfRule type="cellIs" priority="2" operator="equal" dxfId="1">
      <formula>"In analysis"</formula>
    </cfRule>
    <cfRule type="cellIs" priority="3" operator="equal" dxfId="2">
      <formula>"In conversion"</formula>
    </cfRule>
    <cfRule type="cellIs" priority="4" operator="equal" dxfId="3">
      <formula>"Tested"</formula>
    </cfRule>
    <cfRule type="cellIs" priority="5" operator="equal" dxfId="4">
      <formula>"Done"</formula>
    </cfRule>
  </conditionalFormatting>
  <dataValidations count="1">
    <dataValidation sqref="D8:D72" showDropDown="0" showInputMessage="0" showErrorMessage="0" allowBlank="1" type="list">
      <formula1>"Not started,In analysis,In conversion,Tested,Done"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62027"/>
    <outlinePr summaryBelow="1" summaryRight="1"/>
    <pageSetUpPr/>
  </sheetPr>
  <dimension ref="A1:D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40" customWidth="1" min="4" max="4"/>
  </cols>
  <sheetData>
    <row r="1" ht="30" customHeight="1">
      <c r="A1" s="32" t="inlineStr">
        <is>
          <t>◄ חזרה למסך הראשי</t>
        </is>
      </c>
      <c r="B1" s="33" t="n"/>
      <c r="C1" s="34" t="inlineStr">
        <is>
          <t>ER - Join Map  -  JOIN ON (SQL / CDS Views)  ·  CBC NEO</t>
        </is>
      </c>
      <c r="D1" s="4" t="n"/>
    </row>
    <row r="2" ht="26" customHeight="1">
      <c r="A2" s="85" t="inlineStr">
        <is>
          <t>מס' (#)</t>
        </is>
      </c>
      <c r="B2" s="85" t="inlineStr">
        <is>
          <t>טבלה (Child)</t>
        </is>
      </c>
      <c r="C2" s="85" t="inlineStr">
        <is>
          <t>JOIN ON (SQL / CDS Views Syntax)</t>
        </is>
      </c>
      <c r="D2" s="85" t="inlineStr">
        <is>
          <t>תיאור</t>
        </is>
      </c>
    </row>
    <row r="3" ht="24" customHeight="1">
      <c r="A3" s="47" t="n">
        <v>1</v>
      </c>
      <c r="B3" s="89" t="inlineStr">
        <is>
          <t>MAKT</t>
        </is>
      </c>
      <c r="C3" s="90" t="inlineStr">
        <is>
          <t>FROM MAKT JOIN MARA ON MAKT.MATNR = MARA.MATNR</t>
        </is>
      </c>
      <c r="D3" s="53" t="inlineStr">
        <is>
          <t>תיאורי חומר (טקסטים)</t>
        </is>
      </c>
    </row>
    <row r="4" ht="24" customHeight="1">
      <c r="A4" s="58" t="n">
        <v>2</v>
      </c>
      <c r="B4" s="91" t="inlineStr">
        <is>
          <t>MARC</t>
        </is>
      </c>
      <c r="C4" s="92" t="inlineStr">
        <is>
          <t>FROM MARC JOIN MARA ON MARC.MATNR = MARA.MATNR</t>
        </is>
      </c>
      <c r="D4" s="64" t="inlineStr">
        <is>
          <t>נתוני חומר ברמת מפעל</t>
        </is>
      </c>
    </row>
    <row r="5" ht="24" customHeight="1">
      <c r="A5" s="47" t="n">
        <v>3</v>
      </c>
      <c r="B5" s="89" t="inlineStr">
        <is>
          <t>MARD</t>
        </is>
      </c>
      <c r="C5" s="90" t="inlineStr">
        <is>
          <t>FROM MARD JOIN MARC ON MARD.MATNR = MARC.MATNR AND MARD.WERKS = MARC.WERKS</t>
        </is>
      </c>
      <c r="D5" s="53" t="inlineStr">
        <is>
          <t>נתוני חומר ברמת מחסן/מלאי</t>
        </is>
      </c>
    </row>
    <row r="6" ht="24" customHeight="1">
      <c r="A6" s="58" t="n">
        <v>4</v>
      </c>
      <c r="B6" s="91" t="inlineStr">
        <is>
          <t>MARM</t>
        </is>
      </c>
      <c r="C6" s="92" t="inlineStr">
        <is>
          <t>FROM MARM JOIN MARA ON MARM.MATNR = MARA.MATNR</t>
        </is>
      </c>
      <c r="D6" s="64" t="inlineStr">
        <is>
          <t>המרות יחידות מידה חלופיות</t>
        </is>
      </c>
    </row>
    <row r="7" ht="24" customHeight="1">
      <c r="A7" s="47" t="n">
        <v>5</v>
      </c>
      <c r="B7" s="89" t="inlineStr">
        <is>
          <t>MEAN</t>
        </is>
      </c>
      <c r="C7" s="90" t="inlineStr">
        <is>
          <t>FROM MEAN JOIN MARA ON MEAN.MATNR = MARA.MATNR</t>
        </is>
      </c>
      <c r="D7" s="53" t="inlineStr">
        <is>
          <t>ברקודים / EAN לחומר</t>
        </is>
      </c>
    </row>
    <row r="8" ht="24" customHeight="1">
      <c r="A8" s="58" t="n">
        <v>6</v>
      </c>
      <c r="B8" s="91" t="inlineStr">
        <is>
          <t>MBEW</t>
        </is>
      </c>
      <c r="C8" s="92" t="inlineStr">
        <is>
          <t>FROM MBEW JOIN MARA ON MBEW.MATNR = MARA.MATNR</t>
        </is>
      </c>
      <c r="D8" s="64" t="inlineStr">
        <is>
          <t>הערכת חומר (Valuation)</t>
        </is>
      </c>
    </row>
    <row r="9" ht="24" customHeight="1">
      <c r="A9" s="47" t="n">
        <v>7</v>
      </c>
      <c r="B9" s="89" t="inlineStr">
        <is>
          <t>MVKE</t>
        </is>
      </c>
      <c r="C9" s="90" t="inlineStr">
        <is>
          <t>FROM MVKE JOIN MARA ON MVKE.MATNR = MARA.MATNR</t>
        </is>
      </c>
      <c r="D9" s="53" t="inlineStr">
        <is>
          <t>נתוני חומר ברמת מכירות</t>
        </is>
      </c>
    </row>
    <row r="10" ht="24" customHeight="1">
      <c r="A10" s="58" t="n">
        <v>8</v>
      </c>
      <c r="B10" s="91" t="inlineStr">
        <is>
          <t>MLAN</t>
        </is>
      </c>
      <c r="C10" s="92" t="inlineStr">
        <is>
          <t>FROM MLAN JOIN MARA ON MLAN.MATNR = MARA.MATNR</t>
        </is>
      </c>
      <c r="D10" s="64" t="inlineStr">
        <is>
          <t>נתוני מס לחומר (לפי מדינה)</t>
        </is>
      </c>
    </row>
    <row r="11" ht="24" customHeight="1">
      <c r="A11" s="47" t="n">
        <v>9</v>
      </c>
      <c r="B11" s="89" t="inlineStr">
        <is>
          <t>MLGN</t>
        </is>
      </c>
      <c r="C11" s="90" t="inlineStr">
        <is>
          <t>FROM MLGN JOIN MARA ON MLGN.MATNR = MARA.MATNR</t>
        </is>
      </c>
      <c r="D11" s="53" t="inlineStr">
        <is>
          <t>נתוני חומר ברמת מחסן (WM)</t>
        </is>
      </c>
    </row>
    <row r="12" ht="24" customHeight="1">
      <c r="A12" s="58" t="n">
        <v>10</v>
      </c>
      <c r="B12" s="91" t="inlineStr">
        <is>
          <t>MLGT</t>
        </is>
      </c>
      <c r="C12" s="92" t="inlineStr">
        <is>
          <t>FROM MLGT JOIN MLGN ON MLGT.MATNR = MLGN.MATNR AND MLGT.LGNUM = MLGN.LGNUM</t>
        </is>
      </c>
      <c r="D12" s="64" t="inlineStr">
        <is>
          <t>נתוני חומר לפי טיפוס אחסון</t>
        </is>
      </c>
    </row>
    <row r="13" ht="24" customHeight="1">
      <c r="A13" s="47" t="n">
        <v>11</v>
      </c>
      <c r="B13" s="89" t="inlineStr">
        <is>
          <t>MDMA</t>
        </is>
      </c>
      <c r="C13" s="90" t="inlineStr">
        <is>
          <t>FROM MDMA JOIN MARC ON MDMA.MATNR = MARC.MATNR AND MDMA.WERKS = MARC.WERKS</t>
        </is>
      </c>
      <c r="D13" s="53" t="inlineStr">
        <is>
          <t>אזורי MRP לחומר</t>
        </is>
      </c>
    </row>
    <row r="14" ht="24" customHeight="1">
      <c r="A14" s="58" t="n">
        <v>12</v>
      </c>
      <c r="B14" s="91" t="inlineStr">
        <is>
          <t>QMAT</t>
        </is>
      </c>
      <c r="C14" s="92" t="inlineStr">
        <is>
          <t>FROM QMAT JOIN MARC ON QMAT.MATNR = MARC.MATNR AND QMAT.WERKS = MARC.WERKS</t>
        </is>
      </c>
      <c r="D14" s="64" t="inlineStr">
        <is>
          <t>הגדרות בדיקת איכות לחומר</t>
        </is>
      </c>
    </row>
    <row r="15" ht="24" customHeight="1">
      <c r="A15" s="47" t="n">
        <v>13</v>
      </c>
      <c r="B15" s="89" t="inlineStr">
        <is>
          <t>MCH1</t>
        </is>
      </c>
      <c r="C15" s="90" t="inlineStr">
        <is>
          <t>FROM MCH1 JOIN MARA ON MCH1.MATNR = MARA.MATNR</t>
        </is>
      </c>
      <c r="D15" s="53" t="inlineStr">
        <is>
          <t>אצוות חומר (Batches)</t>
        </is>
      </c>
    </row>
    <row r="16" ht="24" customHeight="1">
      <c r="A16" s="58" t="n">
        <v>14</v>
      </c>
      <c r="B16" s="91" t="inlineStr">
        <is>
          <t>MCHA</t>
        </is>
      </c>
      <c r="C16" s="92" t="inlineStr">
        <is>
          <t>FROM MCHA JOIN MCH1 ON MCHA.MATNR = MCH1.MATNR AND MCHA.CHARG = MCH1.CHARG</t>
        </is>
      </c>
      <c r="D16" s="64" t="inlineStr">
        <is>
          <t>אצוות חומר ברמת מפעל</t>
        </is>
      </c>
    </row>
    <row r="17" ht="24" customHeight="1">
      <c r="A17" s="47" t="n">
        <v>15</v>
      </c>
      <c r="B17" s="89" t="inlineStr">
        <is>
          <t>T006</t>
        </is>
      </c>
      <c r="C17" s="90" t="inlineStr">
        <is>
          <t>FROM MARM JOIN T006 ON MARM.MEINH = T006.MSEHI</t>
        </is>
      </c>
      <c r="D17" s="53" t="inlineStr">
        <is>
          <t>יחידות מידה (Customizing)</t>
        </is>
      </c>
    </row>
    <row r="18" ht="24" customHeight="1">
      <c r="A18" s="58" t="n">
        <v>16</v>
      </c>
      <c r="B18" s="91" t="inlineStr">
        <is>
          <t>MAST</t>
        </is>
      </c>
      <c r="C18" s="92" t="inlineStr">
        <is>
          <t>FROM MAST JOIN MARA ON MAST.MATNR = MARA.MATNR</t>
        </is>
      </c>
      <c r="D18" s="64" t="inlineStr">
        <is>
          <t>קישור חומר לעץ מוצר</t>
        </is>
      </c>
    </row>
    <row r="19" ht="24" customHeight="1">
      <c r="A19" s="47" t="n">
        <v>17</v>
      </c>
      <c r="B19" s="89" t="inlineStr">
        <is>
          <t>STKO</t>
        </is>
      </c>
      <c r="C19" s="90" t="inlineStr">
        <is>
          <t>FROM STKO JOIN MAST ON STKO.STLNR = MAST.STLNR</t>
        </is>
      </c>
      <c r="D19" s="53" t="inlineStr">
        <is>
          <t>כותרת עץ מוצר</t>
        </is>
      </c>
    </row>
    <row r="20" ht="24" customHeight="1">
      <c r="A20" s="58" t="n">
        <v>18</v>
      </c>
      <c r="B20" s="91" t="inlineStr">
        <is>
          <t>STPO</t>
        </is>
      </c>
      <c r="C20" s="92" t="inlineStr">
        <is>
          <t>FROM STPO JOIN STKO ON STPO.STLNR = STKO.STLNR AND STPO.STLTY = STKO.STLTY</t>
        </is>
      </c>
      <c r="D20" s="64" t="inlineStr">
        <is>
          <t>פריטי עץ מוצר (רכיבים)</t>
        </is>
      </c>
    </row>
    <row r="21" ht="24" customHeight="1">
      <c r="A21" s="47" t="n">
        <v>19</v>
      </c>
      <c r="B21" s="89" t="inlineStr">
        <is>
          <t>STAS</t>
        </is>
      </c>
      <c r="C21" s="90" t="inlineStr">
        <is>
          <t>FROM STAS JOIN STKO ON STAS.STLNR = STKO.STLNR</t>
        </is>
      </c>
      <c r="D21" s="53" t="inlineStr">
        <is>
          <t>בחירת פריטי עץ מוצר</t>
        </is>
      </c>
    </row>
    <row r="22" ht="24" customHeight="1">
      <c r="A22" s="58" t="n">
        <v>20</v>
      </c>
      <c r="B22" s="91" t="inlineStr">
        <is>
          <t>STZU</t>
        </is>
      </c>
      <c r="C22" s="92" t="inlineStr">
        <is>
          <t>FROM STZU JOIN STKO ON STZU.STLNR = STKO.STLNR</t>
        </is>
      </c>
      <c r="D22" s="64" t="inlineStr">
        <is>
          <t>טבלת היסטוריה/קישור לעץ מוצר</t>
        </is>
      </c>
    </row>
    <row r="23" ht="24" customHeight="1">
      <c r="A23" s="47" t="n">
        <v>21</v>
      </c>
      <c r="B23" s="89" t="inlineStr">
        <is>
          <t>STPU</t>
        </is>
      </c>
      <c r="C23" s="90" t="inlineStr">
        <is>
          <t>FROM STPU JOIN STPO ON STPU.STLKN = STPO.STLKN</t>
        </is>
      </c>
      <c r="D23" s="53" t="inlineStr">
        <is>
          <t>טקסטים ארוכים לפריט עץ מוצר</t>
        </is>
      </c>
    </row>
    <row r="24" ht="24" customHeight="1">
      <c r="A24" s="58" t="n">
        <v>22</v>
      </c>
      <c r="B24" s="91" t="inlineStr">
        <is>
          <t>KDST</t>
        </is>
      </c>
      <c r="C24" s="92" t="inlineStr">
        <is>
          <t>FROM KDST JOIN MAST ON KDST.MATNR = MAST.MATNR</t>
        </is>
      </c>
      <c r="D24" s="64" t="inlineStr">
        <is>
          <t>שימוש עץ מוצר בהזמנת לקוח</t>
        </is>
      </c>
    </row>
    <row r="25" ht="24" customHeight="1">
      <c r="A25" s="47" t="n">
        <v>23</v>
      </c>
      <c r="B25" s="89" t="inlineStr">
        <is>
          <t>PLKO</t>
        </is>
      </c>
      <c r="C25" s="90" t="inlineStr">
        <is>
          <t>FROM PLKO JOIN MAPL ON PLKO.PLNTY = MAPL.PLNTY AND PLKO.PLNNR = MAPL.PLNNR</t>
        </is>
      </c>
      <c r="D25" s="53" t="inlineStr">
        <is>
          <t>כותרת מתכון ייצור / רשימת פעולות</t>
        </is>
      </c>
    </row>
    <row r="26" ht="24" customHeight="1">
      <c r="A26" s="58" t="n">
        <v>24</v>
      </c>
      <c r="B26" s="91" t="inlineStr">
        <is>
          <t>PLPO</t>
        </is>
      </c>
      <c r="C26" s="92" t="inlineStr">
        <is>
          <t>FROM PLPO JOIN PLAS ON PLPO.PLNTY = PLAS.PLNTY AND PLPO.PLNNR = PLAS.PLNNR AND PLPO.PLNKN = PLAS.PLNKN</t>
        </is>
      </c>
      <c r="D26" s="64" t="inlineStr">
        <is>
          <t>פעולות/פאזות במתכון</t>
        </is>
      </c>
    </row>
    <row r="27" ht="24" customHeight="1">
      <c r="A27" s="47" t="n">
        <v>25</v>
      </c>
      <c r="B27" s="89" t="inlineStr">
        <is>
          <t>PLAS</t>
        </is>
      </c>
      <c r="C27" s="90" t="inlineStr">
        <is>
          <t>FROM PLAS JOIN PLKO ON PLAS.PLNTY = PLKO.PLNTY AND PLAS.PLNNR = PLKO.PLNNR</t>
        </is>
      </c>
      <c r="D27" s="53" t="inlineStr">
        <is>
          <t>שיוך/בחירת פעולות לרשימה</t>
        </is>
      </c>
    </row>
    <row r="28" ht="24" customHeight="1">
      <c r="A28" s="58" t="n">
        <v>26</v>
      </c>
      <c r="B28" s="91" t="inlineStr">
        <is>
          <t>PLFL</t>
        </is>
      </c>
      <c r="C28" s="92" t="inlineStr">
        <is>
          <t>FROM PLFL JOIN PLKO ON PLFL.PLNNR = PLKO.PLNNR</t>
        </is>
      </c>
      <c r="D28" s="64" t="inlineStr">
        <is>
          <t>רצפים במתכון</t>
        </is>
      </c>
    </row>
    <row r="29" ht="24" customHeight="1">
      <c r="A29" s="47" t="n">
        <v>27</v>
      </c>
      <c r="B29" s="89" t="inlineStr">
        <is>
          <t>PLMZ</t>
        </is>
      </c>
      <c r="C29" s="90" t="inlineStr">
        <is>
          <t>FROM PLMZ JOIN PLPO ON PLMZ.PLNKN = PLPO.PLNKN</t>
        </is>
      </c>
      <c r="D29" s="53" t="inlineStr">
        <is>
          <t>שיוך רכיבים לפעולות</t>
        </is>
      </c>
    </row>
    <row r="30" ht="24" customHeight="1">
      <c r="A30" s="58" t="n">
        <v>28</v>
      </c>
      <c r="B30" s="91" t="inlineStr">
        <is>
          <t>PLMK</t>
        </is>
      </c>
      <c r="C30" s="92" t="inlineStr">
        <is>
          <t>FROM PLMK JOIN PLPO ON PLMK.PLNKN = PLPO.PLNKN</t>
        </is>
      </c>
      <c r="D30" s="64" t="inlineStr">
        <is>
          <t>מאפייני בדיקה במתכון</t>
        </is>
      </c>
    </row>
    <row r="31" ht="24" customHeight="1">
      <c r="A31" s="47" t="n">
        <v>29</v>
      </c>
      <c r="B31" s="89" t="inlineStr">
        <is>
          <t>MAPL</t>
        </is>
      </c>
      <c r="C31" s="90" t="inlineStr">
        <is>
          <t>FROM MAPL JOIN MARC ON MAPL.MATNR = MARC.MATNR AND MAPL.WERKS = MARC.WERKS</t>
        </is>
      </c>
      <c r="D31" s="53" t="inlineStr">
        <is>
          <t>שיוך חומר למתכון/רשימת פעולות</t>
        </is>
      </c>
    </row>
    <row r="32" ht="24" customHeight="1">
      <c r="A32" s="58" t="n">
        <v>30</v>
      </c>
      <c r="B32" s="91" t="inlineStr">
        <is>
          <t>FHMI</t>
        </is>
      </c>
      <c r="C32" s="92" t="inlineStr">
        <is>
          <t>FROM FHMI JOIN PLPO ON FHMI.PLNKN = PLPO.PLNKN</t>
        </is>
      </c>
      <c r="D32" s="64" t="inlineStr">
        <is>
          <t>שיוך כלי עזר ייצור (PRT) לפעולה</t>
        </is>
      </c>
    </row>
    <row r="33" ht="24" customHeight="1">
      <c r="A33" s="47" t="n">
        <v>31</v>
      </c>
      <c r="B33" s="89" t="inlineStr">
        <is>
          <t>PLZU</t>
        </is>
      </c>
      <c r="C33" s="90" t="inlineStr">
        <is>
          <t>FROM PLZU JOIN PLKO ON PLZU.PLNNR = PLKO.PLNNR</t>
        </is>
      </c>
      <c r="D33" s="53" t="inlineStr">
        <is>
          <t>קישור היסטוריית רשימת פעולות</t>
        </is>
      </c>
    </row>
    <row r="34" ht="24" customHeight="1">
      <c r="A34" s="58" t="n">
        <v>32</v>
      </c>
      <c r="B34" s="91" t="inlineStr">
        <is>
          <t>TC60</t>
        </is>
      </c>
      <c r="C34" s="92" t="inlineStr">
        <is>
          <t>FROM PLPO JOIN TC60 ON PLPO.STEUS = TC60.STEUS</t>
        </is>
      </c>
      <c r="D34" s="64" t="inlineStr">
        <is>
          <t>מאפייני הוראות תהליך (PI)</t>
        </is>
      </c>
    </row>
    <row r="35" ht="24" customHeight="1">
      <c r="A35" s="47" t="n">
        <v>33</v>
      </c>
      <c r="B35" s="89" t="inlineStr">
        <is>
          <t>TCA01</t>
        </is>
      </c>
      <c r="C35" s="90" t="inlineStr">
        <is>
          <t>FROM PLKO JOIN TCA01 ON PLKO.PROFIDNETZ = TCA01.PROFIDNETZ</t>
        </is>
      </c>
      <c r="D35" s="53" t="inlineStr">
        <is>
          <t>פרופיל רשימת פעולות (Customizing)</t>
        </is>
      </c>
    </row>
    <row r="36" ht="24" customHeight="1">
      <c r="A36" s="58" t="n">
        <v>34</v>
      </c>
      <c r="B36" s="91" t="inlineStr">
        <is>
          <t>MKAL</t>
        </is>
      </c>
      <c r="C36" s="92" t="inlineStr">
        <is>
          <t>FROM MKAL JOIN MARC ON MKAL.MATNR = MARC.MATNR AND MKAL.WERKS = MARC.WERKS</t>
        </is>
      </c>
      <c r="D36" s="64" t="inlineStr">
        <is>
          <t>גרסאות ייצור לחומר</t>
        </is>
      </c>
    </row>
    <row r="37" ht="24" customHeight="1">
      <c r="A37" s="47" t="n">
        <v>35</v>
      </c>
      <c r="B37" s="89" t="inlineStr">
        <is>
          <t>CRTX</t>
        </is>
      </c>
      <c r="C37" s="90" t="inlineStr">
        <is>
          <t>FROM CRTX JOIN CRHD ON CRTX.OBJID = CRHD.OBJID AND CRTX.OBJTY = CRHD.OBJTY</t>
        </is>
      </c>
      <c r="D37" s="53" t="inlineStr">
        <is>
          <t>טקסטים של משאב</t>
        </is>
      </c>
    </row>
    <row r="38" ht="24" customHeight="1">
      <c r="A38" s="58" t="n">
        <v>36</v>
      </c>
      <c r="B38" s="91" t="inlineStr">
        <is>
          <t>CRCO</t>
        </is>
      </c>
      <c r="C38" s="92" t="inlineStr">
        <is>
          <t>FROM CRCO JOIN CRHD ON CRCO.OBJID = CRHD.OBJID AND CRCO.OBJTY = CRHD.OBJTY</t>
        </is>
      </c>
      <c r="D38" s="64" t="inlineStr">
        <is>
          <t>שיוך משאב למרכז עלות</t>
        </is>
      </c>
    </row>
    <row r="39" ht="24" customHeight="1">
      <c r="A39" s="47" t="n">
        <v>37</v>
      </c>
      <c r="B39" s="89" t="inlineStr">
        <is>
          <t>CRCA</t>
        </is>
      </c>
      <c r="C39" s="90" t="inlineStr">
        <is>
          <t>FROM CRCA JOIN CRHD ON CRCA.OBJID = CRHD.OBJID AND CRCA.OBJTY = CRHD.OBJTY</t>
        </is>
      </c>
      <c r="D39" s="53" t="inlineStr">
        <is>
          <t>הקצאת קיבולת למשאב</t>
        </is>
      </c>
    </row>
    <row r="40" ht="24" customHeight="1">
      <c r="A40" s="58" t="n">
        <v>38</v>
      </c>
      <c r="B40" s="91" t="inlineStr">
        <is>
          <t>KAKO</t>
        </is>
      </c>
      <c r="C40" s="92" t="inlineStr">
        <is>
          <t>FROM KAKO JOIN CRCA ON KAKO.KAPID = CRCA.KAPID</t>
        </is>
      </c>
      <c r="D40" s="64" t="inlineStr">
        <is>
          <t>כותרת קיבולת</t>
        </is>
      </c>
    </row>
    <row r="41" ht="24" customHeight="1">
      <c r="A41" s="47" t="n">
        <v>39</v>
      </c>
      <c r="B41" s="89" t="inlineStr">
        <is>
          <t>CRFH</t>
        </is>
      </c>
      <c r="C41" s="90" t="inlineStr">
        <is>
          <t>FROM FHMI JOIN CRFH ON FHMI.FHMNR = CRFH.FHMNR</t>
        </is>
      </c>
      <c r="D41" s="53" t="inlineStr">
        <is>
          <t>אב כלי עזר ייצור (PRT)</t>
        </is>
      </c>
    </row>
    <row r="42" ht="24" customHeight="1">
      <c r="A42" s="58" t="n">
        <v>40</v>
      </c>
      <c r="B42" s="91" t="inlineStr">
        <is>
          <t>CRVD_A</t>
        </is>
      </c>
      <c r="C42" s="92" t="inlineStr">
        <is>
          <t>FROM CRVD_A JOIN CRHD ON CRVD_A.OBJID = CRHD.OBJID</t>
        </is>
      </c>
      <c r="D42" s="64" t="inlineStr">
        <is>
          <t>ברירות מחדל למשאב (PI)</t>
        </is>
      </c>
    </row>
    <row r="43" ht="24" customHeight="1">
      <c r="A43" s="47" t="n">
        <v>41</v>
      </c>
      <c r="B43" s="89" t="inlineStr">
        <is>
          <t>CSLA</t>
        </is>
      </c>
      <c r="C43" s="90" t="inlineStr">
        <is>
          <t>FROM CSLA JOIN CRCO ON CSLA.LSTAR = CRCO.LSTAR</t>
        </is>
      </c>
      <c r="D43" s="53" t="inlineStr">
        <is>
          <t>סוגי פעילות למרכז עבודה</t>
        </is>
      </c>
    </row>
    <row r="44" ht="24" customHeight="1">
      <c r="A44" s="58" t="n">
        <v>42</v>
      </c>
      <c r="B44" s="91" t="inlineStr">
        <is>
          <t>KAZT</t>
        </is>
      </c>
      <c r="C44" s="92" t="inlineStr">
        <is>
          <t>FROM KAZT JOIN KAKO ON KAZT.KAPID = KAKO.KAPID</t>
        </is>
      </c>
      <c r="D44" s="64" t="inlineStr">
        <is>
          <t>מרווחי קיבולת זמינה</t>
        </is>
      </c>
    </row>
    <row r="45" ht="24" customHeight="1">
      <c r="A45" s="47" t="n">
        <v>43</v>
      </c>
      <c r="B45" s="89" t="inlineStr">
        <is>
          <t>AFKO</t>
        </is>
      </c>
      <c r="C45" s="90" t="inlineStr">
        <is>
          <t>FROM AFKO JOIN AUFK ON AFKO.AUFNR = AUFK.AUFNR</t>
        </is>
      </c>
      <c r="D45" s="53" t="inlineStr">
        <is>
          <t>כותרת פקודת ייצור</t>
        </is>
      </c>
    </row>
    <row r="46" ht="24" customHeight="1">
      <c r="A46" s="58" t="n">
        <v>44</v>
      </c>
      <c r="B46" s="91" t="inlineStr">
        <is>
          <t>AFPO</t>
        </is>
      </c>
      <c r="C46" s="92" t="inlineStr">
        <is>
          <t>FROM AFPO JOIN AFKO ON AFPO.AUFNR = AFKO.AUFNR</t>
        </is>
      </c>
      <c r="D46" s="64" t="inlineStr">
        <is>
          <t>פריט פקודת ייצור</t>
        </is>
      </c>
    </row>
    <row r="47" ht="24" customHeight="1">
      <c r="A47" s="47" t="n">
        <v>45</v>
      </c>
      <c r="B47" s="89" t="inlineStr">
        <is>
          <t>AFVC</t>
        </is>
      </c>
      <c r="C47" s="90" t="inlineStr">
        <is>
          <t>FROM AFVC JOIN AFKO ON AFVC.AUFPL = AFKO.AUFPL</t>
        </is>
      </c>
      <c r="D47" s="53" t="inlineStr">
        <is>
          <t>פעולות פקודת הייצור</t>
        </is>
      </c>
    </row>
    <row r="48" ht="24" customHeight="1">
      <c r="A48" s="58" t="n">
        <v>46</v>
      </c>
      <c r="B48" s="91" t="inlineStr">
        <is>
          <t>RESB</t>
        </is>
      </c>
      <c r="C48" s="92" t="inlineStr">
        <is>
          <t>FROM RESB JOIN AFKO ON RESB.AUFNR = AFKO.AUFNR</t>
        </is>
      </c>
      <c r="D48" s="64" t="inlineStr">
        <is>
          <t>הזמנת רכיבים לפק"ע</t>
        </is>
      </c>
    </row>
    <row r="49" ht="24" customHeight="1">
      <c r="A49" s="47" t="n">
        <v>47</v>
      </c>
      <c r="B49" s="89" t="inlineStr">
        <is>
          <t>AFRU</t>
        </is>
      </c>
      <c r="C49" s="90" t="inlineStr">
        <is>
          <t>FROM AFRU JOIN AFKO ON AFRU.AUFNR = AFKO.AUFNR</t>
        </is>
      </c>
      <c r="D49" s="53" t="inlineStr">
        <is>
          <t>דיווחי ביצוע פק"ע</t>
        </is>
      </c>
    </row>
    <row r="50" ht="24" customHeight="1">
      <c r="A50" s="58" t="n">
        <v>48</v>
      </c>
      <c r="B50" s="91" t="inlineStr">
        <is>
          <t>AFFH</t>
        </is>
      </c>
      <c r="C50" s="92" t="inlineStr">
        <is>
          <t>FROM AFFH JOIN AFKO ON AFFH.AUFPL = AFKO.AUFPL</t>
        </is>
      </c>
      <c r="D50" s="64" t="inlineStr">
        <is>
          <t>שיוך PRT לפק"ע</t>
        </is>
      </c>
    </row>
    <row r="51" ht="24" customHeight="1">
      <c r="A51" s="47" t="n">
        <v>49</v>
      </c>
      <c r="B51" s="89" t="inlineStr">
        <is>
          <t>AFFL</t>
        </is>
      </c>
      <c r="C51" s="90" t="inlineStr">
        <is>
          <t>FROM AFFL JOIN AFKO ON AFFL.AUFPL = AFKO.AUFPL</t>
        </is>
      </c>
      <c r="D51" s="53" t="inlineStr">
        <is>
          <t>רצפי פעולות בפק"ע</t>
        </is>
      </c>
    </row>
    <row r="52" ht="24" customHeight="1">
      <c r="A52" s="58" t="n">
        <v>50</v>
      </c>
      <c r="B52" s="91" t="inlineStr">
        <is>
          <t>T134</t>
        </is>
      </c>
      <c r="C52" s="92" t="inlineStr">
        <is>
          <t>FROM MARA JOIN T134 ON MARA.MTART = T134.MTART</t>
        </is>
      </c>
      <c r="D52" s="64" t="inlineStr">
        <is>
          <t>סוגי חומר (Customizing)</t>
        </is>
      </c>
    </row>
    <row r="53" ht="24" customHeight="1">
      <c r="A53" s="47" t="n">
        <v>51</v>
      </c>
      <c r="B53" s="89" t="inlineStr">
        <is>
          <t>T134T</t>
        </is>
      </c>
      <c r="C53" s="90" t="inlineStr">
        <is>
          <t>FROM T134T JOIN T134 ON T134T.MTART = T134.MTART</t>
        </is>
      </c>
      <c r="D53" s="53" t="inlineStr">
        <is>
          <t>טקסטים לסוגי חומר</t>
        </is>
      </c>
    </row>
    <row r="54" ht="24" customHeight="1">
      <c r="A54" s="58" t="n">
        <v>52</v>
      </c>
      <c r="B54" s="91" t="inlineStr">
        <is>
          <t>T023</t>
        </is>
      </c>
      <c r="C54" s="92" t="inlineStr">
        <is>
          <t>FROM MARA JOIN T023 ON MARA.MATKL = T023.MATKL</t>
        </is>
      </c>
      <c r="D54" s="64" t="inlineStr">
        <is>
          <t>קבוצות חומר (Customizing)</t>
        </is>
      </c>
    </row>
    <row r="55" ht="24" customHeight="1">
      <c r="A55" s="47" t="n">
        <v>53</v>
      </c>
      <c r="B55" s="89" t="inlineStr">
        <is>
          <t>T023T</t>
        </is>
      </c>
      <c r="C55" s="90" t="inlineStr">
        <is>
          <t>FROM T023T JOIN T023 ON T023T.MATKL = T023.MATKL</t>
        </is>
      </c>
      <c r="D55" s="53" t="inlineStr">
        <is>
          <t>טקסטים לקבוצות חומר</t>
        </is>
      </c>
    </row>
    <row r="56" ht="24" customHeight="1">
      <c r="A56" s="58" t="n">
        <v>54</v>
      </c>
      <c r="B56" s="91" t="inlineStr">
        <is>
          <t>T399X</t>
        </is>
      </c>
      <c r="C56" s="92" t="inlineStr">
        <is>
          <t>FROM AUFK JOIN T399X ON AUFK.WERKS = T399X.WERKS AND AUFK.AUART = T399X.AUART</t>
        </is>
      </c>
      <c r="D56" s="64" t="inlineStr">
        <is>
          <t>פרמטרי בקרת ייצור למפעל</t>
        </is>
      </c>
    </row>
    <row r="57" ht="24" customHeight="1">
      <c r="A57" s="47" t="n">
        <v>55</v>
      </c>
      <c r="B57" s="89" t="inlineStr">
        <is>
          <t>TCK03</t>
        </is>
      </c>
      <c r="C57" s="90" t="inlineStr">
        <is>
          <t>FROM T399X JOIN TCK03 ON T399X.KLVARP = TCK03.KLVAR</t>
        </is>
      </c>
      <c r="D57" s="53" t="inlineStr">
        <is>
          <t>וריאנט תמחיר (Costing Variant)</t>
        </is>
      </c>
    </row>
    <row r="58" ht="24" customHeight="1">
      <c r="A58" s="58" t="n">
        <v>56</v>
      </c>
      <c r="B58" s="91" t="inlineStr">
        <is>
          <t>T438M</t>
        </is>
      </c>
      <c r="C58" s="92" t="inlineStr">
        <is>
          <t>FROM MARC JOIN T438M ON MARC.DISMM = T438M.DISMM</t>
        </is>
      </c>
      <c r="D58" s="64" t="inlineStr">
        <is>
          <t>פרמטרי MRP לחומר/מפעל</t>
        </is>
      </c>
    </row>
    <row r="59" ht="24" customHeight="1">
      <c r="A59" s="47" t="n">
        <v>57</v>
      </c>
      <c r="B59" s="89" t="inlineStr">
        <is>
          <t>T003O</t>
        </is>
      </c>
      <c r="C59" s="90" t="inlineStr">
        <is>
          <t>FROM AUFK JOIN T003O ON AUFK.AUART = T003O.AUART</t>
        </is>
      </c>
      <c r="D59" s="53" t="inlineStr">
        <is>
          <t>סוגי פקודת ייצור (Process Order Types)</t>
        </is>
      </c>
    </row>
    <row r="60" ht="24" customHeight="1">
      <c r="A60" s="58" t="n">
        <v>58</v>
      </c>
      <c r="B60" s="91" t="inlineStr">
        <is>
          <t>TCO01</t>
        </is>
      </c>
      <c r="C60" s="92" t="inlineStr">
        <is>
          <t>FROM TCO01 JOIN T003O ON TCO01.AUART = T003O.AUART</t>
        </is>
      </c>
      <c r="D60" s="64" t="inlineStr">
        <is>
          <t>פרמטרים תלויי סוג פק"ע (Order Profile)</t>
        </is>
      </c>
    </row>
    <row r="61" ht="24" customHeight="1">
      <c r="A61" s="47" t="n">
        <v>59</v>
      </c>
      <c r="B61" s="89" t="inlineStr">
        <is>
          <t>TJ30</t>
        </is>
      </c>
      <c r="C61" s="90" t="inlineStr">
        <is>
          <t>FROM JEST JOIN TJ30 ON JEST.STAT = TJ30.ESTAT</t>
        </is>
      </c>
      <c r="D61" s="53" t="inlineStr">
        <is>
          <t>סטטוסי משתמש בפרופיל (User Status)</t>
        </is>
      </c>
    </row>
    <row r="62" ht="24" customHeight="1">
      <c r="A62" s="58" t="n">
        <v>60</v>
      </c>
      <c r="B62" s="91" t="inlineStr">
        <is>
          <t>TJ30T</t>
        </is>
      </c>
      <c r="C62" s="92" t="inlineStr">
        <is>
          <t>FROM TJ30T JOIN TJ30 ON TJ30T.STSMA = TJ30.STSMA AND TJ30T.ESTAT = TJ30.ESTAT</t>
        </is>
      </c>
      <c r="D62" s="64" t="inlineStr">
        <is>
          <t>טקסטים לסטטוסי משתמש</t>
        </is>
      </c>
    </row>
    <row r="63" ht="24" customHeight="1">
      <c r="A63" s="47" t="n">
        <v>61</v>
      </c>
      <c r="B63" s="89" t="inlineStr">
        <is>
          <t>BUT000</t>
        </is>
      </c>
      <c r="C63" s="90" t="inlineStr">
        <is>
          <t>FROM EKKO JOIN BUT000 ON EKKO.LIFNR = BUT000.PARTNER</t>
        </is>
      </c>
      <c r="D63" s="53" t="inlineStr">
        <is>
          <t>שותף עסקי (BP - השפעת מעבר S/4)</t>
        </is>
      </c>
    </row>
    <row r="64" ht="24" customHeight="1">
      <c r="A64" s="58" t="n">
        <v>62</v>
      </c>
      <c r="B64" s="91" t="inlineStr">
        <is>
          <t>TC22</t>
        </is>
      </c>
      <c r="C64" s="92" t="inlineStr">
        <is>
          <t>FROM PLPO JOIN TC22 ON PLPO.STEUS = TC22.STEUS</t>
        </is>
      </c>
      <c r="D64" s="64" t="inlineStr">
        <is>
          <t>מפתחות בקרת תהליך/פעולה (PI Control)</t>
        </is>
      </c>
    </row>
  </sheetData>
  <mergeCells count="2">
    <mergeCell ref="C1:D1"/>
    <mergeCell ref="A1:B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2026-06-08T09:50:02Z</dcterms:created>
  <dcterms:modified xsi:type="dcterms:W3CDTF">2026-06-08T09:50:03Z</dcterms:modified>
</cp:coreProperties>
</file>